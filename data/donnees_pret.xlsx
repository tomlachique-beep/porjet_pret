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lechargement\"/>
    </mc:Choice>
  </mc:AlternateContent>
  <xr:revisionPtr revIDLastSave="0" documentId="13_ncr:1_{C4DCB573-5BF4-4A6F-8BF6-6950FB0717C4}" xr6:coauthVersionLast="47" xr6:coauthVersionMax="47" xr10:uidLastSave="{00000000-0000-0000-0000-000000000000}"/>
  <bookViews>
    <workbookView xWindow="3420" yWindow="2085" windowWidth="21600" windowHeight="11385" activeTab="1" xr2:uid="{00000000-000D-0000-FFFF-FFFF00000000}"/>
  </bookViews>
  <sheets>
    <sheet name="Données" sheetId="1" r:id="rId1"/>
    <sheet name="Résultats" sheetId="3" r:id="rId2"/>
    <sheet name="Résultat (Ln)" sheetId="8" r:id="rId3"/>
    <sheet name="Description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8" l="1"/>
  <c r="I96" i="8"/>
  <c r="I95" i="8"/>
  <c r="L86" i="8"/>
  <c r="L87" i="8"/>
  <c r="L88" i="8"/>
  <c r="M88" i="8" s="1"/>
  <c r="L89" i="8"/>
  <c r="M89" i="8" s="1"/>
  <c r="L90" i="8"/>
  <c r="L91" i="8"/>
  <c r="L92" i="8"/>
  <c r="L85" i="8"/>
  <c r="M85" i="8" s="1"/>
  <c r="K86" i="8"/>
  <c r="K87" i="8"/>
  <c r="K88" i="8"/>
  <c r="K89" i="8"/>
  <c r="K90" i="8"/>
  <c r="K91" i="8"/>
  <c r="K92" i="8"/>
  <c r="K85" i="8"/>
  <c r="J86" i="8"/>
  <c r="J87" i="8"/>
  <c r="J88" i="8"/>
  <c r="J89" i="8"/>
  <c r="J90" i="8"/>
  <c r="J91" i="8"/>
  <c r="J92" i="8"/>
  <c r="J85" i="8"/>
  <c r="I86" i="8"/>
  <c r="I87" i="8"/>
  <c r="I88" i="8"/>
  <c r="I89" i="8"/>
  <c r="I90" i="8"/>
  <c r="I91" i="8"/>
  <c r="I92" i="8"/>
  <c r="I85" i="8"/>
  <c r="M92" i="8"/>
  <c r="M91" i="8"/>
  <c r="M90" i="8"/>
  <c r="M87" i="8"/>
  <c r="M86" i="8"/>
  <c r="L70" i="8"/>
  <c r="I71" i="8"/>
  <c r="I72" i="8"/>
  <c r="L72" i="8" s="1"/>
  <c r="I73" i="8"/>
  <c r="L73" i="8" s="1"/>
  <c r="I74" i="8"/>
  <c r="I75" i="8"/>
  <c r="I76" i="8"/>
  <c r="I77" i="8"/>
  <c r="I70" i="8"/>
  <c r="G74" i="3"/>
  <c r="L71" i="8"/>
  <c r="L74" i="8"/>
  <c r="L75" i="8"/>
  <c r="L76" i="8"/>
  <c r="L77" i="8"/>
  <c r="J74" i="3"/>
  <c r="F77" i="8"/>
  <c r="F76" i="8"/>
  <c r="F75" i="8"/>
  <c r="F74" i="8"/>
  <c r="F73" i="8"/>
  <c r="F72" i="8"/>
  <c r="F71" i="8"/>
  <c r="F70" i="8"/>
  <c r="G58" i="8" a="1"/>
  <c r="G58" i="8" s="1"/>
  <c r="F62" i="3" a="1"/>
  <c r="F62" i="3" s="1"/>
  <c r="D61" i="3"/>
  <c r="E57" i="8"/>
  <c r="D50" i="8"/>
  <c r="G51" i="8"/>
  <c r="D49" i="8"/>
  <c r="D54" i="3"/>
  <c r="D46" i="8"/>
  <c r="D45" i="8"/>
  <c r="D44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3" i="1"/>
  <c r="J45" i="8"/>
  <c r="J44" i="8"/>
  <c r="C30" i="8" a="1"/>
  <c r="C30" i="8" s="1"/>
  <c r="U20" i="8" a="1"/>
  <c r="U20" i="8" s="1"/>
  <c r="D32" i="3" a="1"/>
  <c r="D32" i="3" s="1"/>
  <c r="C19" i="8" a="1"/>
  <c r="C19" i="8" s="1"/>
  <c r="L19" i="8" s="1" a="1"/>
  <c r="L19" i="8" s="1"/>
  <c r="N9" i="8"/>
  <c r="N8" i="8"/>
  <c r="N7" i="8"/>
  <c r="N5" i="8"/>
  <c r="N6" i="8"/>
  <c r="K9" i="8"/>
  <c r="K7" i="8"/>
  <c r="K6" i="8"/>
  <c r="K5" i="8"/>
  <c r="B11" i="8"/>
  <c r="B10" i="8"/>
  <c r="W9" i="8"/>
  <c r="T9" i="8"/>
  <c r="Q9" i="8"/>
  <c r="H9" i="8"/>
  <c r="E9" i="8"/>
  <c r="B9" i="8"/>
  <c r="W8" i="8"/>
  <c r="T8" i="8"/>
  <c r="Q8" i="8"/>
  <c r="K8" i="8"/>
  <c r="H8" i="8"/>
  <c r="E8" i="8"/>
  <c r="B8" i="8"/>
  <c r="W7" i="8"/>
  <c r="T7" i="8"/>
  <c r="Q7" i="8"/>
  <c r="H7" i="8"/>
  <c r="E7" i="8"/>
  <c r="B7" i="8"/>
  <c r="W6" i="8"/>
  <c r="T6" i="8"/>
  <c r="Q6" i="8"/>
  <c r="H6" i="8"/>
  <c r="E6" i="8"/>
  <c r="B6" i="8"/>
  <c r="W5" i="8"/>
  <c r="T5" i="8"/>
  <c r="Q5" i="8"/>
  <c r="H5" i="8"/>
  <c r="E5" i="8"/>
  <c r="G49" i="8" l="1"/>
  <c r="G44" i="8"/>
  <c r="F37" i="8"/>
  <c r="F35" i="8"/>
  <c r="F34" i="8"/>
  <c r="F36" i="8"/>
  <c r="F33" i="8"/>
  <c r="F32" i="8"/>
  <c r="F31" i="8"/>
  <c r="F30" i="8"/>
  <c r="V4" i="1" l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3" i="1"/>
  <c r="J49" i="3"/>
  <c r="W19" i="3" l="1" a="1"/>
  <c r="W19" i="3" s="1"/>
  <c r="D19" i="3" a="1"/>
  <c r="D19" i="3" s="1"/>
  <c r="K16" i="3"/>
  <c r="J16" i="3"/>
  <c r="W8" i="3"/>
  <c r="W7" i="3"/>
  <c r="W6" i="3"/>
  <c r="W5" i="3"/>
  <c r="W9" i="3"/>
  <c r="T9" i="3"/>
  <c r="T8" i="3"/>
  <c r="T7" i="3"/>
  <c r="T6" i="3"/>
  <c r="T5" i="3"/>
  <c r="Q9" i="3"/>
  <c r="Q8" i="3"/>
  <c r="Q7" i="3"/>
  <c r="Q5" i="3"/>
  <c r="Q6" i="3"/>
  <c r="J50" i="3" l="1"/>
  <c r="D55" i="3" s="1"/>
  <c r="B6" i="3" l="1"/>
  <c r="B7" i="3"/>
  <c r="B8" i="3"/>
  <c r="B9" i="3"/>
  <c r="B10" i="3"/>
  <c r="B11" i="3"/>
  <c r="D49" i="3"/>
  <c r="I16" i="3" l="1"/>
  <c r="G56" i="3"/>
  <c r="H16" i="3" l="1"/>
  <c r="G16" i="3"/>
  <c r="F16" i="3"/>
  <c r="E16" i="3"/>
  <c r="N9" i="3"/>
  <c r="E9" i="3"/>
  <c r="N8" i="3"/>
  <c r="E8" i="3"/>
  <c r="N7" i="3"/>
  <c r="E7" i="3"/>
  <c r="N6" i="3"/>
  <c r="E6" i="3"/>
  <c r="N5" i="3"/>
  <c r="E5" i="3"/>
  <c r="K9" i="3"/>
  <c r="K8" i="3"/>
  <c r="K7" i="3"/>
  <c r="K6" i="3"/>
  <c r="K5" i="3"/>
  <c r="H9" i="3"/>
  <c r="H8" i="3"/>
  <c r="H7" i="3"/>
  <c r="H6" i="3"/>
  <c r="H5" i="3"/>
  <c r="M19" i="3" l="1" a="1"/>
  <c r="M19" i="3" s="1"/>
  <c r="G35" i="3" l="1"/>
  <c r="F90" i="3" s="1"/>
  <c r="G36" i="3" l="1"/>
  <c r="F91" i="3" s="1"/>
  <c r="G32" i="3"/>
  <c r="F87" i="3" s="1"/>
  <c r="G39" i="3"/>
  <c r="F94" i="3" s="1"/>
  <c r="G38" i="3"/>
  <c r="F93" i="3" s="1"/>
  <c r="G33" i="3"/>
  <c r="F88" i="3" s="1"/>
  <c r="G34" i="3"/>
  <c r="F89" i="3" s="1"/>
  <c r="G37" i="3"/>
  <c r="F92" i="3" s="1"/>
  <c r="L18" i="1" l="1"/>
  <c r="M18" i="1" s="1"/>
  <c r="L34" i="1"/>
  <c r="M34" i="1" s="1"/>
  <c r="L50" i="1"/>
  <c r="M50" i="1" s="1"/>
  <c r="L66" i="1"/>
  <c r="M66" i="1" s="1"/>
  <c r="L82" i="1"/>
  <c r="M82" i="1" s="1"/>
  <c r="L98" i="1"/>
  <c r="M98" i="1" s="1"/>
  <c r="L114" i="1"/>
  <c r="M114" i="1" s="1"/>
  <c r="L130" i="1"/>
  <c r="M130" i="1" s="1"/>
  <c r="L146" i="1"/>
  <c r="M146" i="1" s="1"/>
  <c r="L162" i="1"/>
  <c r="M162" i="1" s="1"/>
  <c r="L178" i="1"/>
  <c r="M178" i="1" s="1"/>
  <c r="L194" i="1"/>
  <c r="M194" i="1" s="1"/>
  <c r="L210" i="1"/>
  <c r="M210" i="1" s="1"/>
  <c r="L226" i="1"/>
  <c r="M226" i="1" s="1"/>
  <c r="L242" i="1"/>
  <c r="M242" i="1" s="1"/>
  <c r="L258" i="1"/>
  <c r="M258" i="1" s="1"/>
  <c r="L274" i="1"/>
  <c r="M274" i="1" s="1"/>
  <c r="L290" i="1"/>
  <c r="M290" i="1" s="1"/>
  <c r="L306" i="1"/>
  <c r="M306" i="1" s="1"/>
  <c r="L322" i="1"/>
  <c r="M322" i="1" s="1"/>
  <c r="L338" i="1"/>
  <c r="M338" i="1" s="1"/>
  <c r="L354" i="1"/>
  <c r="M354" i="1" s="1"/>
  <c r="L370" i="1"/>
  <c r="M370" i="1" s="1"/>
  <c r="L386" i="1"/>
  <c r="M386" i="1" s="1"/>
  <c r="L402" i="1"/>
  <c r="M402" i="1" s="1"/>
  <c r="L418" i="1"/>
  <c r="M418" i="1" s="1"/>
  <c r="L434" i="1"/>
  <c r="M434" i="1" s="1"/>
  <c r="L450" i="1"/>
  <c r="M450" i="1" s="1"/>
  <c r="L466" i="1"/>
  <c r="M466" i="1" s="1"/>
  <c r="L482" i="1"/>
  <c r="M482" i="1" s="1"/>
  <c r="L498" i="1"/>
  <c r="M498" i="1" s="1"/>
  <c r="L514" i="1"/>
  <c r="M514" i="1" s="1"/>
  <c r="L530" i="1"/>
  <c r="M530" i="1" s="1"/>
  <c r="L546" i="1"/>
  <c r="M546" i="1" s="1"/>
  <c r="L562" i="1"/>
  <c r="M562" i="1" s="1"/>
  <c r="L578" i="1"/>
  <c r="M578" i="1" s="1"/>
  <c r="L594" i="1"/>
  <c r="M594" i="1" s="1"/>
  <c r="L610" i="1"/>
  <c r="M610" i="1" s="1"/>
  <c r="L626" i="1"/>
  <c r="M626" i="1" s="1"/>
  <c r="L642" i="1"/>
  <c r="M642" i="1" s="1"/>
  <c r="L658" i="1"/>
  <c r="M658" i="1" s="1"/>
  <c r="L674" i="1"/>
  <c r="M674" i="1" s="1"/>
  <c r="L690" i="1"/>
  <c r="M690" i="1" s="1"/>
  <c r="L706" i="1"/>
  <c r="M706" i="1" s="1"/>
  <c r="L722" i="1"/>
  <c r="M722" i="1" s="1"/>
  <c r="L738" i="1"/>
  <c r="M738" i="1" s="1"/>
  <c r="L754" i="1"/>
  <c r="M754" i="1" s="1"/>
  <c r="L770" i="1"/>
  <c r="M770" i="1" s="1"/>
  <c r="L786" i="1"/>
  <c r="M786" i="1" s="1"/>
  <c r="L802" i="1"/>
  <c r="M802" i="1" s="1"/>
  <c r="L818" i="1"/>
  <c r="M818" i="1" s="1"/>
  <c r="L834" i="1"/>
  <c r="M834" i="1" s="1"/>
  <c r="L850" i="1"/>
  <c r="M850" i="1" s="1"/>
  <c r="L866" i="1"/>
  <c r="M866" i="1" s="1"/>
  <c r="L882" i="1"/>
  <c r="M882" i="1" s="1"/>
  <c r="L898" i="1"/>
  <c r="M898" i="1" s="1"/>
  <c r="L914" i="1"/>
  <c r="M914" i="1" s="1"/>
  <c r="L930" i="1"/>
  <c r="M930" i="1" s="1"/>
  <c r="L946" i="1"/>
  <c r="M946" i="1" s="1"/>
  <c r="L962" i="1"/>
  <c r="M962" i="1" s="1"/>
  <c r="L978" i="1"/>
  <c r="M978" i="1" s="1"/>
  <c r="L994" i="1"/>
  <c r="M994" i="1" s="1"/>
  <c r="L1010" i="1"/>
  <c r="M1010" i="1" s="1"/>
  <c r="L1026" i="1"/>
  <c r="M1026" i="1" s="1"/>
  <c r="L1042" i="1"/>
  <c r="M1042" i="1" s="1"/>
  <c r="L1058" i="1"/>
  <c r="M1058" i="1" s="1"/>
  <c r="L1074" i="1"/>
  <c r="M1074" i="1" s="1"/>
  <c r="L1090" i="1"/>
  <c r="M1090" i="1" s="1"/>
  <c r="L1106" i="1"/>
  <c r="M1106" i="1" s="1"/>
  <c r="L1122" i="1"/>
  <c r="M1122" i="1" s="1"/>
  <c r="L1138" i="1"/>
  <c r="M1138" i="1" s="1"/>
  <c r="L1154" i="1"/>
  <c r="M1154" i="1" s="1"/>
  <c r="L1170" i="1"/>
  <c r="M1170" i="1" s="1"/>
  <c r="L1186" i="1"/>
  <c r="M1186" i="1" s="1"/>
  <c r="L1202" i="1"/>
  <c r="M1202" i="1" s="1"/>
  <c r="L1218" i="1"/>
  <c r="M1218" i="1" s="1"/>
  <c r="L1234" i="1"/>
  <c r="M1234" i="1" s="1"/>
  <c r="L1250" i="1"/>
  <c r="M1250" i="1" s="1"/>
  <c r="L1266" i="1"/>
  <c r="M1266" i="1" s="1"/>
  <c r="L1282" i="1"/>
  <c r="M1282" i="1" s="1"/>
  <c r="L1298" i="1"/>
  <c r="M1298" i="1" s="1"/>
  <c r="L1314" i="1"/>
  <c r="M1314" i="1" s="1"/>
  <c r="L1330" i="1"/>
  <c r="M1330" i="1" s="1"/>
  <c r="L1346" i="1"/>
  <c r="M1346" i="1" s="1"/>
  <c r="L1362" i="1"/>
  <c r="M1362" i="1" s="1"/>
  <c r="L3" i="1"/>
  <c r="M3" i="1" s="1"/>
  <c r="L19" i="1"/>
  <c r="M19" i="1" s="1"/>
  <c r="L35" i="1"/>
  <c r="M35" i="1" s="1"/>
  <c r="L51" i="1"/>
  <c r="M51" i="1" s="1"/>
  <c r="L67" i="1"/>
  <c r="M67" i="1" s="1"/>
  <c r="L83" i="1"/>
  <c r="M83" i="1" s="1"/>
  <c r="L99" i="1"/>
  <c r="M99" i="1" s="1"/>
  <c r="L115" i="1"/>
  <c r="M115" i="1" s="1"/>
  <c r="L131" i="1"/>
  <c r="M131" i="1" s="1"/>
  <c r="L147" i="1"/>
  <c r="M147" i="1" s="1"/>
  <c r="L163" i="1"/>
  <c r="M163" i="1" s="1"/>
  <c r="L179" i="1"/>
  <c r="M179" i="1" s="1"/>
  <c r="L195" i="1"/>
  <c r="M195" i="1" s="1"/>
  <c r="L211" i="1"/>
  <c r="M211" i="1" s="1"/>
  <c r="L227" i="1"/>
  <c r="M227" i="1" s="1"/>
  <c r="L243" i="1"/>
  <c r="M243" i="1" s="1"/>
  <c r="L259" i="1"/>
  <c r="M259" i="1" s="1"/>
  <c r="L275" i="1"/>
  <c r="M275" i="1" s="1"/>
  <c r="L291" i="1"/>
  <c r="M291" i="1" s="1"/>
  <c r="L307" i="1"/>
  <c r="M307" i="1" s="1"/>
  <c r="L323" i="1"/>
  <c r="M323" i="1" s="1"/>
  <c r="L339" i="1"/>
  <c r="M339" i="1" s="1"/>
  <c r="L355" i="1"/>
  <c r="M355" i="1" s="1"/>
  <c r="L371" i="1"/>
  <c r="M371" i="1" s="1"/>
  <c r="L387" i="1"/>
  <c r="M387" i="1" s="1"/>
  <c r="L403" i="1"/>
  <c r="M403" i="1" s="1"/>
  <c r="L419" i="1"/>
  <c r="M419" i="1" s="1"/>
  <c r="L435" i="1"/>
  <c r="M435" i="1" s="1"/>
  <c r="L451" i="1"/>
  <c r="M451" i="1" s="1"/>
  <c r="L467" i="1"/>
  <c r="M467" i="1" s="1"/>
  <c r="L483" i="1"/>
  <c r="M483" i="1" s="1"/>
  <c r="L499" i="1"/>
  <c r="M499" i="1" s="1"/>
  <c r="L515" i="1"/>
  <c r="M515" i="1" s="1"/>
  <c r="L531" i="1"/>
  <c r="M531" i="1" s="1"/>
  <c r="L547" i="1"/>
  <c r="M547" i="1" s="1"/>
  <c r="L563" i="1"/>
  <c r="M563" i="1" s="1"/>
  <c r="L579" i="1"/>
  <c r="M579" i="1" s="1"/>
  <c r="L595" i="1"/>
  <c r="M595" i="1" s="1"/>
  <c r="L611" i="1"/>
  <c r="M611" i="1" s="1"/>
  <c r="L627" i="1"/>
  <c r="M627" i="1" s="1"/>
  <c r="L643" i="1"/>
  <c r="M643" i="1" s="1"/>
  <c r="L659" i="1"/>
  <c r="M659" i="1" s="1"/>
  <c r="L675" i="1"/>
  <c r="M675" i="1" s="1"/>
  <c r="L691" i="1"/>
  <c r="M691" i="1" s="1"/>
  <c r="L707" i="1"/>
  <c r="M707" i="1" s="1"/>
  <c r="L723" i="1"/>
  <c r="M723" i="1" s="1"/>
  <c r="L739" i="1"/>
  <c r="M739" i="1" s="1"/>
  <c r="L755" i="1"/>
  <c r="M755" i="1" s="1"/>
  <c r="L771" i="1"/>
  <c r="M771" i="1" s="1"/>
  <c r="L787" i="1"/>
  <c r="M787" i="1" s="1"/>
  <c r="L803" i="1"/>
  <c r="M803" i="1" s="1"/>
  <c r="L819" i="1"/>
  <c r="M819" i="1" s="1"/>
  <c r="L835" i="1"/>
  <c r="M835" i="1" s="1"/>
  <c r="L851" i="1"/>
  <c r="M851" i="1" s="1"/>
  <c r="L867" i="1"/>
  <c r="M867" i="1" s="1"/>
  <c r="L883" i="1"/>
  <c r="M883" i="1" s="1"/>
  <c r="L899" i="1"/>
  <c r="M899" i="1" s="1"/>
  <c r="L915" i="1"/>
  <c r="M915" i="1" s="1"/>
  <c r="L931" i="1"/>
  <c r="M931" i="1" s="1"/>
  <c r="L947" i="1"/>
  <c r="M947" i="1" s="1"/>
  <c r="L963" i="1"/>
  <c r="M963" i="1" s="1"/>
  <c r="L979" i="1"/>
  <c r="M979" i="1" s="1"/>
  <c r="L995" i="1"/>
  <c r="M995" i="1" s="1"/>
  <c r="L1011" i="1"/>
  <c r="M1011" i="1" s="1"/>
  <c r="L1027" i="1"/>
  <c r="M1027" i="1" s="1"/>
  <c r="L1043" i="1"/>
  <c r="M1043" i="1" s="1"/>
  <c r="L1059" i="1"/>
  <c r="M1059" i="1" s="1"/>
  <c r="L1075" i="1"/>
  <c r="M1075" i="1" s="1"/>
  <c r="L1091" i="1"/>
  <c r="M1091" i="1" s="1"/>
  <c r="L1107" i="1"/>
  <c r="M1107" i="1" s="1"/>
  <c r="L1123" i="1"/>
  <c r="M1123" i="1" s="1"/>
  <c r="L1139" i="1"/>
  <c r="M1139" i="1" s="1"/>
  <c r="L1155" i="1"/>
  <c r="M1155" i="1" s="1"/>
  <c r="L1171" i="1"/>
  <c r="M1171" i="1" s="1"/>
  <c r="L1187" i="1"/>
  <c r="M1187" i="1" s="1"/>
  <c r="L1203" i="1"/>
  <c r="M1203" i="1" s="1"/>
  <c r="L1219" i="1"/>
  <c r="M1219" i="1" s="1"/>
  <c r="L1235" i="1"/>
  <c r="M1235" i="1" s="1"/>
  <c r="L1251" i="1"/>
  <c r="M1251" i="1" s="1"/>
  <c r="L1267" i="1"/>
  <c r="M1267" i="1" s="1"/>
  <c r="L1283" i="1"/>
  <c r="M1283" i="1" s="1"/>
  <c r="L1299" i="1"/>
  <c r="M1299" i="1" s="1"/>
  <c r="L1315" i="1"/>
  <c r="M1315" i="1" s="1"/>
  <c r="L1331" i="1"/>
  <c r="M1331" i="1" s="1"/>
  <c r="L1347" i="1"/>
  <c r="M1347" i="1" s="1"/>
  <c r="L4" i="1"/>
  <c r="M4" i="1" s="1"/>
  <c r="L20" i="1"/>
  <c r="M20" i="1" s="1"/>
  <c r="L36" i="1"/>
  <c r="M36" i="1" s="1"/>
  <c r="L52" i="1"/>
  <c r="M52" i="1" s="1"/>
  <c r="L68" i="1"/>
  <c r="M68" i="1" s="1"/>
  <c r="L84" i="1"/>
  <c r="M84" i="1" s="1"/>
  <c r="L100" i="1"/>
  <c r="M100" i="1" s="1"/>
  <c r="L116" i="1"/>
  <c r="M116" i="1" s="1"/>
  <c r="L132" i="1"/>
  <c r="M132" i="1" s="1"/>
  <c r="L148" i="1"/>
  <c r="M148" i="1" s="1"/>
  <c r="L164" i="1"/>
  <c r="M164" i="1" s="1"/>
  <c r="L180" i="1"/>
  <c r="M180" i="1" s="1"/>
  <c r="L196" i="1"/>
  <c r="M196" i="1" s="1"/>
  <c r="L212" i="1"/>
  <c r="M212" i="1" s="1"/>
  <c r="L228" i="1"/>
  <c r="M228" i="1" s="1"/>
  <c r="L244" i="1"/>
  <c r="M244" i="1" s="1"/>
  <c r="L260" i="1"/>
  <c r="M260" i="1" s="1"/>
  <c r="L276" i="1"/>
  <c r="M276" i="1" s="1"/>
  <c r="L292" i="1"/>
  <c r="M292" i="1" s="1"/>
  <c r="L308" i="1"/>
  <c r="M308" i="1" s="1"/>
  <c r="L324" i="1"/>
  <c r="M324" i="1" s="1"/>
  <c r="L340" i="1"/>
  <c r="M340" i="1" s="1"/>
  <c r="L356" i="1"/>
  <c r="M356" i="1" s="1"/>
  <c r="L372" i="1"/>
  <c r="M372" i="1" s="1"/>
  <c r="L388" i="1"/>
  <c r="M388" i="1" s="1"/>
  <c r="L404" i="1"/>
  <c r="M404" i="1" s="1"/>
  <c r="L420" i="1"/>
  <c r="M420" i="1" s="1"/>
  <c r="L436" i="1"/>
  <c r="M436" i="1" s="1"/>
  <c r="L452" i="1"/>
  <c r="M452" i="1" s="1"/>
  <c r="L468" i="1"/>
  <c r="M468" i="1" s="1"/>
  <c r="L484" i="1"/>
  <c r="M484" i="1" s="1"/>
  <c r="L500" i="1"/>
  <c r="M500" i="1" s="1"/>
  <c r="L516" i="1"/>
  <c r="M516" i="1" s="1"/>
  <c r="L532" i="1"/>
  <c r="M532" i="1" s="1"/>
  <c r="L548" i="1"/>
  <c r="M548" i="1" s="1"/>
  <c r="L564" i="1"/>
  <c r="M564" i="1" s="1"/>
  <c r="L580" i="1"/>
  <c r="M580" i="1" s="1"/>
  <c r="L596" i="1"/>
  <c r="M596" i="1" s="1"/>
  <c r="L612" i="1"/>
  <c r="M612" i="1" s="1"/>
  <c r="L628" i="1"/>
  <c r="M628" i="1" s="1"/>
  <c r="L644" i="1"/>
  <c r="M644" i="1" s="1"/>
  <c r="L660" i="1"/>
  <c r="M660" i="1" s="1"/>
  <c r="L676" i="1"/>
  <c r="M676" i="1" s="1"/>
  <c r="L692" i="1"/>
  <c r="M692" i="1" s="1"/>
  <c r="L708" i="1"/>
  <c r="M708" i="1" s="1"/>
  <c r="L724" i="1"/>
  <c r="M724" i="1" s="1"/>
  <c r="L740" i="1"/>
  <c r="M740" i="1" s="1"/>
  <c r="L756" i="1"/>
  <c r="M756" i="1" s="1"/>
  <c r="L772" i="1"/>
  <c r="M772" i="1" s="1"/>
  <c r="L788" i="1"/>
  <c r="M788" i="1" s="1"/>
  <c r="L804" i="1"/>
  <c r="M804" i="1" s="1"/>
  <c r="L820" i="1"/>
  <c r="M820" i="1" s="1"/>
  <c r="L836" i="1"/>
  <c r="M836" i="1" s="1"/>
  <c r="L852" i="1"/>
  <c r="M852" i="1" s="1"/>
  <c r="L868" i="1"/>
  <c r="M868" i="1" s="1"/>
  <c r="L884" i="1"/>
  <c r="M884" i="1" s="1"/>
  <c r="L900" i="1"/>
  <c r="M900" i="1" s="1"/>
  <c r="L916" i="1"/>
  <c r="M916" i="1" s="1"/>
  <c r="L932" i="1"/>
  <c r="M932" i="1" s="1"/>
  <c r="L948" i="1"/>
  <c r="M948" i="1" s="1"/>
  <c r="L964" i="1"/>
  <c r="M964" i="1" s="1"/>
  <c r="L980" i="1"/>
  <c r="M980" i="1" s="1"/>
  <c r="L996" i="1"/>
  <c r="M996" i="1" s="1"/>
  <c r="L1012" i="1"/>
  <c r="M1012" i="1" s="1"/>
  <c r="L1028" i="1"/>
  <c r="M1028" i="1" s="1"/>
  <c r="L5" i="1"/>
  <c r="M5" i="1" s="1"/>
  <c r="L21" i="1"/>
  <c r="M21" i="1" s="1"/>
  <c r="L37" i="1"/>
  <c r="M37" i="1" s="1"/>
  <c r="L53" i="1"/>
  <c r="M53" i="1" s="1"/>
  <c r="L69" i="1"/>
  <c r="M69" i="1" s="1"/>
  <c r="L85" i="1"/>
  <c r="M85" i="1" s="1"/>
  <c r="L101" i="1"/>
  <c r="M101" i="1" s="1"/>
  <c r="L117" i="1"/>
  <c r="M117" i="1" s="1"/>
  <c r="L133" i="1"/>
  <c r="M133" i="1" s="1"/>
  <c r="L149" i="1"/>
  <c r="M149" i="1" s="1"/>
  <c r="L165" i="1"/>
  <c r="M165" i="1" s="1"/>
  <c r="L181" i="1"/>
  <c r="M181" i="1" s="1"/>
  <c r="L197" i="1"/>
  <c r="M197" i="1" s="1"/>
  <c r="L213" i="1"/>
  <c r="M213" i="1" s="1"/>
  <c r="L229" i="1"/>
  <c r="M229" i="1" s="1"/>
  <c r="L245" i="1"/>
  <c r="M245" i="1" s="1"/>
  <c r="L261" i="1"/>
  <c r="M261" i="1" s="1"/>
  <c r="L277" i="1"/>
  <c r="M277" i="1" s="1"/>
  <c r="L293" i="1"/>
  <c r="M293" i="1" s="1"/>
  <c r="L309" i="1"/>
  <c r="M309" i="1" s="1"/>
  <c r="L325" i="1"/>
  <c r="M325" i="1" s="1"/>
  <c r="L341" i="1"/>
  <c r="M341" i="1" s="1"/>
  <c r="L357" i="1"/>
  <c r="M357" i="1" s="1"/>
  <c r="L373" i="1"/>
  <c r="M373" i="1" s="1"/>
  <c r="L389" i="1"/>
  <c r="M389" i="1" s="1"/>
  <c r="L405" i="1"/>
  <c r="M405" i="1" s="1"/>
  <c r="L421" i="1"/>
  <c r="M421" i="1" s="1"/>
  <c r="L437" i="1"/>
  <c r="M437" i="1" s="1"/>
  <c r="L453" i="1"/>
  <c r="M453" i="1" s="1"/>
  <c r="L469" i="1"/>
  <c r="M469" i="1" s="1"/>
  <c r="L485" i="1"/>
  <c r="M485" i="1" s="1"/>
  <c r="L501" i="1"/>
  <c r="M501" i="1" s="1"/>
  <c r="L517" i="1"/>
  <c r="M517" i="1" s="1"/>
  <c r="L533" i="1"/>
  <c r="M533" i="1" s="1"/>
  <c r="L549" i="1"/>
  <c r="M549" i="1" s="1"/>
  <c r="L565" i="1"/>
  <c r="M565" i="1" s="1"/>
  <c r="L581" i="1"/>
  <c r="M581" i="1" s="1"/>
  <c r="L597" i="1"/>
  <c r="M597" i="1" s="1"/>
  <c r="L613" i="1"/>
  <c r="M613" i="1" s="1"/>
  <c r="L629" i="1"/>
  <c r="M629" i="1" s="1"/>
  <c r="L645" i="1"/>
  <c r="M645" i="1" s="1"/>
  <c r="L661" i="1"/>
  <c r="M661" i="1" s="1"/>
  <c r="L677" i="1"/>
  <c r="M677" i="1" s="1"/>
  <c r="L693" i="1"/>
  <c r="M693" i="1" s="1"/>
  <c r="L709" i="1"/>
  <c r="M709" i="1" s="1"/>
  <c r="L725" i="1"/>
  <c r="M725" i="1" s="1"/>
  <c r="L741" i="1"/>
  <c r="M741" i="1" s="1"/>
  <c r="L757" i="1"/>
  <c r="M757" i="1" s="1"/>
  <c r="L773" i="1"/>
  <c r="M773" i="1" s="1"/>
  <c r="L789" i="1"/>
  <c r="M789" i="1" s="1"/>
  <c r="L805" i="1"/>
  <c r="M805" i="1" s="1"/>
  <c r="L821" i="1"/>
  <c r="M821" i="1" s="1"/>
  <c r="L837" i="1"/>
  <c r="M837" i="1" s="1"/>
  <c r="L853" i="1"/>
  <c r="M853" i="1" s="1"/>
  <c r="L869" i="1"/>
  <c r="M869" i="1" s="1"/>
  <c r="L885" i="1"/>
  <c r="M885" i="1" s="1"/>
  <c r="L901" i="1"/>
  <c r="M901" i="1" s="1"/>
  <c r="L917" i="1"/>
  <c r="M917" i="1" s="1"/>
  <c r="L933" i="1"/>
  <c r="M933" i="1" s="1"/>
  <c r="L949" i="1"/>
  <c r="M949" i="1" s="1"/>
  <c r="L965" i="1"/>
  <c r="M965" i="1" s="1"/>
  <c r="L981" i="1"/>
  <c r="M981" i="1" s="1"/>
  <c r="L997" i="1"/>
  <c r="M997" i="1" s="1"/>
  <c r="L1013" i="1"/>
  <c r="M1013" i="1" s="1"/>
  <c r="L1029" i="1"/>
  <c r="M1029" i="1" s="1"/>
  <c r="L1045" i="1"/>
  <c r="M1045" i="1" s="1"/>
  <c r="L1061" i="1"/>
  <c r="M1061" i="1" s="1"/>
  <c r="L1077" i="1"/>
  <c r="M1077" i="1" s="1"/>
  <c r="L1093" i="1"/>
  <c r="M1093" i="1" s="1"/>
  <c r="L1109" i="1"/>
  <c r="M1109" i="1" s="1"/>
  <c r="L1125" i="1"/>
  <c r="M1125" i="1" s="1"/>
  <c r="L1141" i="1"/>
  <c r="M1141" i="1" s="1"/>
  <c r="L1157" i="1"/>
  <c r="M1157" i="1" s="1"/>
  <c r="L1173" i="1"/>
  <c r="M1173" i="1" s="1"/>
  <c r="L1189" i="1"/>
  <c r="M1189" i="1" s="1"/>
  <c r="L1205" i="1"/>
  <c r="M1205" i="1" s="1"/>
  <c r="L1221" i="1"/>
  <c r="M1221" i="1" s="1"/>
  <c r="L1237" i="1"/>
  <c r="M1237" i="1" s="1"/>
  <c r="L1253" i="1"/>
  <c r="M1253" i="1" s="1"/>
  <c r="L1269" i="1"/>
  <c r="M1269" i="1" s="1"/>
  <c r="L1285" i="1"/>
  <c r="M1285" i="1" s="1"/>
  <c r="L1301" i="1"/>
  <c r="M1301" i="1" s="1"/>
  <c r="L1317" i="1"/>
  <c r="M1317" i="1" s="1"/>
  <c r="L1333" i="1"/>
  <c r="M1333" i="1" s="1"/>
  <c r="L1349" i="1"/>
  <c r="M1349" i="1" s="1"/>
  <c r="L6" i="1"/>
  <c r="M6" i="1" s="1"/>
  <c r="L22" i="1"/>
  <c r="M22" i="1" s="1"/>
  <c r="L38" i="1"/>
  <c r="M38" i="1" s="1"/>
  <c r="L54" i="1"/>
  <c r="M54" i="1" s="1"/>
  <c r="L70" i="1"/>
  <c r="M70" i="1" s="1"/>
  <c r="L86" i="1"/>
  <c r="M86" i="1" s="1"/>
  <c r="L102" i="1"/>
  <c r="M102" i="1" s="1"/>
  <c r="L118" i="1"/>
  <c r="M118" i="1" s="1"/>
  <c r="L134" i="1"/>
  <c r="M134" i="1" s="1"/>
  <c r="L150" i="1"/>
  <c r="M150" i="1" s="1"/>
  <c r="L166" i="1"/>
  <c r="M166" i="1" s="1"/>
  <c r="L182" i="1"/>
  <c r="M182" i="1" s="1"/>
  <c r="L198" i="1"/>
  <c r="M198" i="1" s="1"/>
  <c r="L214" i="1"/>
  <c r="M214" i="1" s="1"/>
  <c r="L230" i="1"/>
  <c r="M230" i="1" s="1"/>
  <c r="L246" i="1"/>
  <c r="M246" i="1" s="1"/>
  <c r="L262" i="1"/>
  <c r="M262" i="1" s="1"/>
  <c r="L278" i="1"/>
  <c r="M278" i="1" s="1"/>
  <c r="L294" i="1"/>
  <c r="M294" i="1" s="1"/>
  <c r="L310" i="1"/>
  <c r="M310" i="1" s="1"/>
  <c r="L326" i="1"/>
  <c r="M326" i="1" s="1"/>
  <c r="L342" i="1"/>
  <c r="M342" i="1" s="1"/>
  <c r="L358" i="1"/>
  <c r="M358" i="1" s="1"/>
  <c r="L374" i="1"/>
  <c r="M374" i="1" s="1"/>
  <c r="L390" i="1"/>
  <c r="M390" i="1" s="1"/>
  <c r="L406" i="1"/>
  <c r="M406" i="1" s="1"/>
  <c r="L422" i="1"/>
  <c r="M422" i="1" s="1"/>
  <c r="L438" i="1"/>
  <c r="M438" i="1" s="1"/>
  <c r="L454" i="1"/>
  <c r="M454" i="1" s="1"/>
  <c r="L470" i="1"/>
  <c r="M470" i="1" s="1"/>
  <c r="L486" i="1"/>
  <c r="M486" i="1" s="1"/>
  <c r="L502" i="1"/>
  <c r="M502" i="1" s="1"/>
  <c r="L518" i="1"/>
  <c r="M518" i="1" s="1"/>
  <c r="L534" i="1"/>
  <c r="M534" i="1" s="1"/>
  <c r="L550" i="1"/>
  <c r="M550" i="1" s="1"/>
  <c r="L566" i="1"/>
  <c r="M566" i="1" s="1"/>
  <c r="L582" i="1"/>
  <c r="M582" i="1" s="1"/>
  <c r="L598" i="1"/>
  <c r="M598" i="1" s="1"/>
  <c r="L614" i="1"/>
  <c r="M614" i="1" s="1"/>
  <c r="L630" i="1"/>
  <c r="M630" i="1" s="1"/>
  <c r="L646" i="1"/>
  <c r="M646" i="1" s="1"/>
  <c r="L662" i="1"/>
  <c r="M662" i="1" s="1"/>
  <c r="L678" i="1"/>
  <c r="M678" i="1" s="1"/>
  <c r="L694" i="1"/>
  <c r="M694" i="1" s="1"/>
  <c r="L710" i="1"/>
  <c r="M710" i="1" s="1"/>
  <c r="L726" i="1"/>
  <c r="M726" i="1" s="1"/>
  <c r="L742" i="1"/>
  <c r="M742" i="1" s="1"/>
  <c r="L758" i="1"/>
  <c r="M758" i="1" s="1"/>
  <c r="L774" i="1"/>
  <c r="M774" i="1" s="1"/>
  <c r="L790" i="1"/>
  <c r="M790" i="1" s="1"/>
  <c r="L806" i="1"/>
  <c r="M806" i="1" s="1"/>
  <c r="L822" i="1"/>
  <c r="M822" i="1" s="1"/>
  <c r="L838" i="1"/>
  <c r="M838" i="1" s="1"/>
  <c r="L854" i="1"/>
  <c r="M854" i="1" s="1"/>
  <c r="L870" i="1"/>
  <c r="M870" i="1" s="1"/>
  <c r="L886" i="1"/>
  <c r="M886" i="1" s="1"/>
  <c r="L902" i="1"/>
  <c r="M902" i="1" s="1"/>
  <c r="L918" i="1"/>
  <c r="M918" i="1" s="1"/>
  <c r="L934" i="1"/>
  <c r="M934" i="1" s="1"/>
  <c r="L950" i="1"/>
  <c r="M950" i="1" s="1"/>
  <c r="L966" i="1"/>
  <c r="M966" i="1" s="1"/>
  <c r="L982" i="1"/>
  <c r="M982" i="1" s="1"/>
  <c r="L998" i="1"/>
  <c r="M998" i="1" s="1"/>
  <c r="L1014" i="1"/>
  <c r="M1014" i="1" s="1"/>
  <c r="L1030" i="1"/>
  <c r="M1030" i="1" s="1"/>
  <c r="L1046" i="1"/>
  <c r="M1046" i="1" s="1"/>
  <c r="L1062" i="1"/>
  <c r="M1062" i="1" s="1"/>
  <c r="L1078" i="1"/>
  <c r="M1078" i="1" s="1"/>
  <c r="L1094" i="1"/>
  <c r="M1094" i="1" s="1"/>
  <c r="L1110" i="1"/>
  <c r="M1110" i="1" s="1"/>
  <c r="L1126" i="1"/>
  <c r="M1126" i="1" s="1"/>
  <c r="L1142" i="1"/>
  <c r="M1142" i="1" s="1"/>
  <c r="L1158" i="1"/>
  <c r="M1158" i="1" s="1"/>
  <c r="L1174" i="1"/>
  <c r="M1174" i="1" s="1"/>
  <c r="L1190" i="1"/>
  <c r="M1190" i="1" s="1"/>
  <c r="L1206" i="1"/>
  <c r="M1206" i="1" s="1"/>
  <c r="L1222" i="1"/>
  <c r="M1222" i="1" s="1"/>
  <c r="L1238" i="1"/>
  <c r="M1238" i="1" s="1"/>
  <c r="L1254" i="1"/>
  <c r="M1254" i="1" s="1"/>
  <c r="L1270" i="1"/>
  <c r="M1270" i="1" s="1"/>
  <c r="L1286" i="1"/>
  <c r="M1286" i="1" s="1"/>
  <c r="L1302" i="1"/>
  <c r="M1302" i="1" s="1"/>
  <c r="L1318" i="1"/>
  <c r="M1318" i="1" s="1"/>
  <c r="L1334" i="1"/>
  <c r="M1334" i="1" s="1"/>
  <c r="L1350" i="1"/>
  <c r="M1350" i="1" s="1"/>
  <c r="L7" i="1"/>
  <c r="M7" i="1" s="1"/>
  <c r="L23" i="1"/>
  <c r="M23" i="1" s="1"/>
  <c r="L39" i="1"/>
  <c r="M39" i="1" s="1"/>
  <c r="L55" i="1"/>
  <c r="M55" i="1" s="1"/>
  <c r="L71" i="1"/>
  <c r="M71" i="1" s="1"/>
  <c r="L87" i="1"/>
  <c r="M87" i="1" s="1"/>
  <c r="L103" i="1"/>
  <c r="M103" i="1" s="1"/>
  <c r="L119" i="1"/>
  <c r="M119" i="1" s="1"/>
  <c r="L135" i="1"/>
  <c r="M135" i="1" s="1"/>
  <c r="L151" i="1"/>
  <c r="M151" i="1" s="1"/>
  <c r="L167" i="1"/>
  <c r="M167" i="1" s="1"/>
  <c r="L183" i="1"/>
  <c r="M183" i="1" s="1"/>
  <c r="L199" i="1"/>
  <c r="M199" i="1" s="1"/>
  <c r="L215" i="1"/>
  <c r="M215" i="1" s="1"/>
  <c r="L231" i="1"/>
  <c r="M231" i="1" s="1"/>
  <c r="L247" i="1"/>
  <c r="M247" i="1" s="1"/>
  <c r="L263" i="1"/>
  <c r="M263" i="1" s="1"/>
  <c r="L279" i="1"/>
  <c r="M279" i="1" s="1"/>
  <c r="L295" i="1"/>
  <c r="M295" i="1" s="1"/>
  <c r="L311" i="1"/>
  <c r="M311" i="1" s="1"/>
  <c r="L327" i="1"/>
  <c r="M327" i="1" s="1"/>
  <c r="L343" i="1"/>
  <c r="M343" i="1" s="1"/>
  <c r="L359" i="1"/>
  <c r="M359" i="1" s="1"/>
  <c r="L375" i="1"/>
  <c r="M375" i="1" s="1"/>
  <c r="L391" i="1"/>
  <c r="M391" i="1" s="1"/>
  <c r="L407" i="1"/>
  <c r="M407" i="1" s="1"/>
  <c r="L423" i="1"/>
  <c r="M423" i="1" s="1"/>
  <c r="L439" i="1"/>
  <c r="M439" i="1" s="1"/>
  <c r="L455" i="1"/>
  <c r="M455" i="1" s="1"/>
  <c r="L471" i="1"/>
  <c r="M471" i="1" s="1"/>
  <c r="L487" i="1"/>
  <c r="M487" i="1" s="1"/>
  <c r="L503" i="1"/>
  <c r="M503" i="1" s="1"/>
  <c r="L519" i="1"/>
  <c r="M519" i="1" s="1"/>
  <c r="L535" i="1"/>
  <c r="M535" i="1" s="1"/>
  <c r="L551" i="1"/>
  <c r="M551" i="1" s="1"/>
  <c r="L567" i="1"/>
  <c r="M567" i="1" s="1"/>
  <c r="L583" i="1"/>
  <c r="M583" i="1" s="1"/>
  <c r="L599" i="1"/>
  <c r="M599" i="1" s="1"/>
  <c r="L615" i="1"/>
  <c r="M615" i="1" s="1"/>
  <c r="L631" i="1"/>
  <c r="M631" i="1" s="1"/>
  <c r="L647" i="1"/>
  <c r="M647" i="1" s="1"/>
  <c r="L663" i="1"/>
  <c r="M663" i="1" s="1"/>
  <c r="L679" i="1"/>
  <c r="M679" i="1" s="1"/>
  <c r="L695" i="1"/>
  <c r="M695" i="1" s="1"/>
  <c r="L711" i="1"/>
  <c r="M711" i="1" s="1"/>
  <c r="L8" i="1"/>
  <c r="M8" i="1" s="1"/>
  <c r="L24" i="1"/>
  <c r="M24" i="1" s="1"/>
  <c r="L40" i="1"/>
  <c r="M40" i="1" s="1"/>
  <c r="L56" i="1"/>
  <c r="M56" i="1" s="1"/>
  <c r="L72" i="1"/>
  <c r="M72" i="1" s="1"/>
  <c r="L88" i="1"/>
  <c r="M88" i="1" s="1"/>
  <c r="L104" i="1"/>
  <c r="M104" i="1" s="1"/>
  <c r="L120" i="1"/>
  <c r="M120" i="1" s="1"/>
  <c r="L136" i="1"/>
  <c r="M136" i="1" s="1"/>
  <c r="L152" i="1"/>
  <c r="M152" i="1" s="1"/>
  <c r="L168" i="1"/>
  <c r="M168" i="1" s="1"/>
  <c r="L184" i="1"/>
  <c r="M184" i="1" s="1"/>
  <c r="L200" i="1"/>
  <c r="M200" i="1" s="1"/>
  <c r="L216" i="1"/>
  <c r="M216" i="1" s="1"/>
  <c r="L232" i="1"/>
  <c r="M232" i="1" s="1"/>
  <c r="L248" i="1"/>
  <c r="M248" i="1" s="1"/>
  <c r="L264" i="1"/>
  <c r="M264" i="1" s="1"/>
  <c r="L280" i="1"/>
  <c r="M280" i="1" s="1"/>
  <c r="L296" i="1"/>
  <c r="M296" i="1" s="1"/>
  <c r="L312" i="1"/>
  <c r="M312" i="1" s="1"/>
  <c r="L328" i="1"/>
  <c r="M328" i="1" s="1"/>
  <c r="L344" i="1"/>
  <c r="M344" i="1" s="1"/>
  <c r="L360" i="1"/>
  <c r="M360" i="1" s="1"/>
  <c r="L376" i="1"/>
  <c r="M376" i="1" s="1"/>
  <c r="L392" i="1"/>
  <c r="M392" i="1" s="1"/>
  <c r="L408" i="1"/>
  <c r="M408" i="1" s="1"/>
  <c r="L424" i="1"/>
  <c r="M424" i="1" s="1"/>
  <c r="L440" i="1"/>
  <c r="M440" i="1" s="1"/>
  <c r="L456" i="1"/>
  <c r="M456" i="1" s="1"/>
  <c r="L472" i="1"/>
  <c r="M472" i="1" s="1"/>
  <c r="L488" i="1"/>
  <c r="M488" i="1" s="1"/>
  <c r="L504" i="1"/>
  <c r="M504" i="1" s="1"/>
  <c r="L520" i="1"/>
  <c r="M520" i="1" s="1"/>
  <c r="L536" i="1"/>
  <c r="M536" i="1" s="1"/>
  <c r="L552" i="1"/>
  <c r="M552" i="1" s="1"/>
  <c r="L568" i="1"/>
  <c r="M568" i="1" s="1"/>
  <c r="L584" i="1"/>
  <c r="M584" i="1" s="1"/>
  <c r="L600" i="1"/>
  <c r="M600" i="1" s="1"/>
  <c r="L616" i="1"/>
  <c r="M616" i="1" s="1"/>
  <c r="L632" i="1"/>
  <c r="M632" i="1" s="1"/>
  <c r="L648" i="1"/>
  <c r="M648" i="1" s="1"/>
  <c r="L664" i="1"/>
  <c r="M664" i="1" s="1"/>
  <c r="L680" i="1"/>
  <c r="M680" i="1" s="1"/>
  <c r="L696" i="1"/>
  <c r="M696" i="1" s="1"/>
  <c r="L712" i="1"/>
  <c r="M712" i="1" s="1"/>
  <c r="L728" i="1"/>
  <c r="M728" i="1" s="1"/>
  <c r="L744" i="1"/>
  <c r="M744" i="1" s="1"/>
  <c r="L760" i="1"/>
  <c r="M760" i="1" s="1"/>
  <c r="L776" i="1"/>
  <c r="M776" i="1" s="1"/>
  <c r="L792" i="1"/>
  <c r="M792" i="1" s="1"/>
  <c r="L808" i="1"/>
  <c r="M808" i="1" s="1"/>
  <c r="L824" i="1"/>
  <c r="M824" i="1" s="1"/>
  <c r="L840" i="1"/>
  <c r="M840" i="1" s="1"/>
  <c r="L856" i="1"/>
  <c r="M856" i="1" s="1"/>
  <c r="L872" i="1"/>
  <c r="M872" i="1" s="1"/>
  <c r="L888" i="1"/>
  <c r="M888" i="1" s="1"/>
  <c r="L904" i="1"/>
  <c r="M904" i="1" s="1"/>
  <c r="L920" i="1"/>
  <c r="M920" i="1" s="1"/>
  <c r="L936" i="1"/>
  <c r="M936" i="1" s="1"/>
  <c r="L952" i="1"/>
  <c r="M952" i="1" s="1"/>
  <c r="L968" i="1"/>
  <c r="M968" i="1" s="1"/>
  <c r="L984" i="1"/>
  <c r="M984" i="1" s="1"/>
  <c r="L1000" i="1"/>
  <c r="M1000" i="1" s="1"/>
  <c r="L1016" i="1"/>
  <c r="M1016" i="1" s="1"/>
  <c r="L1032" i="1"/>
  <c r="M1032" i="1" s="1"/>
  <c r="L1048" i="1"/>
  <c r="M1048" i="1" s="1"/>
  <c r="L1064" i="1"/>
  <c r="M1064" i="1" s="1"/>
  <c r="L1080" i="1"/>
  <c r="M1080" i="1" s="1"/>
  <c r="L1096" i="1"/>
  <c r="M1096" i="1" s="1"/>
  <c r="L1112" i="1"/>
  <c r="M1112" i="1" s="1"/>
  <c r="L1128" i="1"/>
  <c r="M1128" i="1" s="1"/>
  <c r="L1144" i="1"/>
  <c r="M1144" i="1" s="1"/>
  <c r="L1160" i="1"/>
  <c r="M1160" i="1" s="1"/>
  <c r="L1176" i="1"/>
  <c r="M1176" i="1" s="1"/>
  <c r="L1192" i="1"/>
  <c r="M1192" i="1" s="1"/>
  <c r="L1208" i="1"/>
  <c r="M1208" i="1" s="1"/>
  <c r="L1224" i="1"/>
  <c r="M1224" i="1" s="1"/>
  <c r="L1240" i="1"/>
  <c r="M1240" i="1" s="1"/>
  <c r="L1256" i="1"/>
  <c r="M1256" i="1" s="1"/>
  <c r="L1272" i="1"/>
  <c r="M1272" i="1" s="1"/>
  <c r="L1288" i="1"/>
  <c r="M1288" i="1" s="1"/>
  <c r="L1304" i="1"/>
  <c r="M1304" i="1" s="1"/>
  <c r="L1320" i="1"/>
  <c r="M1320" i="1" s="1"/>
  <c r="L1336" i="1"/>
  <c r="M1336" i="1" s="1"/>
  <c r="L1352" i="1"/>
  <c r="M1352" i="1" s="1"/>
  <c r="L9" i="1"/>
  <c r="M9" i="1" s="1"/>
  <c r="L25" i="1"/>
  <c r="M25" i="1" s="1"/>
  <c r="L41" i="1"/>
  <c r="M41" i="1" s="1"/>
  <c r="L57" i="1"/>
  <c r="M57" i="1" s="1"/>
  <c r="L73" i="1"/>
  <c r="M73" i="1" s="1"/>
  <c r="L89" i="1"/>
  <c r="M89" i="1" s="1"/>
  <c r="L105" i="1"/>
  <c r="M105" i="1" s="1"/>
  <c r="L121" i="1"/>
  <c r="M121" i="1" s="1"/>
  <c r="L137" i="1"/>
  <c r="M137" i="1" s="1"/>
  <c r="L153" i="1"/>
  <c r="M153" i="1" s="1"/>
  <c r="L169" i="1"/>
  <c r="M169" i="1" s="1"/>
  <c r="L185" i="1"/>
  <c r="M185" i="1" s="1"/>
  <c r="L201" i="1"/>
  <c r="M201" i="1" s="1"/>
  <c r="L217" i="1"/>
  <c r="M217" i="1" s="1"/>
  <c r="L233" i="1"/>
  <c r="M233" i="1" s="1"/>
  <c r="L249" i="1"/>
  <c r="M249" i="1" s="1"/>
  <c r="L265" i="1"/>
  <c r="M265" i="1" s="1"/>
  <c r="L281" i="1"/>
  <c r="M281" i="1" s="1"/>
  <c r="L297" i="1"/>
  <c r="M297" i="1" s="1"/>
  <c r="L313" i="1"/>
  <c r="M313" i="1" s="1"/>
  <c r="L329" i="1"/>
  <c r="M329" i="1" s="1"/>
  <c r="L345" i="1"/>
  <c r="M345" i="1" s="1"/>
  <c r="L361" i="1"/>
  <c r="M361" i="1" s="1"/>
  <c r="L377" i="1"/>
  <c r="M377" i="1" s="1"/>
  <c r="L393" i="1"/>
  <c r="M393" i="1" s="1"/>
  <c r="L409" i="1"/>
  <c r="M409" i="1" s="1"/>
  <c r="L425" i="1"/>
  <c r="M425" i="1" s="1"/>
  <c r="L441" i="1"/>
  <c r="M441" i="1" s="1"/>
  <c r="L457" i="1"/>
  <c r="M457" i="1" s="1"/>
  <c r="L473" i="1"/>
  <c r="M473" i="1" s="1"/>
  <c r="L489" i="1"/>
  <c r="M489" i="1" s="1"/>
  <c r="L505" i="1"/>
  <c r="M505" i="1" s="1"/>
  <c r="L521" i="1"/>
  <c r="M521" i="1" s="1"/>
  <c r="L537" i="1"/>
  <c r="M537" i="1" s="1"/>
  <c r="L553" i="1"/>
  <c r="M553" i="1" s="1"/>
  <c r="L569" i="1"/>
  <c r="M569" i="1" s="1"/>
  <c r="L585" i="1"/>
  <c r="M585" i="1" s="1"/>
  <c r="L601" i="1"/>
  <c r="M601" i="1" s="1"/>
  <c r="L617" i="1"/>
  <c r="M617" i="1" s="1"/>
  <c r="L633" i="1"/>
  <c r="M633" i="1" s="1"/>
  <c r="L649" i="1"/>
  <c r="M649" i="1" s="1"/>
  <c r="L665" i="1"/>
  <c r="M665" i="1" s="1"/>
  <c r="L681" i="1"/>
  <c r="M681" i="1" s="1"/>
  <c r="L697" i="1"/>
  <c r="M697" i="1" s="1"/>
  <c r="L713" i="1"/>
  <c r="M713" i="1" s="1"/>
  <c r="L729" i="1"/>
  <c r="M729" i="1" s="1"/>
  <c r="L745" i="1"/>
  <c r="M745" i="1" s="1"/>
  <c r="L761" i="1"/>
  <c r="M761" i="1" s="1"/>
  <c r="L777" i="1"/>
  <c r="M777" i="1" s="1"/>
  <c r="L793" i="1"/>
  <c r="M793" i="1" s="1"/>
  <c r="L809" i="1"/>
  <c r="M809" i="1" s="1"/>
  <c r="L825" i="1"/>
  <c r="M825" i="1" s="1"/>
  <c r="L841" i="1"/>
  <c r="M841" i="1" s="1"/>
  <c r="L857" i="1"/>
  <c r="M857" i="1" s="1"/>
  <c r="L873" i="1"/>
  <c r="M873" i="1" s="1"/>
  <c r="L889" i="1"/>
  <c r="M889" i="1" s="1"/>
  <c r="L905" i="1"/>
  <c r="M905" i="1" s="1"/>
  <c r="L921" i="1"/>
  <c r="M921" i="1" s="1"/>
  <c r="L937" i="1"/>
  <c r="M937" i="1" s="1"/>
  <c r="L953" i="1"/>
  <c r="M953" i="1" s="1"/>
  <c r="L969" i="1"/>
  <c r="M969" i="1" s="1"/>
  <c r="L985" i="1"/>
  <c r="M985" i="1" s="1"/>
  <c r="L1001" i="1"/>
  <c r="M1001" i="1" s="1"/>
  <c r="L1017" i="1"/>
  <c r="M1017" i="1" s="1"/>
  <c r="L1033" i="1"/>
  <c r="M1033" i="1" s="1"/>
  <c r="L1049" i="1"/>
  <c r="M1049" i="1" s="1"/>
  <c r="L1065" i="1"/>
  <c r="M1065" i="1" s="1"/>
  <c r="L1081" i="1"/>
  <c r="M1081" i="1" s="1"/>
  <c r="L1097" i="1"/>
  <c r="M1097" i="1" s="1"/>
  <c r="L1113" i="1"/>
  <c r="M1113" i="1" s="1"/>
  <c r="L1129" i="1"/>
  <c r="M1129" i="1" s="1"/>
  <c r="L1145" i="1"/>
  <c r="M1145" i="1" s="1"/>
  <c r="L1161" i="1"/>
  <c r="M1161" i="1" s="1"/>
  <c r="L1177" i="1"/>
  <c r="M1177" i="1" s="1"/>
  <c r="L1193" i="1"/>
  <c r="M1193" i="1" s="1"/>
  <c r="L1209" i="1"/>
  <c r="M1209" i="1" s="1"/>
  <c r="L1225" i="1"/>
  <c r="M1225" i="1" s="1"/>
  <c r="L1241" i="1"/>
  <c r="M1241" i="1" s="1"/>
  <c r="L10" i="1"/>
  <c r="M10" i="1" s="1"/>
  <c r="L26" i="1"/>
  <c r="M26" i="1" s="1"/>
  <c r="L42" i="1"/>
  <c r="M42" i="1" s="1"/>
  <c r="L58" i="1"/>
  <c r="M58" i="1" s="1"/>
  <c r="L74" i="1"/>
  <c r="M74" i="1" s="1"/>
  <c r="L90" i="1"/>
  <c r="M90" i="1" s="1"/>
  <c r="L106" i="1"/>
  <c r="M106" i="1" s="1"/>
  <c r="L122" i="1"/>
  <c r="M122" i="1" s="1"/>
  <c r="L138" i="1"/>
  <c r="M138" i="1" s="1"/>
  <c r="L154" i="1"/>
  <c r="M154" i="1" s="1"/>
  <c r="L170" i="1"/>
  <c r="M170" i="1" s="1"/>
  <c r="L186" i="1"/>
  <c r="M186" i="1" s="1"/>
  <c r="L202" i="1"/>
  <c r="M202" i="1" s="1"/>
  <c r="L218" i="1"/>
  <c r="M218" i="1" s="1"/>
  <c r="L234" i="1"/>
  <c r="M234" i="1" s="1"/>
  <c r="L250" i="1"/>
  <c r="M250" i="1" s="1"/>
  <c r="L266" i="1"/>
  <c r="M266" i="1" s="1"/>
  <c r="L282" i="1"/>
  <c r="M282" i="1" s="1"/>
  <c r="L298" i="1"/>
  <c r="M298" i="1" s="1"/>
  <c r="L314" i="1"/>
  <c r="M314" i="1" s="1"/>
  <c r="L330" i="1"/>
  <c r="M330" i="1" s="1"/>
  <c r="L346" i="1"/>
  <c r="M346" i="1" s="1"/>
  <c r="L362" i="1"/>
  <c r="M362" i="1" s="1"/>
  <c r="L378" i="1"/>
  <c r="M378" i="1" s="1"/>
  <c r="L394" i="1"/>
  <c r="M394" i="1" s="1"/>
  <c r="L410" i="1"/>
  <c r="M410" i="1" s="1"/>
  <c r="L426" i="1"/>
  <c r="M426" i="1" s="1"/>
  <c r="L442" i="1"/>
  <c r="M442" i="1" s="1"/>
  <c r="L458" i="1"/>
  <c r="M458" i="1" s="1"/>
  <c r="L474" i="1"/>
  <c r="M474" i="1" s="1"/>
  <c r="L490" i="1"/>
  <c r="M490" i="1" s="1"/>
  <c r="L506" i="1"/>
  <c r="M506" i="1" s="1"/>
  <c r="L522" i="1"/>
  <c r="M522" i="1" s="1"/>
  <c r="L538" i="1"/>
  <c r="M538" i="1" s="1"/>
  <c r="L554" i="1"/>
  <c r="M554" i="1" s="1"/>
  <c r="L570" i="1"/>
  <c r="M570" i="1" s="1"/>
  <c r="L586" i="1"/>
  <c r="M586" i="1" s="1"/>
  <c r="L602" i="1"/>
  <c r="M602" i="1" s="1"/>
  <c r="L618" i="1"/>
  <c r="M618" i="1" s="1"/>
  <c r="L634" i="1"/>
  <c r="M634" i="1" s="1"/>
  <c r="L650" i="1"/>
  <c r="M650" i="1" s="1"/>
  <c r="L666" i="1"/>
  <c r="M666" i="1" s="1"/>
  <c r="L682" i="1"/>
  <c r="M682" i="1" s="1"/>
  <c r="L698" i="1"/>
  <c r="M698" i="1" s="1"/>
  <c r="L714" i="1"/>
  <c r="M714" i="1" s="1"/>
  <c r="L730" i="1"/>
  <c r="M730" i="1" s="1"/>
  <c r="L746" i="1"/>
  <c r="M746" i="1" s="1"/>
  <c r="L762" i="1"/>
  <c r="M762" i="1" s="1"/>
  <c r="L778" i="1"/>
  <c r="M778" i="1" s="1"/>
  <c r="L794" i="1"/>
  <c r="M794" i="1" s="1"/>
  <c r="L810" i="1"/>
  <c r="M810" i="1" s="1"/>
  <c r="L826" i="1"/>
  <c r="M826" i="1" s="1"/>
  <c r="L842" i="1"/>
  <c r="M842" i="1" s="1"/>
  <c r="L858" i="1"/>
  <c r="M858" i="1" s="1"/>
  <c r="L874" i="1"/>
  <c r="M874" i="1" s="1"/>
  <c r="L890" i="1"/>
  <c r="M890" i="1" s="1"/>
  <c r="L906" i="1"/>
  <c r="M906" i="1" s="1"/>
  <c r="L922" i="1"/>
  <c r="M922" i="1" s="1"/>
  <c r="L938" i="1"/>
  <c r="M938" i="1" s="1"/>
  <c r="L954" i="1"/>
  <c r="M954" i="1" s="1"/>
  <c r="L970" i="1"/>
  <c r="M970" i="1" s="1"/>
  <c r="L986" i="1"/>
  <c r="M986" i="1" s="1"/>
  <c r="L1002" i="1"/>
  <c r="M1002" i="1" s="1"/>
  <c r="L1018" i="1"/>
  <c r="M1018" i="1" s="1"/>
  <c r="L1034" i="1"/>
  <c r="M1034" i="1" s="1"/>
  <c r="L1050" i="1"/>
  <c r="M1050" i="1" s="1"/>
  <c r="L1066" i="1"/>
  <c r="M1066" i="1" s="1"/>
  <c r="L1082" i="1"/>
  <c r="M1082" i="1" s="1"/>
  <c r="L1098" i="1"/>
  <c r="M1098" i="1" s="1"/>
  <c r="L1114" i="1"/>
  <c r="M1114" i="1" s="1"/>
  <c r="L1130" i="1"/>
  <c r="M1130" i="1" s="1"/>
  <c r="L1146" i="1"/>
  <c r="M1146" i="1" s="1"/>
  <c r="L1162" i="1"/>
  <c r="M1162" i="1" s="1"/>
  <c r="L1178" i="1"/>
  <c r="M1178" i="1" s="1"/>
  <c r="L1194" i="1"/>
  <c r="M1194" i="1" s="1"/>
  <c r="L1210" i="1"/>
  <c r="M1210" i="1" s="1"/>
  <c r="L1226" i="1"/>
  <c r="M1226" i="1" s="1"/>
  <c r="L1242" i="1"/>
  <c r="M1242" i="1" s="1"/>
  <c r="L1258" i="1"/>
  <c r="M1258" i="1" s="1"/>
  <c r="L1274" i="1"/>
  <c r="M1274" i="1" s="1"/>
  <c r="L1290" i="1"/>
  <c r="M1290" i="1" s="1"/>
  <c r="L1306" i="1"/>
  <c r="M1306" i="1" s="1"/>
  <c r="L1322" i="1"/>
  <c r="M1322" i="1" s="1"/>
  <c r="L1338" i="1"/>
  <c r="M1338" i="1" s="1"/>
  <c r="L1354" i="1"/>
  <c r="M1354" i="1" s="1"/>
  <c r="L11" i="1"/>
  <c r="M11" i="1" s="1"/>
  <c r="L27" i="1"/>
  <c r="M27" i="1" s="1"/>
  <c r="L43" i="1"/>
  <c r="M43" i="1" s="1"/>
  <c r="L59" i="1"/>
  <c r="M59" i="1" s="1"/>
  <c r="L75" i="1"/>
  <c r="M75" i="1" s="1"/>
  <c r="L91" i="1"/>
  <c r="M91" i="1" s="1"/>
  <c r="L107" i="1"/>
  <c r="M107" i="1" s="1"/>
  <c r="L123" i="1"/>
  <c r="M123" i="1" s="1"/>
  <c r="L139" i="1"/>
  <c r="M139" i="1" s="1"/>
  <c r="L155" i="1"/>
  <c r="M155" i="1" s="1"/>
  <c r="L171" i="1"/>
  <c r="M171" i="1" s="1"/>
  <c r="L187" i="1"/>
  <c r="M187" i="1" s="1"/>
  <c r="L203" i="1"/>
  <c r="M203" i="1" s="1"/>
  <c r="L219" i="1"/>
  <c r="M219" i="1" s="1"/>
  <c r="L235" i="1"/>
  <c r="M235" i="1" s="1"/>
  <c r="L251" i="1"/>
  <c r="M251" i="1" s="1"/>
  <c r="L267" i="1"/>
  <c r="M267" i="1" s="1"/>
  <c r="L283" i="1"/>
  <c r="M283" i="1" s="1"/>
  <c r="L299" i="1"/>
  <c r="M299" i="1" s="1"/>
  <c r="L315" i="1"/>
  <c r="M315" i="1" s="1"/>
  <c r="L331" i="1"/>
  <c r="M331" i="1" s="1"/>
  <c r="L347" i="1"/>
  <c r="M347" i="1" s="1"/>
  <c r="L363" i="1"/>
  <c r="M363" i="1" s="1"/>
  <c r="L379" i="1"/>
  <c r="M379" i="1" s="1"/>
  <c r="L395" i="1"/>
  <c r="M395" i="1" s="1"/>
  <c r="L411" i="1"/>
  <c r="M411" i="1" s="1"/>
  <c r="L427" i="1"/>
  <c r="M427" i="1" s="1"/>
  <c r="L443" i="1"/>
  <c r="M443" i="1" s="1"/>
  <c r="L459" i="1"/>
  <c r="M459" i="1" s="1"/>
  <c r="L475" i="1"/>
  <c r="M475" i="1" s="1"/>
  <c r="L491" i="1"/>
  <c r="M491" i="1" s="1"/>
  <c r="L507" i="1"/>
  <c r="M507" i="1" s="1"/>
  <c r="L523" i="1"/>
  <c r="M523" i="1" s="1"/>
  <c r="L539" i="1"/>
  <c r="M539" i="1" s="1"/>
  <c r="L555" i="1"/>
  <c r="M555" i="1" s="1"/>
  <c r="L571" i="1"/>
  <c r="M571" i="1" s="1"/>
  <c r="L587" i="1"/>
  <c r="M587" i="1" s="1"/>
  <c r="L603" i="1"/>
  <c r="M603" i="1" s="1"/>
  <c r="L619" i="1"/>
  <c r="M619" i="1" s="1"/>
  <c r="L635" i="1"/>
  <c r="M635" i="1" s="1"/>
  <c r="L651" i="1"/>
  <c r="M651" i="1" s="1"/>
  <c r="L667" i="1"/>
  <c r="M667" i="1" s="1"/>
  <c r="L683" i="1"/>
  <c r="M683" i="1" s="1"/>
  <c r="L699" i="1"/>
  <c r="M699" i="1" s="1"/>
  <c r="L715" i="1"/>
  <c r="M715" i="1" s="1"/>
  <c r="L731" i="1"/>
  <c r="M731" i="1" s="1"/>
  <c r="L747" i="1"/>
  <c r="M747" i="1" s="1"/>
  <c r="L763" i="1"/>
  <c r="M763" i="1" s="1"/>
  <c r="L779" i="1"/>
  <c r="M779" i="1" s="1"/>
  <c r="L795" i="1"/>
  <c r="M795" i="1" s="1"/>
  <c r="L811" i="1"/>
  <c r="M811" i="1" s="1"/>
  <c r="L827" i="1"/>
  <c r="M827" i="1" s="1"/>
  <c r="L843" i="1"/>
  <c r="M843" i="1" s="1"/>
  <c r="L859" i="1"/>
  <c r="M859" i="1" s="1"/>
  <c r="L875" i="1"/>
  <c r="M875" i="1" s="1"/>
  <c r="L12" i="1"/>
  <c r="M12" i="1" s="1"/>
  <c r="L28" i="1"/>
  <c r="M28" i="1" s="1"/>
  <c r="L44" i="1"/>
  <c r="M44" i="1" s="1"/>
  <c r="L60" i="1"/>
  <c r="M60" i="1" s="1"/>
  <c r="L76" i="1"/>
  <c r="M76" i="1" s="1"/>
  <c r="L92" i="1"/>
  <c r="M92" i="1" s="1"/>
  <c r="L108" i="1"/>
  <c r="M108" i="1" s="1"/>
  <c r="L124" i="1"/>
  <c r="M124" i="1" s="1"/>
  <c r="L140" i="1"/>
  <c r="M140" i="1" s="1"/>
  <c r="L156" i="1"/>
  <c r="M156" i="1" s="1"/>
  <c r="L172" i="1"/>
  <c r="M172" i="1" s="1"/>
  <c r="L188" i="1"/>
  <c r="M188" i="1" s="1"/>
  <c r="L204" i="1"/>
  <c r="M204" i="1" s="1"/>
  <c r="L220" i="1"/>
  <c r="M220" i="1" s="1"/>
  <c r="L236" i="1"/>
  <c r="M236" i="1" s="1"/>
  <c r="L252" i="1"/>
  <c r="M252" i="1" s="1"/>
  <c r="L268" i="1"/>
  <c r="M268" i="1" s="1"/>
  <c r="L284" i="1"/>
  <c r="M284" i="1" s="1"/>
  <c r="L300" i="1"/>
  <c r="M300" i="1" s="1"/>
  <c r="L316" i="1"/>
  <c r="M316" i="1" s="1"/>
  <c r="L332" i="1"/>
  <c r="M332" i="1" s="1"/>
  <c r="L348" i="1"/>
  <c r="M348" i="1" s="1"/>
  <c r="L364" i="1"/>
  <c r="M364" i="1" s="1"/>
  <c r="L380" i="1"/>
  <c r="M380" i="1" s="1"/>
  <c r="L396" i="1"/>
  <c r="M396" i="1" s="1"/>
  <c r="L412" i="1"/>
  <c r="M412" i="1" s="1"/>
  <c r="L428" i="1"/>
  <c r="M428" i="1" s="1"/>
  <c r="L444" i="1"/>
  <c r="M444" i="1" s="1"/>
  <c r="L460" i="1"/>
  <c r="M460" i="1" s="1"/>
  <c r="L476" i="1"/>
  <c r="M476" i="1" s="1"/>
  <c r="L492" i="1"/>
  <c r="M492" i="1" s="1"/>
  <c r="L508" i="1"/>
  <c r="M508" i="1" s="1"/>
  <c r="L524" i="1"/>
  <c r="M524" i="1" s="1"/>
  <c r="L540" i="1"/>
  <c r="M540" i="1" s="1"/>
  <c r="L556" i="1"/>
  <c r="M556" i="1" s="1"/>
  <c r="L572" i="1"/>
  <c r="M572" i="1" s="1"/>
  <c r="L588" i="1"/>
  <c r="M588" i="1" s="1"/>
  <c r="L604" i="1"/>
  <c r="M604" i="1" s="1"/>
  <c r="L620" i="1"/>
  <c r="M620" i="1" s="1"/>
  <c r="L636" i="1"/>
  <c r="M636" i="1" s="1"/>
  <c r="L652" i="1"/>
  <c r="M652" i="1" s="1"/>
  <c r="L668" i="1"/>
  <c r="M668" i="1" s="1"/>
  <c r="L684" i="1"/>
  <c r="M684" i="1" s="1"/>
  <c r="L700" i="1"/>
  <c r="M700" i="1" s="1"/>
  <c r="L716" i="1"/>
  <c r="M716" i="1" s="1"/>
  <c r="L732" i="1"/>
  <c r="M732" i="1" s="1"/>
  <c r="L748" i="1"/>
  <c r="M748" i="1" s="1"/>
  <c r="L764" i="1"/>
  <c r="M764" i="1" s="1"/>
  <c r="L780" i="1"/>
  <c r="M780" i="1" s="1"/>
  <c r="L796" i="1"/>
  <c r="M796" i="1" s="1"/>
  <c r="L812" i="1"/>
  <c r="M812" i="1" s="1"/>
  <c r="L828" i="1"/>
  <c r="M828" i="1" s="1"/>
  <c r="L844" i="1"/>
  <c r="M844" i="1" s="1"/>
  <c r="L860" i="1"/>
  <c r="M860" i="1" s="1"/>
  <c r="L876" i="1"/>
  <c r="M876" i="1" s="1"/>
  <c r="L892" i="1"/>
  <c r="M892" i="1" s="1"/>
  <c r="L908" i="1"/>
  <c r="M908" i="1" s="1"/>
  <c r="L924" i="1"/>
  <c r="M924" i="1" s="1"/>
  <c r="L940" i="1"/>
  <c r="M940" i="1" s="1"/>
  <c r="L956" i="1"/>
  <c r="M956" i="1" s="1"/>
  <c r="L972" i="1"/>
  <c r="M972" i="1" s="1"/>
  <c r="L988" i="1"/>
  <c r="M988" i="1" s="1"/>
  <c r="L1004" i="1"/>
  <c r="M1004" i="1" s="1"/>
  <c r="L1020" i="1"/>
  <c r="M1020" i="1" s="1"/>
  <c r="L1036" i="1"/>
  <c r="M1036" i="1" s="1"/>
  <c r="L1052" i="1"/>
  <c r="M1052" i="1" s="1"/>
  <c r="L1068" i="1"/>
  <c r="M1068" i="1" s="1"/>
  <c r="L1084" i="1"/>
  <c r="M1084" i="1" s="1"/>
  <c r="L1100" i="1"/>
  <c r="M1100" i="1" s="1"/>
  <c r="L1116" i="1"/>
  <c r="M1116" i="1" s="1"/>
  <c r="L1132" i="1"/>
  <c r="M1132" i="1" s="1"/>
  <c r="L1148" i="1"/>
  <c r="M1148" i="1" s="1"/>
  <c r="L1164" i="1"/>
  <c r="M1164" i="1" s="1"/>
  <c r="L1180" i="1"/>
  <c r="M1180" i="1" s="1"/>
  <c r="L1196" i="1"/>
  <c r="M1196" i="1" s="1"/>
  <c r="L1212" i="1"/>
  <c r="M1212" i="1" s="1"/>
  <c r="L1228" i="1"/>
  <c r="M1228" i="1" s="1"/>
  <c r="L1244" i="1"/>
  <c r="M1244" i="1" s="1"/>
  <c r="L1260" i="1"/>
  <c r="M1260" i="1" s="1"/>
  <c r="L1276" i="1"/>
  <c r="M1276" i="1" s="1"/>
  <c r="L1292" i="1"/>
  <c r="M1292" i="1" s="1"/>
  <c r="L1308" i="1"/>
  <c r="M1308" i="1" s="1"/>
  <c r="L1324" i="1"/>
  <c r="M1324" i="1" s="1"/>
  <c r="L1340" i="1"/>
  <c r="M1340" i="1" s="1"/>
  <c r="L1356" i="1"/>
  <c r="M1356" i="1" s="1"/>
  <c r="L13" i="1"/>
  <c r="M13" i="1" s="1"/>
  <c r="L29" i="1"/>
  <c r="M29" i="1" s="1"/>
  <c r="L45" i="1"/>
  <c r="M45" i="1" s="1"/>
  <c r="L61" i="1"/>
  <c r="M61" i="1" s="1"/>
  <c r="L77" i="1"/>
  <c r="M77" i="1" s="1"/>
  <c r="L93" i="1"/>
  <c r="M93" i="1" s="1"/>
  <c r="L109" i="1"/>
  <c r="M109" i="1" s="1"/>
  <c r="L125" i="1"/>
  <c r="M125" i="1" s="1"/>
  <c r="L141" i="1"/>
  <c r="M141" i="1" s="1"/>
  <c r="L157" i="1"/>
  <c r="M157" i="1" s="1"/>
  <c r="L173" i="1"/>
  <c r="M173" i="1" s="1"/>
  <c r="L189" i="1"/>
  <c r="M189" i="1" s="1"/>
  <c r="L205" i="1"/>
  <c r="M205" i="1" s="1"/>
  <c r="L221" i="1"/>
  <c r="M221" i="1" s="1"/>
  <c r="L237" i="1"/>
  <c r="M237" i="1" s="1"/>
  <c r="L253" i="1"/>
  <c r="M253" i="1" s="1"/>
  <c r="L269" i="1"/>
  <c r="M269" i="1" s="1"/>
  <c r="L285" i="1"/>
  <c r="M285" i="1" s="1"/>
  <c r="L301" i="1"/>
  <c r="M301" i="1" s="1"/>
  <c r="L317" i="1"/>
  <c r="M317" i="1" s="1"/>
  <c r="L333" i="1"/>
  <c r="M333" i="1" s="1"/>
  <c r="L349" i="1"/>
  <c r="M349" i="1" s="1"/>
  <c r="L365" i="1"/>
  <c r="M365" i="1" s="1"/>
  <c r="L381" i="1"/>
  <c r="M381" i="1" s="1"/>
  <c r="L397" i="1"/>
  <c r="M397" i="1" s="1"/>
  <c r="L413" i="1"/>
  <c r="M413" i="1" s="1"/>
  <c r="L429" i="1"/>
  <c r="M429" i="1" s="1"/>
  <c r="L445" i="1"/>
  <c r="M445" i="1" s="1"/>
  <c r="L461" i="1"/>
  <c r="M461" i="1" s="1"/>
  <c r="L477" i="1"/>
  <c r="M477" i="1" s="1"/>
  <c r="L493" i="1"/>
  <c r="M493" i="1" s="1"/>
  <c r="L509" i="1"/>
  <c r="M509" i="1" s="1"/>
  <c r="L525" i="1"/>
  <c r="M525" i="1" s="1"/>
  <c r="L541" i="1"/>
  <c r="M541" i="1" s="1"/>
  <c r="L557" i="1"/>
  <c r="M557" i="1" s="1"/>
  <c r="L573" i="1"/>
  <c r="M573" i="1" s="1"/>
  <c r="L589" i="1"/>
  <c r="M589" i="1" s="1"/>
  <c r="L605" i="1"/>
  <c r="M605" i="1" s="1"/>
  <c r="L621" i="1"/>
  <c r="M621" i="1" s="1"/>
  <c r="L637" i="1"/>
  <c r="M637" i="1" s="1"/>
  <c r="L653" i="1"/>
  <c r="M653" i="1" s="1"/>
  <c r="L669" i="1"/>
  <c r="M669" i="1" s="1"/>
  <c r="L685" i="1"/>
  <c r="M685" i="1" s="1"/>
  <c r="L701" i="1"/>
  <c r="M701" i="1" s="1"/>
  <c r="L717" i="1"/>
  <c r="M717" i="1" s="1"/>
  <c r="L733" i="1"/>
  <c r="M733" i="1" s="1"/>
  <c r="L749" i="1"/>
  <c r="M749" i="1" s="1"/>
  <c r="L765" i="1"/>
  <c r="M765" i="1" s="1"/>
  <c r="L781" i="1"/>
  <c r="M781" i="1" s="1"/>
  <c r="L797" i="1"/>
  <c r="M797" i="1" s="1"/>
  <c r="L813" i="1"/>
  <c r="M813" i="1" s="1"/>
  <c r="L829" i="1"/>
  <c r="M829" i="1" s="1"/>
  <c r="L845" i="1"/>
  <c r="M845" i="1" s="1"/>
  <c r="L861" i="1"/>
  <c r="M861" i="1" s="1"/>
  <c r="L877" i="1"/>
  <c r="M877" i="1" s="1"/>
  <c r="L893" i="1"/>
  <c r="M893" i="1" s="1"/>
  <c r="L909" i="1"/>
  <c r="M909" i="1" s="1"/>
  <c r="L925" i="1"/>
  <c r="M925" i="1" s="1"/>
  <c r="L941" i="1"/>
  <c r="M941" i="1" s="1"/>
  <c r="L957" i="1"/>
  <c r="M957" i="1" s="1"/>
  <c r="L973" i="1"/>
  <c r="M973" i="1" s="1"/>
  <c r="L989" i="1"/>
  <c r="M989" i="1" s="1"/>
  <c r="L1005" i="1"/>
  <c r="M1005" i="1" s="1"/>
  <c r="L1021" i="1"/>
  <c r="M1021" i="1" s="1"/>
  <c r="L14" i="1"/>
  <c r="M14" i="1" s="1"/>
  <c r="L30" i="1"/>
  <c r="M30" i="1" s="1"/>
  <c r="L46" i="1"/>
  <c r="M46" i="1" s="1"/>
  <c r="L62" i="1"/>
  <c r="M62" i="1" s="1"/>
  <c r="L78" i="1"/>
  <c r="M78" i="1" s="1"/>
  <c r="L94" i="1"/>
  <c r="M94" i="1" s="1"/>
  <c r="L110" i="1"/>
  <c r="M110" i="1" s="1"/>
  <c r="L126" i="1"/>
  <c r="M126" i="1" s="1"/>
  <c r="L142" i="1"/>
  <c r="M142" i="1" s="1"/>
  <c r="L158" i="1"/>
  <c r="M158" i="1" s="1"/>
  <c r="L174" i="1"/>
  <c r="M174" i="1" s="1"/>
  <c r="L190" i="1"/>
  <c r="M190" i="1" s="1"/>
  <c r="L206" i="1"/>
  <c r="M206" i="1" s="1"/>
  <c r="L222" i="1"/>
  <c r="M222" i="1" s="1"/>
  <c r="L238" i="1"/>
  <c r="M238" i="1" s="1"/>
  <c r="L254" i="1"/>
  <c r="M254" i="1" s="1"/>
  <c r="L270" i="1"/>
  <c r="M270" i="1" s="1"/>
  <c r="L286" i="1"/>
  <c r="M286" i="1" s="1"/>
  <c r="L302" i="1"/>
  <c r="M302" i="1" s="1"/>
  <c r="L318" i="1"/>
  <c r="M318" i="1" s="1"/>
  <c r="L334" i="1"/>
  <c r="M334" i="1" s="1"/>
  <c r="L350" i="1"/>
  <c r="M350" i="1" s="1"/>
  <c r="L366" i="1"/>
  <c r="M366" i="1" s="1"/>
  <c r="L382" i="1"/>
  <c r="M382" i="1" s="1"/>
  <c r="L398" i="1"/>
  <c r="M398" i="1" s="1"/>
  <c r="L414" i="1"/>
  <c r="M414" i="1" s="1"/>
  <c r="L430" i="1"/>
  <c r="M430" i="1" s="1"/>
  <c r="L446" i="1"/>
  <c r="M446" i="1" s="1"/>
  <c r="L462" i="1"/>
  <c r="M462" i="1" s="1"/>
  <c r="L478" i="1"/>
  <c r="M478" i="1" s="1"/>
  <c r="L494" i="1"/>
  <c r="M494" i="1" s="1"/>
  <c r="L510" i="1"/>
  <c r="M510" i="1" s="1"/>
  <c r="L526" i="1"/>
  <c r="M526" i="1" s="1"/>
  <c r="L542" i="1"/>
  <c r="M542" i="1" s="1"/>
  <c r="L558" i="1"/>
  <c r="M558" i="1" s="1"/>
  <c r="L574" i="1"/>
  <c r="M574" i="1" s="1"/>
  <c r="L590" i="1"/>
  <c r="M590" i="1" s="1"/>
  <c r="L606" i="1"/>
  <c r="M606" i="1" s="1"/>
  <c r="L622" i="1"/>
  <c r="M622" i="1" s="1"/>
  <c r="L638" i="1"/>
  <c r="M638" i="1" s="1"/>
  <c r="L654" i="1"/>
  <c r="M654" i="1" s="1"/>
  <c r="L670" i="1"/>
  <c r="M670" i="1" s="1"/>
  <c r="L686" i="1"/>
  <c r="M686" i="1" s="1"/>
  <c r="L702" i="1"/>
  <c r="M702" i="1" s="1"/>
  <c r="L718" i="1"/>
  <c r="M718" i="1" s="1"/>
  <c r="L734" i="1"/>
  <c r="M734" i="1" s="1"/>
  <c r="L750" i="1"/>
  <c r="M750" i="1" s="1"/>
  <c r="L766" i="1"/>
  <c r="M766" i="1" s="1"/>
  <c r="L782" i="1"/>
  <c r="M782" i="1" s="1"/>
  <c r="L798" i="1"/>
  <c r="M798" i="1" s="1"/>
  <c r="L814" i="1"/>
  <c r="M814" i="1" s="1"/>
  <c r="L830" i="1"/>
  <c r="M830" i="1" s="1"/>
  <c r="L846" i="1"/>
  <c r="M846" i="1" s="1"/>
  <c r="L862" i="1"/>
  <c r="M862" i="1" s="1"/>
  <c r="L878" i="1"/>
  <c r="M878" i="1" s="1"/>
  <c r="L894" i="1"/>
  <c r="M894" i="1" s="1"/>
  <c r="L910" i="1"/>
  <c r="M910" i="1" s="1"/>
  <c r="L926" i="1"/>
  <c r="M926" i="1" s="1"/>
  <c r="L942" i="1"/>
  <c r="M942" i="1" s="1"/>
  <c r="L958" i="1"/>
  <c r="M958" i="1" s="1"/>
  <c r="L974" i="1"/>
  <c r="M974" i="1" s="1"/>
  <c r="L990" i="1"/>
  <c r="M990" i="1" s="1"/>
  <c r="L1006" i="1"/>
  <c r="M1006" i="1" s="1"/>
  <c r="L15" i="1"/>
  <c r="M15" i="1" s="1"/>
  <c r="L31" i="1"/>
  <c r="M31" i="1" s="1"/>
  <c r="L47" i="1"/>
  <c r="M47" i="1" s="1"/>
  <c r="L63" i="1"/>
  <c r="M63" i="1" s="1"/>
  <c r="L79" i="1"/>
  <c r="M79" i="1" s="1"/>
  <c r="L95" i="1"/>
  <c r="M95" i="1" s="1"/>
  <c r="L111" i="1"/>
  <c r="M111" i="1" s="1"/>
  <c r="L127" i="1"/>
  <c r="M127" i="1" s="1"/>
  <c r="L143" i="1"/>
  <c r="M143" i="1" s="1"/>
  <c r="L159" i="1"/>
  <c r="M159" i="1" s="1"/>
  <c r="L175" i="1"/>
  <c r="M175" i="1" s="1"/>
  <c r="L191" i="1"/>
  <c r="M191" i="1" s="1"/>
  <c r="L207" i="1"/>
  <c r="M207" i="1" s="1"/>
  <c r="L223" i="1"/>
  <c r="M223" i="1" s="1"/>
  <c r="L239" i="1"/>
  <c r="M239" i="1" s="1"/>
  <c r="L255" i="1"/>
  <c r="M255" i="1" s="1"/>
  <c r="L271" i="1"/>
  <c r="M271" i="1" s="1"/>
  <c r="L287" i="1"/>
  <c r="M287" i="1" s="1"/>
  <c r="L303" i="1"/>
  <c r="M303" i="1" s="1"/>
  <c r="L319" i="1"/>
  <c r="M319" i="1" s="1"/>
  <c r="L335" i="1"/>
  <c r="M335" i="1" s="1"/>
  <c r="L351" i="1"/>
  <c r="M351" i="1" s="1"/>
  <c r="L367" i="1"/>
  <c r="M367" i="1" s="1"/>
  <c r="L383" i="1"/>
  <c r="M383" i="1" s="1"/>
  <c r="L399" i="1"/>
  <c r="M399" i="1" s="1"/>
  <c r="L415" i="1"/>
  <c r="M415" i="1" s="1"/>
  <c r="L431" i="1"/>
  <c r="M431" i="1" s="1"/>
  <c r="L447" i="1"/>
  <c r="M447" i="1" s="1"/>
  <c r="L463" i="1"/>
  <c r="M463" i="1" s="1"/>
  <c r="L479" i="1"/>
  <c r="M479" i="1" s="1"/>
  <c r="L495" i="1"/>
  <c r="M495" i="1" s="1"/>
  <c r="L511" i="1"/>
  <c r="M511" i="1" s="1"/>
  <c r="L527" i="1"/>
  <c r="M527" i="1" s="1"/>
  <c r="L543" i="1"/>
  <c r="M543" i="1" s="1"/>
  <c r="L559" i="1"/>
  <c r="M559" i="1" s="1"/>
  <c r="L575" i="1"/>
  <c r="M575" i="1" s="1"/>
  <c r="L591" i="1"/>
  <c r="M591" i="1" s="1"/>
  <c r="L607" i="1"/>
  <c r="M607" i="1" s="1"/>
  <c r="L623" i="1"/>
  <c r="M623" i="1" s="1"/>
  <c r="L639" i="1"/>
  <c r="M639" i="1" s="1"/>
  <c r="L655" i="1"/>
  <c r="M655" i="1" s="1"/>
  <c r="L671" i="1"/>
  <c r="M671" i="1" s="1"/>
  <c r="L687" i="1"/>
  <c r="M687" i="1" s="1"/>
  <c r="L703" i="1"/>
  <c r="M703" i="1" s="1"/>
  <c r="L719" i="1"/>
  <c r="M719" i="1" s="1"/>
  <c r="L735" i="1"/>
  <c r="M735" i="1" s="1"/>
  <c r="L751" i="1"/>
  <c r="M751" i="1" s="1"/>
  <c r="L767" i="1"/>
  <c r="M767" i="1" s="1"/>
  <c r="L783" i="1"/>
  <c r="M783" i="1" s="1"/>
  <c r="L799" i="1"/>
  <c r="M799" i="1" s="1"/>
  <c r="L815" i="1"/>
  <c r="M815" i="1" s="1"/>
  <c r="L831" i="1"/>
  <c r="M831" i="1" s="1"/>
  <c r="L847" i="1"/>
  <c r="M847" i="1" s="1"/>
  <c r="L863" i="1"/>
  <c r="M863" i="1" s="1"/>
  <c r="L879" i="1"/>
  <c r="M879" i="1" s="1"/>
  <c r="L895" i="1"/>
  <c r="M895" i="1" s="1"/>
  <c r="L911" i="1"/>
  <c r="M911" i="1" s="1"/>
  <c r="L927" i="1"/>
  <c r="M927" i="1" s="1"/>
  <c r="L943" i="1"/>
  <c r="M943" i="1" s="1"/>
  <c r="L959" i="1"/>
  <c r="M959" i="1" s="1"/>
  <c r="L975" i="1"/>
  <c r="M975" i="1" s="1"/>
  <c r="L991" i="1"/>
  <c r="M991" i="1" s="1"/>
  <c r="L1007" i="1"/>
  <c r="M1007" i="1" s="1"/>
  <c r="L1023" i="1"/>
  <c r="M1023" i="1" s="1"/>
  <c r="L1039" i="1"/>
  <c r="M1039" i="1" s="1"/>
  <c r="L1055" i="1"/>
  <c r="M1055" i="1" s="1"/>
  <c r="L1071" i="1"/>
  <c r="M1071" i="1" s="1"/>
  <c r="L1087" i="1"/>
  <c r="M1087" i="1" s="1"/>
  <c r="L1103" i="1"/>
  <c r="M1103" i="1" s="1"/>
  <c r="L1119" i="1"/>
  <c r="M1119" i="1" s="1"/>
  <c r="L1135" i="1"/>
  <c r="M1135" i="1" s="1"/>
  <c r="L1151" i="1"/>
  <c r="M1151" i="1" s="1"/>
  <c r="L1167" i="1"/>
  <c r="M1167" i="1" s="1"/>
  <c r="L1183" i="1"/>
  <c r="M1183" i="1" s="1"/>
  <c r="L1199" i="1"/>
  <c r="M1199" i="1" s="1"/>
  <c r="L1215" i="1"/>
  <c r="M1215" i="1" s="1"/>
  <c r="L1231" i="1"/>
  <c r="M1231" i="1" s="1"/>
  <c r="L1247" i="1"/>
  <c r="M1247" i="1" s="1"/>
  <c r="L1263" i="1"/>
  <c r="M1263" i="1" s="1"/>
  <c r="L1279" i="1"/>
  <c r="M1279" i="1" s="1"/>
  <c r="L1295" i="1"/>
  <c r="M1295" i="1" s="1"/>
  <c r="L1311" i="1"/>
  <c r="M1311" i="1" s="1"/>
  <c r="L1327" i="1"/>
  <c r="M1327" i="1" s="1"/>
  <c r="L1343" i="1"/>
  <c r="M1343" i="1" s="1"/>
  <c r="L1359" i="1"/>
  <c r="M1359" i="1" s="1"/>
  <c r="L16" i="1"/>
  <c r="M16" i="1" s="1"/>
  <c r="L32" i="1"/>
  <c r="M32" i="1" s="1"/>
  <c r="L48" i="1"/>
  <c r="M48" i="1" s="1"/>
  <c r="L64" i="1"/>
  <c r="M64" i="1" s="1"/>
  <c r="L80" i="1"/>
  <c r="M80" i="1" s="1"/>
  <c r="L96" i="1"/>
  <c r="M96" i="1" s="1"/>
  <c r="L112" i="1"/>
  <c r="M112" i="1" s="1"/>
  <c r="L128" i="1"/>
  <c r="M128" i="1" s="1"/>
  <c r="L144" i="1"/>
  <c r="M144" i="1" s="1"/>
  <c r="L160" i="1"/>
  <c r="M160" i="1" s="1"/>
  <c r="L176" i="1"/>
  <c r="M176" i="1" s="1"/>
  <c r="L192" i="1"/>
  <c r="M192" i="1" s="1"/>
  <c r="L208" i="1"/>
  <c r="M208" i="1" s="1"/>
  <c r="L224" i="1"/>
  <c r="M224" i="1" s="1"/>
  <c r="L240" i="1"/>
  <c r="M240" i="1" s="1"/>
  <c r="L256" i="1"/>
  <c r="M256" i="1" s="1"/>
  <c r="L272" i="1"/>
  <c r="M272" i="1" s="1"/>
  <c r="L288" i="1"/>
  <c r="M288" i="1" s="1"/>
  <c r="L304" i="1"/>
  <c r="M304" i="1" s="1"/>
  <c r="L320" i="1"/>
  <c r="M320" i="1" s="1"/>
  <c r="L336" i="1"/>
  <c r="M336" i="1" s="1"/>
  <c r="L352" i="1"/>
  <c r="M352" i="1" s="1"/>
  <c r="L368" i="1"/>
  <c r="M368" i="1" s="1"/>
  <c r="L384" i="1"/>
  <c r="M384" i="1" s="1"/>
  <c r="L400" i="1"/>
  <c r="M400" i="1" s="1"/>
  <c r="L416" i="1"/>
  <c r="M416" i="1" s="1"/>
  <c r="L432" i="1"/>
  <c r="M432" i="1" s="1"/>
  <c r="L448" i="1"/>
  <c r="M448" i="1" s="1"/>
  <c r="L464" i="1"/>
  <c r="M464" i="1" s="1"/>
  <c r="L480" i="1"/>
  <c r="M480" i="1" s="1"/>
  <c r="L496" i="1"/>
  <c r="M496" i="1" s="1"/>
  <c r="L512" i="1"/>
  <c r="M512" i="1" s="1"/>
  <c r="L528" i="1"/>
  <c r="M528" i="1" s="1"/>
  <c r="L544" i="1"/>
  <c r="M544" i="1" s="1"/>
  <c r="L560" i="1"/>
  <c r="M560" i="1" s="1"/>
  <c r="L576" i="1"/>
  <c r="M576" i="1" s="1"/>
  <c r="L592" i="1"/>
  <c r="M592" i="1" s="1"/>
  <c r="L608" i="1"/>
  <c r="M608" i="1" s="1"/>
  <c r="L624" i="1"/>
  <c r="M624" i="1" s="1"/>
  <c r="L640" i="1"/>
  <c r="M640" i="1" s="1"/>
  <c r="L656" i="1"/>
  <c r="M656" i="1" s="1"/>
  <c r="L672" i="1"/>
  <c r="M672" i="1" s="1"/>
  <c r="L688" i="1"/>
  <c r="M688" i="1" s="1"/>
  <c r="L704" i="1"/>
  <c r="M704" i="1" s="1"/>
  <c r="L720" i="1"/>
  <c r="M720" i="1" s="1"/>
  <c r="L736" i="1"/>
  <c r="M736" i="1" s="1"/>
  <c r="L752" i="1"/>
  <c r="M752" i="1" s="1"/>
  <c r="L768" i="1"/>
  <c r="M768" i="1" s="1"/>
  <c r="L784" i="1"/>
  <c r="M784" i="1" s="1"/>
  <c r="L800" i="1"/>
  <c r="M800" i="1" s="1"/>
  <c r="L816" i="1"/>
  <c r="M816" i="1" s="1"/>
  <c r="L257" i="1"/>
  <c r="M257" i="1" s="1"/>
  <c r="L513" i="1"/>
  <c r="M513" i="1" s="1"/>
  <c r="L743" i="1"/>
  <c r="M743" i="1" s="1"/>
  <c r="L855" i="1"/>
  <c r="M855" i="1" s="1"/>
  <c r="L928" i="1"/>
  <c r="M928" i="1" s="1"/>
  <c r="L992" i="1"/>
  <c r="M992" i="1" s="1"/>
  <c r="L1041" i="1"/>
  <c r="M1041" i="1" s="1"/>
  <c r="L1079" i="1"/>
  <c r="M1079" i="1" s="1"/>
  <c r="L1117" i="1"/>
  <c r="M1117" i="1" s="1"/>
  <c r="L1152" i="1"/>
  <c r="M1152" i="1" s="1"/>
  <c r="L1188" i="1"/>
  <c r="M1188" i="1" s="1"/>
  <c r="L1227" i="1"/>
  <c r="M1227" i="1" s="1"/>
  <c r="L1261" i="1"/>
  <c r="M1261" i="1" s="1"/>
  <c r="L1293" i="1"/>
  <c r="M1293" i="1" s="1"/>
  <c r="L1325" i="1"/>
  <c r="M1325" i="1" s="1"/>
  <c r="L1357" i="1"/>
  <c r="M1357" i="1" s="1"/>
  <c r="L1375" i="1"/>
  <c r="M1375" i="1" s="1"/>
  <c r="L1391" i="1"/>
  <c r="M1391" i="1" s="1"/>
  <c r="L1407" i="1"/>
  <c r="M1407" i="1" s="1"/>
  <c r="L1423" i="1"/>
  <c r="M1423" i="1" s="1"/>
  <c r="L1439" i="1"/>
  <c r="M1439" i="1" s="1"/>
  <c r="L1455" i="1"/>
  <c r="M1455" i="1" s="1"/>
  <c r="L1471" i="1"/>
  <c r="M1471" i="1" s="1"/>
  <c r="L1487" i="1"/>
  <c r="M1487" i="1" s="1"/>
  <c r="L1503" i="1"/>
  <c r="M1503" i="1" s="1"/>
  <c r="L1519" i="1"/>
  <c r="M1519" i="1" s="1"/>
  <c r="L1535" i="1"/>
  <c r="M1535" i="1" s="1"/>
  <c r="L1551" i="1"/>
  <c r="M1551" i="1" s="1"/>
  <c r="L1567" i="1"/>
  <c r="M1567" i="1" s="1"/>
  <c r="L1583" i="1"/>
  <c r="M1583" i="1" s="1"/>
  <c r="L1599" i="1"/>
  <c r="M1599" i="1" s="1"/>
  <c r="L1615" i="1"/>
  <c r="M1615" i="1" s="1"/>
  <c r="L1631" i="1"/>
  <c r="M1631" i="1" s="1"/>
  <c r="L1647" i="1"/>
  <c r="M1647" i="1" s="1"/>
  <c r="L1663" i="1"/>
  <c r="M1663" i="1" s="1"/>
  <c r="L1679" i="1"/>
  <c r="M1679" i="1" s="1"/>
  <c r="L1695" i="1"/>
  <c r="M1695" i="1" s="1"/>
  <c r="L1711" i="1"/>
  <c r="M1711" i="1" s="1"/>
  <c r="L1727" i="1"/>
  <c r="M1727" i="1" s="1"/>
  <c r="L1743" i="1"/>
  <c r="M1743" i="1" s="1"/>
  <c r="L1759" i="1"/>
  <c r="M1759" i="1" s="1"/>
  <c r="L1775" i="1"/>
  <c r="M1775" i="1" s="1"/>
  <c r="L1791" i="1"/>
  <c r="M1791" i="1" s="1"/>
  <c r="L1807" i="1"/>
  <c r="M1807" i="1" s="1"/>
  <c r="L1823" i="1"/>
  <c r="M1823" i="1" s="1"/>
  <c r="L1839" i="1"/>
  <c r="M1839" i="1" s="1"/>
  <c r="L1855" i="1"/>
  <c r="M1855" i="1" s="1"/>
  <c r="L1871" i="1"/>
  <c r="M1871" i="1" s="1"/>
  <c r="L1887" i="1"/>
  <c r="M1887" i="1" s="1"/>
  <c r="L1903" i="1"/>
  <c r="M1903" i="1" s="1"/>
  <c r="L1919" i="1"/>
  <c r="M1919" i="1" s="1"/>
  <c r="L1935" i="1"/>
  <c r="M1935" i="1" s="1"/>
  <c r="L1951" i="1"/>
  <c r="M1951" i="1" s="1"/>
  <c r="L1967" i="1"/>
  <c r="M1967" i="1" s="1"/>
  <c r="L1044" i="1"/>
  <c r="M1044" i="1" s="1"/>
  <c r="L1408" i="1"/>
  <c r="M1408" i="1" s="1"/>
  <c r="L1520" i="1"/>
  <c r="M1520" i="1" s="1"/>
  <c r="L1568" i="1"/>
  <c r="M1568" i="1" s="1"/>
  <c r="L1616" i="1"/>
  <c r="M1616" i="1" s="1"/>
  <c r="L1664" i="1"/>
  <c r="M1664" i="1" s="1"/>
  <c r="L1712" i="1"/>
  <c r="M1712" i="1" s="1"/>
  <c r="L1744" i="1"/>
  <c r="M1744" i="1" s="1"/>
  <c r="L1776" i="1"/>
  <c r="M1776" i="1" s="1"/>
  <c r="L1824" i="1"/>
  <c r="M1824" i="1" s="1"/>
  <c r="L1856" i="1"/>
  <c r="M1856" i="1" s="1"/>
  <c r="L1888" i="1"/>
  <c r="M1888" i="1" s="1"/>
  <c r="L1920" i="1"/>
  <c r="M1920" i="1" s="1"/>
  <c r="L1968" i="1"/>
  <c r="M1968" i="1" s="1"/>
  <c r="L1665" i="1"/>
  <c r="M1665" i="1" s="1"/>
  <c r="L1745" i="1"/>
  <c r="M1745" i="1" s="1"/>
  <c r="L1793" i="1"/>
  <c r="M1793" i="1" s="1"/>
  <c r="L1857" i="1"/>
  <c r="M1857" i="1" s="1"/>
  <c r="L1905" i="1"/>
  <c r="M1905" i="1" s="1"/>
  <c r="L2" i="1"/>
  <c r="L1691" i="1"/>
  <c r="M1691" i="1" s="1"/>
  <c r="L1931" i="1"/>
  <c r="M1931" i="1" s="1"/>
  <c r="L1709" i="1"/>
  <c r="M1709" i="1" s="1"/>
  <c r="L17" i="1"/>
  <c r="M17" i="1" s="1"/>
  <c r="L273" i="1"/>
  <c r="M273" i="1" s="1"/>
  <c r="L529" i="1"/>
  <c r="M529" i="1" s="1"/>
  <c r="L753" i="1"/>
  <c r="M753" i="1" s="1"/>
  <c r="L864" i="1"/>
  <c r="M864" i="1" s="1"/>
  <c r="L929" i="1"/>
  <c r="M929" i="1" s="1"/>
  <c r="L993" i="1"/>
  <c r="M993" i="1" s="1"/>
  <c r="L1083" i="1"/>
  <c r="M1083" i="1" s="1"/>
  <c r="L1118" i="1"/>
  <c r="M1118" i="1" s="1"/>
  <c r="L1191" i="1"/>
  <c r="M1191" i="1" s="1"/>
  <c r="L1229" i="1"/>
  <c r="M1229" i="1" s="1"/>
  <c r="L1262" i="1"/>
  <c r="M1262" i="1" s="1"/>
  <c r="L1294" i="1"/>
  <c r="M1294" i="1" s="1"/>
  <c r="L1326" i="1"/>
  <c r="M1326" i="1" s="1"/>
  <c r="L1376" i="1"/>
  <c r="M1376" i="1" s="1"/>
  <c r="L1424" i="1"/>
  <c r="M1424" i="1" s="1"/>
  <c r="L1456" i="1"/>
  <c r="M1456" i="1" s="1"/>
  <c r="L1488" i="1"/>
  <c r="M1488" i="1" s="1"/>
  <c r="L1536" i="1"/>
  <c r="M1536" i="1" s="1"/>
  <c r="L1584" i="1"/>
  <c r="M1584" i="1" s="1"/>
  <c r="L1632" i="1"/>
  <c r="M1632" i="1" s="1"/>
  <c r="L1680" i="1"/>
  <c r="M1680" i="1" s="1"/>
  <c r="L1728" i="1"/>
  <c r="M1728" i="1" s="1"/>
  <c r="L1792" i="1"/>
  <c r="M1792" i="1" s="1"/>
  <c r="L1840" i="1"/>
  <c r="M1840" i="1" s="1"/>
  <c r="L1904" i="1"/>
  <c r="M1904" i="1" s="1"/>
  <c r="L1952" i="1"/>
  <c r="M1952" i="1" s="1"/>
  <c r="L1633" i="1"/>
  <c r="M1633" i="1" s="1"/>
  <c r="L1729" i="1"/>
  <c r="M1729" i="1" s="1"/>
  <c r="L1809" i="1"/>
  <c r="M1809" i="1" s="1"/>
  <c r="L1889" i="1"/>
  <c r="M1889" i="1" s="1"/>
  <c r="L1953" i="1"/>
  <c r="M1953" i="1" s="1"/>
  <c r="L1707" i="1"/>
  <c r="M1707" i="1" s="1"/>
  <c r="L1773" i="1"/>
  <c r="M1773" i="1" s="1"/>
  <c r="L1965" i="1"/>
  <c r="M1965" i="1" s="1"/>
  <c r="L33" i="1"/>
  <c r="M33" i="1" s="1"/>
  <c r="L289" i="1"/>
  <c r="M289" i="1" s="1"/>
  <c r="L545" i="1"/>
  <c r="M545" i="1" s="1"/>
  <c r="L759" i="1"/>
  <c r="M759" i="1" s="1"/>
  <c r="L865" i="1"/>
  <c r="M865" i="1" s="1"/>
  <c r="L935" i="1"/>
  <c r="M935" i="1" s="1"/>
  <c r="L999" i="1"/>
  <c r="M999" i="1" s="1"/>
  <c r="L1047" i="1"/>
  <c r="M1047" i="1" s="1"/>
  <c r="L1085" i="1"/>
  <c r="M1085" i="1" s="1"/>
  <c r="L1120" i="1"/>
  <c r="M1120" i="1" s="1"/>
  <c r="L1156" i="1"/>
  <c r="M1156" i="1" s="1"/>
  <c r="L1195" i="1"/>
  <c r="M1195" i="1" s="1"/>
  <c r="L1230" i="1"/>
  <c r="M1230" i="1" s="1"/>
  <c r="L1264" i="1"/>
  <c r="M1264" i="1" s="1"/>
  <c r="L1296" i="1"/>
  <c r="M1296" i="1" s="1"/>
  <c r="L1328" i="1"/>
  <c r="M1328" i="1" s="1"/>
  <c r="L1360" i="1"/>
  <c r="M1360" i="1" s="1"/>
  <c r="L1377" i="1"/>
  <c r="M1377" i="1" s="1"/>
  <c r="L1393" i="1"/>
  <c r="M1393" i="1" s="1"/>
  <c r="L1409" i="1"/>
  <c r="M1409" i="1" s="1"/>
  <c r="L1425" i="1"/>
  <c r="M1425" i="1" s="1"/>
  <c r="L1441" i="1"/>
  <c r="M1441" i="1" s="1"/>
  <c r="L1457" i="1"/>
  <c r="M1457" i="1" s="1"/>
  <c r="L1473" i="1"/>
  <c r="M1473" i="1" s="1"/>
  <c r="L1489" i="1"/>
  <c r="M1489" i="1" s="1"/>
  <c r="L1505" i="1"/>
  <c r="M1505" i="1" s="1"/>
  <c r="L1521" i="1"/>
  <c r="M1521" i="1" s="1"/>
  <c r="L1537" i="1"/>
  <c r="M1537" i="1" s="1"/>
  <c r="L1553" i="1"/>
  <c r="M1553" i="1" s="1"/>
  <c r="L1569" i="1"/>
  <c r="M1569" i="1" s="1"/>
  <c r="L1585" i="1"/>
  <c r="M1585" i="1" s="1"/>
  <c r="L1601" i="1"/>
  <c r="M1601" i="1" s="1"/>
  <c r="L1649" i="1"/>
  <c r="M1649" i="1" s="1"/>
  <c r="L1681" i="1"/>
  <c r="M1681" i="1" s="1"/>
  <c r="L1697" i="1"/>
  <c r="M1697" i="1" s="1"/>
  <c r="L1761" i="1"/>
  <c r="M1761" i="1" s="1"/>
  <c r="L1825" i="1"/>
  <c r="M1825" i="1" s="1"/>
  <c r="L1873" i="1"/>
  <c r="M1873" i="1" s="1"/>
  <c r="L1937" i="1"/>
  <c r="M1937" i="1" s="1"/>
  <c r="L1659" i="1"/>
  <c r="M1659" i="1" s="1"/>
  <c r="L1867" i="1"/>
  <c r="M1867" i="1" s="1"/>
  <c r="L1645" i="1"/>
  <c r="M1645" i="1" s="1"/>
  <c r="L1853" i="1"/>
  <c r="M1853" i="1" s="1"/>
  <c r="L49" i="1"/>
  <c r="M49" i="1" s="1"/>
  <c r="L305" i="1"/>
  <c r="M305" i="1" s="1"/>
  <c r="L561" i="1"/>
  <c r="M561" i="1" s="1"/>
  <c r="L769" i="1"/>
  <c r="M769" i="1" s="1"/>
  <c r="L871" i="1"/>
  <c r="M871" i="1" s="1"/>
  <c r="L939" i="1"/>
  <c r="M939" i="1" s="1"/>
  <c r="L1003" i="1"/>
  <c r="M1003" i="1" s="1"/>
  <c r="L1051" i="1"/>
  <c r="M1051" i="1" s="1"/>
  <c r="L1086" i="1"/>
  <c r="M1086" i="1" s="1"/>
  <c r="L1121" i="1"/>
  <c r="M1121" i="1" s="1"/>
  <c r="L1159" i="1"/>
  <c r="M1159" i="1" s="1"/>
  <c r="L1197" i="1"/>
  <c r="M1197" i="1" s="1"/>
  <c r="L1232" i="1"/>
  <c r="M1232" i="1" s="1"/>
  <c r="L1265" i="1"/>
  <c r="M1265" i="1" s="1"/>
  <c r="L1297" i="1"/>
  <c r="M1297" i="1" s="1"/>
  <c r="L1329" i="1"/>
  <c r="M1329" i="1" s="1"/>
  <c r="L1361" i="1"/>
  <c r="M1361" i="1" s="1"/>
  <c r="L1378" i="1"/>
  <c r="M1378" i="1" s="1"/>
  <c r="L1394" i="1"/>
  <c r="M1394" i="1" s="1"/>
  <c r="L1410" i="1"/>
  <c r="M1410" i="1" s="1"/>
  <c r="L1426" i="1"/>
  <c r="M1426" i="1" s="1"/>
  <c r="L1442" i="1"/>
  <c r="M1442" i="1" s="1"/>
  <c r="L1458" i="1"/>
  <c r="M1458" i="1" s="1"/>
  <c r="L1474" i="1"/>
  <c r="M1474" i="1" s="1"/>
  <c r="L1490" i="1"/>
  <c r="M1490" i="1" s="1"/>
  <c r="L1506" i="1"/>
  <c r="M1506" i="1" s="1"/>
  <c r="L1522" i="1"/>
  <c r="M1522" i="1" s="1"/>
  <c r="L1538" i="1"/>
  <c r="M1538" i="1" s="1"/>
  <c r="L1554" i="1"/>
  <c r="M1554" i="1" s="1"/>
  <c r="L1570" i="1"/>
  <c r="M1570" i="1" s="1"/>
  <c r="L1586" i="1"/>
  <c r="M1586" i="1" s="1"/>
  <c r="L1602" i="1"/>
  <c r="M1602" i="1" s="1"/>
  <c r="L1618" i="1"/>
  <c r="M1618" i="1" s="1"/>
  <c r="L1634" i="1"/>
  <c r="M1634" i="1" s="1"/>
  <c r="L1650" i="1"/>
  <c r="M1650" i="1" s="1"/>
  <c r="L1666" i="1"/>
  <c r="M1666" i="1" s="1"/>
  <c r="L1682" i="1"/>
  <c r="M1682" i="1" s="1"/>
  <c r="L1698" i="1"/>
  <c r="M1698" i="1" s="1"/>
  <c r="L1714" i="1"/>
  <c r="M1714" i="1" s="1"/>
  <c r="L1730" i="1"/>
  <c r="M1730" i="1" s="1"/>
  <c r="L1746" i="1"/>
  <c r="M1746" i="1" s="1"/>
  <c r="L1762" i="1"/>
  <c r="M1762" i="1" s="1"/>
  <c r="L1778" i="1"/>
  <c r="M1778" i="1" s="1"/>
  <c r="L1794" i="1"/>
  <c r="M1794" i="1" s="1"/>
  <c r="L1810" i="1"/>
  <c r="M1810" i="1" s="1"/>
  <c r="L1826" i="1"/>
  <c r="M1826" i="1" s="1"/>
  <c r="L1842" i="1"/>
  <c r="M1842" i="1" s="1"/>
  <c r="L1858" i="1"/>
  <c r="M1858" i="1" s="1"/>
  <c r="L1874" i="1"/>
  <c r="M1874" i="1" s="1"/>
  <c r="L1890" i="1"/>
  <c r="M1890" i="1" s="1"/>
  <c r="L1906" i="1"/>
  <c r="M1906" i="1" s="1"/>
  <c r="L1922" i="1"/>
  <c r="M1922" i="1" s="1"/>
  <c r="L1938" i="1"/>
  <c r="M1938" i="1" s="1"/>
  <c r="L1954" i="1"/>
  <c r="M1954" i="1" s="1"/>
  <c r="L1172" i="1"/>
  <c r="M1172" i="1" s="1"/>
  <c r="L1416" i="1"/>
  <c r="M1416" i="1" s="1"/>
  <c r="L1544" i="1"/>
  <c r="M1544" i="1" s="1"/>
  <c r="L1624" i="1"/>
  <c r="M1624" i="1" s="1"/>
  <c r="L1736" i="1"/>
  <c r="M1736" i="1" s="1"/>
  <c r="L1784" i="1"/>
  <c r="M1784" i="1" s="1"/>
  <c r="L1880" i="1"/>
  <c r="M1880" i="1" s="1"/>
  <c r="L1960" i="1"/>
  <c r="M1960" i="1" s="1"/>
  <c r="L1529" i="1"/>
  <c r="M1529" i="1" s="1"/>
  <c r="L1753" i="1"/>
  <c r="M1753" i="1" s="1"/>
  <c r="L1929" i="1"/>
  <c r="M1929" i="1" s="1"/>
  <c r="L1499" i="1"/>
  <c r="M1499" i="1" s="1"/>
  <c r="L1835" i="1"/>
  <c r="M1835" i="1" s="1"/>
  <c r="L65" i="1"/>
  <c r="M65" i="1" s="1"/>
  <c r="L321" i="1"/>
  <c r="M321" i="1" s="1"/>
  <c r="L577" i="1"/>
  <c r="M577" i="1" s="1"/>
  <c r="L775" i="1"/>
  <c r="M775" i="1" s="1"/>
  <c r="L880" i="1"/>
  <c r="M880" i="1" s="1"/>
  <c r="L944" i="1"/>
  <c r="M944" i="1" s="1"/>
  <c r="L1008" i="1"/>
  <c r="M1008" i="1" s="1"/>
  <c r="L1053" i="1"/>
  <c r="M1053" i="1" s="1"/>
  <c r="L1088" i="1"/>
  <c r="M1088" i="1" s="1"/>
  <c r="L1124" i="1"/>
  <c r="M1124" i="1" s="1"/>
  <c r="L1163" i="1"/>
  <c r="M1163" i="1" s="1"/>
  <c r="L1198" i="1"/>
  <c r="M1198" i="1" s="1"/>
  <c r="L1233" i="1"/>
  <c r="M1233" i="1" s="1"/>
  <c r="L1268" i="1"/>
  <c r="M1268" i="1" s="1"/>
  <c r="L1300" i="1"/>
  <c r="M1300" i="1" s="1"/>
  <c r="L1332" i="1"/>
  <c r="M1332" i="1" s="1"/>
  <c r="L1363" i="1"/>
  <c r="M1363" i="1" s="1"/>
  <c r="L1379" i="1"/>
  <c r="M1379" i="1" s="1"/>
  <c r="L1395" i="1"/>
  <c r="M1395" i="1" s="1"/>
  <c r="L1411" i="1"/>
  <c r="M1411" i="1" s="1"/>
  <c r="L1427" i="1"/>
  <c r="M1427" i="1" s="1"/>
  <c r="L1443" i="1"/>
  <c r="M1443" i="1" s="1"/>
  <c r="L1459" i="1"/>
  <c r="M1459" i="1" s="1"/>
  <c r="L1475" i="1"/>
  <c r="M1475" i="1" s="1"/>
  <c r="L1491" i="1"/>
  <c r="M1491" i="1" s="1"/>
  <c r="L1507" i="1"/>
  <c r="M1507" i="1" s="1"/>
  <c r="L1523" i="1"/>
  <c r="M1523" i="1" s="1"/>
  <c r="L1539" i="1"/>
  <c r="M1539" i="1" s="1"/>
  <c r="L1555" i="1"/>
  <c r="M1555" i="1" s="1"/>
  <c r="L1571" i="1"/>
  <c r="M1571" i="1" s="1"/>
  <c r="L1587" i="1"/>
  <c r="M1587" i="1" s="1"/>
  <c r="L1603" i="1"/>
  <c r="M1603" i="1" s="1"/>
  <c r="L1619" i="1"/>
  <c r="M1619" i="1" s="1"/>
  <c r="L1635" i="1"/>
  <c r="M1635" i="1" s="1"/>
  <c r="L1651" i="1"/>
  <c r="M1651" i="1" s="1"/>
  <c r="L1667" i="1"/>
  <c r="M1667" i="1" s="1"/>
  <c r="L1683" i="1"/>
  <c r="M1683" i="1" s="1"/>
  <c r="L1699" i="1"/>
  <c r="M1699" i="1" s="1"/>
  <c r="L1715" i="1"/>
  <c r="M1715" i="1" s="1"/>
  <c r="L1731" i="1"/>
  <c r="M1731" i="1" s="1"/>
  <c r="L1747" i="1"/>
  <c r="M1747" i="1" s="1"/>
  <c r="L1763" i="1"/>
  <c r="M1763" i="1" s="1"/>
  <c r="L1779" i="1"/>
  <c r="M1779" i="1" s="1"/>
  <c r="L1795" i="1"/>
  <c r="M1795" i="1" s="1"/>
  <c r="L1811" i="1"/>
  <c r="M1811" i="1" s="1"/>
  <c r="L1827" i="1"/>
  <c r="M1827" i="1" s="1"/>
  <c r="L1843" i="1"/>
  <c r="M1843" i="1" s="1"/>
  <c r="L1859" i="1"/>
  <c r="M1859" i="1" s="1"/>
  <c r="L1875" i="1"/>
  <c r="M1875" i="1" s="1"/>
  <c r="L1891" i="1"/>
  <c r="M1891" i="1" s="1"/>
  <c r="L1907" i="1"/>
  <c r="M1907" i="1" s="1"/>
  <c r="L1923" i="1"/>
  <c r="M1923" i="1" s="1"/>
  <c r="L1939" i="1"/>
  <c r="M1939" i="1" s="1"/>
  <c r="L1955" i="1"/>
  <c r="M1955" i="1" s="1"/>
  <c r="L1136" i="1"/>
  <c r="M1136" i="1" s="1"/>
  <c r="L1448" i="1"/>
  <c r="M1448" i="1" s="1"/>
  <c r="L1656" i="1"/>
  <c r="M1656" i="1" s="1"/>
  <c r="L1896" i="1"/>
  <c r="M1896" i="1" s="1"/>
  <c r="L1609" i="1"/>
  <c r="M1609" i="1" s="1"/>
  <c r="L1833" i="1"/>
  <c r="M1833" i="1" s="1"/>
  <c r="L1547" i="1"/>
  <c r="M1547" i="1" s="1"/>
  <c r="L1803" i="1"/>
  <c r="M1803" i="1" s="1"/>
  <c r="L1837" i="1"/>
  <c r="M1837" i="1" s="1"/>
  <c r="L81" i="1"/>
  <c r="M81" i="1" s="1"/>
  <c r="L337" i="1"/>
  <c r="M337" i="1" s="1"/>
  <c r="L593" i="1"/>
  <c r="M593" i="1" s="1"/>
  <c r="L785" i="1"/>
  <c r="M785" i="1" s="1"/>
  <c r="L881" i="1"/>
  <c r="M881" i="1" s="1"/>
  <c r="L945" i="1"/>
  <c r="M945" i="1" s="1"/>
  <c r="L1009" i="1"/>
  <c r="M1009" i="1" s="1"/>
  <c r="L1054" i="1"/>
  <c r="M1054" i="1" s="1"/>
  <c r="L1089" i="1"/>
  <c r="M1089" i="1" s="1"/>
  <c r="L1127" i="1"/>
  <c r="M1127" i="1" s="1"/>
  <c r="L1165" i="1"/>
  <c r="M1165" i="1" s="1"/>
  <c r="L1200" i="1"/>
  <c r="M1200" i="1" s="1"/>
  <c r="L1236" i="1"/>
  <c r="M1236" i="1" s="1"/>
  <c r="L1271" i="1"/>
  <c r="M1271" i="1" s="1"/>
  <c r="L1303" i="1"/>
  <c r="M1303" i="1" s="1"/>
  <c r="L1335" i="1"/>
  <c r="M1335" i="1" s="1"/>
  <c r="L1364" i="1"/>
  <c r="M1364" i="1" s="1"/>
  <c r="L1380" i="1"/>
  <c r="M1380" i="1" s="1"/>
  <c r="L1396" i="1"/>
  <c r="M1396" i="1" s="1"/>
  <c r="L1412" i="1"/>
  <c r="M1412" i="1" s="1"/>
  <c r="L1428" i="1"/>
  <c r="M1428" i="1" s="1"/>
  <c r="L1444" i="1"/>
  <c r="M1444" i="1" s="1"/>
  <c r="L1460" i="1"/>
  <c r="M1460" i="1" s="1"/>
  <c r="L1476" i="1"/>
  <c r="M1476" i="1" s="1"/>
  <c r="L1492" i="1"/>
  <c r="M1492" i="1" s="1"/>
  <c r="L1508" i="1"/>
  <c r="M1508" i="1" s="1"/>
  <c r="L1524" i="1"/>
  <c r="M1524" i="1" s="1"/>
  <c r="L1540" i="1"/>
  <c r="M1540" i="1" s="1"/>
  <c r="L1556" i="1"/>
  <c r="M1556" i="1" s="1"/>
  <c r="L1572" i="1"/>
  <c r="M1572" i="1" s="1"/>
  <c r="L1588" i="1"/>
  <c r="M1588" i="1" s="1"/>
  <c r="L1604" i="1"/>
  <c r="M1604" i="1" s="1"/>
  <c r="L1620" i="1"/>
  <c r="M1620" i="1" s="1"/>
  <c r="L1636" i="1"/>
  <c r="M1636" i="1" s="1"/>
  <c r="L1652" i="1"/>
  <c r="M1652" i="1" s="1"/>
  <c r="L1668" i="1"/>
  <c r="M1668" i="1" s="1"/>
  <c r="L1684" i="1"/>
  <c r="M1684" i="1" s="1"/>
  <c r="L1700" i="1"/>
  <c r="M1700" i="1" s="1"/>
  <c r="L1716" i="1"/>
  <c r="M1716" i="1" s="1"/>
  <c r="L1732" i="1"/>
  <c r="M1732" i="1" s="1"/>
  <c r="L1748" i="1"/>
  <c r="M1748" i="1" s="1"/>
  <c r="L1764" i="1"/>
  <c r="M1764" i="1" s="1"/>
  <c r="L1780" i="1"/>
  <c r="M1780" i="1" s="1"/>
  <c r="L1796" i="1"/>
  <c r="M1796" i="1" s="1"/>
  <c r="L1812" i="1"/>
  <c r="M1812" i="1" s="1"/>
  <c r="L1828" i="1"/>
  <c r="M1828" i="1" s="1"/>
  <c r="L1844" i="1"/>
  <c r="M1844" i="1" s="1"/>
  <c r="L1860" i="1"/>
  <c r="M1860" i="1" s="1"/>
  <c r="L1876" i="1"/>
  <c r="M1876" i="1" s="1"/>
  <c r="L1892" i="1"/>
  <c r="M1892" i="1" s="1"/>
  <c r="L1908" i="1"/>
  <c r="M1908" i="1" s="1"/>
  <c r="L1924" i="1"/>
  <c r="M1924" i="1" s="1"/>
  <c r="L1940" i="1"/>
  <c r="M1940" i="1" s="1"/>
  <c r="L1956" i="1"/>
  <c r="M1956" i="1" s="1"/>
  <c r="L1101" i="1"/>
  <c r="M1101" i="1" s="1"/>
  <c r="L1464" i="1"/>
  <c r="M1464" i="1" s="1"/>
  <c r="L1672" i="1"/>
  <c r="M1672" i="1" s="1"/>
  <c r="L1864" i="1"/>
  <c r="M1864" i="1" s="1"/>
  <c r="L1545" i="1"/>
  <c r="M1545" i="1" s="1"/>
  <c r="L1737" i="1"/>
  <c r="M1737" i="1" s="1"/>
  <c r="L1865" i="1"/>
  <c r="M1865" i="1" s="1"/>
  <c r="L1515" i="1"/>
  <c r="M1515" i="1" s="1"/>
  <c r="L1787" i="1"/>
  <c r="M1787" i="1" s="1"/>
  <c r="L1677" i="1"/>
  <c r="M1677" i="1" s="1"/>
  <c r="L97" i="1"/>
  <c r="M97" i="1" s="1"/>
  <c r="L353" i="1"/>
  <c r="M353" i="1" s="1"/>
  <c r="L609" i="1"/>
  <c r="M609" i="1" s="1"/>
  <c r="L791" i="1"/>
  <c r="M791" i="1" s="1"/>
  <c r="L887" i="1"/>
  <c r="M887" i="1" s="1"/>
  <c r="L951" i="1"/>
  <c r="M951" i="1" s="1"/>
  <c r="L1015" i="1"/>
  <c r="M1015" i="1" s="1"/>
  <c r="L1056" i="1"/>
  <c r="M1056" i="1" s="1"/>
  <c r="L1092" i="1"/>
  <c r="M1092" i="1" s="1"/>
  <c r="L1131" i="1"/>
  <c r="M1131" i="1" s="1"/>
  <c r="L1166" i="1"/>
  <c r="M1166" i="1" s="1"/>
  <c r="L1201" i="1"/>
  <c r="M1201" i="1" s="1"/>
  <c r="L1239" i="1"/>
  <c r="M1239" i="1" s="1"/>
  <c r="L1273" i="1"/>
  <c r="M1273" i="1" s="1"/>
  <c r="L1305" i="1"/>
  <c r="M1305" i="1" s="1"/>
  <c r="L1337" i="1"/>
  <c r="M1337" i="1" s="1"/>
  <c r="L1365" i="1"/>
  <c r="M1365" i="1" s="1"/>
  <c r="L1381" i="1"/>
  <c r="M1381" i="1" s="1"/>
  <c r="L1397" i="1"/>
  <c r="M1397" i="1" s="1"/>
  <c r="L1413" i="1"/>
  <c r="M1413" i="1" s="1"/>
  <c r="L1429" i="1"/>
  <c r="M1429" i="1" s="1"/>
  <c r="L1445" i="1"/>
  <c r="M1445" i="1" s="1"/>
  <c r="L1461" i="1"/>
  <c r="M1461" i="1" s="1"/>
  <c r="L1477" i="1"/>
  <c r="M1477" i="1" s="1"/>
  <c r="L1493" i="1"/>
  <c r="M1493" i="1" s="1"/>
  <c r="L1509" i="1"/>
  <c r="M1509" i="1" s="1"/>
  <c r="L1525" i="1"/>
  <c r="M1525" i="1" s="1"/>
  <c r="L1541" i="1"/>
  <c r="M1541" i="1" s="1"/>
  <c r="L1557" i="1"/>
  <c r="M1557" i="1" s="1"/>
  <c r="L1573" i="1"/>
  <c r="M1573" i="1" s="1"/>
  <c r="L1589" i="1"/>
  <c r="M1589" i="1" s="1"/>
  <c r="L1605" i="1"/>
  <c r="M1605" i="1" s="1"/>
  <c r="L1621" i="1"/>
  <c r="M1621" i="1" s="1"/>
  <c r="L1637" i="1"/>
  <c r="M1637" i="1" s="1"/>
  <c r="L1653" i="1"/>
  <c r="M1653" i="1" s="1"/>
  <c r="L1669" i="1"/>
  <c r="M1669" i="1" s="1"/>
  <c r="L1685" i="1"/>
  <c r="M1685" i="1" s="1"/>
  <c r="L1701" i="1"/>
  <c r="M1701" i="1" s="1"/>
  <c r="L1717" i="1"/>
  <c r="M1717" i="1" s="1"/>
  <c r="L1733" i="1"/>
  <c r="M1733" i="1" s="1"/>
  <c r="L1749" i="1"/>
  <c r="M1749" i="1" s="1"/>
  <c r="L1765" i="1"/>
  <c r="M1765" i="1" s="1"/>
  <c r="L1781" i="1"/>
  <c r="M1781" i="1" s="1"/>
  <c r="L1797" i="1"/>
  <c r="M1797" i="1" s="1"/>
  <c r="L1813" i="1"/>
  <c r="M1813" i="1" s="1"/>
  <c r="L1829" i="1"/>
  <c r="M1829" i="1" s="1"/>
  <c r="L1845" i="1"/>
  <c r="M1845" i="1" s="1"/>
  <c r="L1861" i="1"/>
  <c r="M1861" i="1" s="1"/>
  <c r="L1877" i="1"/>
  <c r="M1877" i="1" s="1"/>
  <c r="L1893" i="1"/>
  <c r="M1893" i="1" s="1"/>
  <c r="L1909" i="1"/>
  <c r="M1909" i="1" s="1"/>
  <c r="L1925" i="1"/>
  <c r="M1925" i="1" s="1"/>
  <c r="L1941" i="1"/>
  <c r="M1941" i="1" s="1"/>
  <c r="L1957" i="1"/>
  <c r="M1957" i="1" s="1"/>
  <c r="L1958" i="1"/>
  <c r="M1958" i="1" s="1"/>
  <c r="L1278" i="1"/>
  <c r="M1278" i="1" s="1"/>
  <c r="L1400" i="1"/>
  <c r="M1400" i="1" s="1"/>
  <c r="L1528" i="1"/>
  <c r="M1528" i="1" s="1"/>
  <c r="L1608" i="1"/>
  <c r="M1608" i="1" s="1"/>
  <c r="L1688" i="1"/>
  <c r="M1688" i="1" s="1"/>
  <c r="L1768" i="1"/>
  <c r="M1768" i="1" s="1"/>
  <c r="L1848" i="1"/>
  <c r="M1848" i="1" s="1"/>
  <c r="L1928" i="1"/>
  <c r="M1928" i="1" s="1"/>
  <c r="L1497" i="1"/>
  <c r="M1497" i="1" s="1"/>
  <c r="L1769" i="1"/>
  <c r="M1769" i="1" s="1"/>
  <c r="L1945" i="1"/>
  <c r="M1945" i="1" s="1"/>
  <c r="L1563" i="1"/>
  <c r="M1563" i="1" s="1"/>
  <c r="L1819" i="1"/>
  <c r="M1819" i="1" s="1"/>
  <c r="L1805" i="1"/>
  <c r="M1805" i="1" s="1"/>
  <c r="L1901" i="1"/>
  <c r="M1901" i="1" s="1"/>
  <c r="L113" i="1"/>
  <c r="M113" i="1" s="1"/>
  <c r="L369" i="1"/>
  <c r="M369" i="1" s="1"/>
  <c r="L625" i="1"/>
  <c r="M625" i="1" s="1"/>
  <c r="L801" i="1"/>
  <c r="M801" i="1" s="1"/>
  <c r="L891" i="1"/>
  <c r="M891" i="1" s="1"/>
  <c r="L955" i="1"/>
  <c r="M955" i="1" s="1"/>
  <c r="L1019" i="1"/>
  <c r="M1019" i="1" s="1"/>
  <c r="L1057" i="1"/>
  <c r="M1057" i="1" s="1"/>
  <c r="L1095" i="1"/>
  <c r="M1095" i="1" s="1"/>
  <c r="L1133" i="1"/>
  <c r="M1133" i="1" s="1"/>
  <c r="L1168" i="1"/>
  <c r="M1168" i="1" s="1"/>
  <c r="L1204" i="1"/>
  <c r="M1204" i="1" s="1"/>
  <c r="L1243" i="1"/>
  <c r="M1243" i="1" s="1"/>
  <c r="L1275" i="1"/>
  <c r="M1275" i="1" s="1"/>
  <c r="L1307" i="1"/>
  <c r="M1307" i="1" s="1"/>
  <c r="L1339" i="1"/>
  <c r="M1339" i="1" s="1"/>
  <c r="L1366" i="1"/>
  <c r="M1366" i="1" s="1"/>
  <c r="L1382" i="1"/>
  <c r="M1382" i="1" s="1"/>
  <c r="L1398" i="1"/>
  <c r="M1398" i="1" s="1"/>
  <c r="L1414" i="1"/>
  <c r="M1414" i="1" s="1"/>
  <c r="L1430" i="1"/>
  <c r="M1430" i="1" s="1"/>
  <c r="L1446" i="1"/>
  <c r="M1446" i="1" s="1"/>
  <c r="L1462" i="1"/>
  <c r="M1462" i="1" s="1"/>
  <c r="L1478" i="1"/>
  <c r="M1478" i="1" s="1"/>
  <c r="L1494" i="1"/>
  <c r="M1494" i="1" s="1"/>
  <c r="L1510" i="1"/>
  <c r="M1510" i="1" s="1"/>
  <c r="L1526" i="1"/>
  <c r="M1526" i="1" s="1"/>
  <c r="L1542" i="1"/>
  <c r="M1542" i="1" s="1"/>
  <c r="L1558" i="1"/>
  <c r="M1558" i="1" s="1"/>
  <c r="L1574" i="1"/>
  <c r="M1574" i="1" s="1"/>
  <c r="L1590" i="1"/>
  <c r="M1590" i="1" s="1"/>
  <c r="L1606" i="1"/>
  <c r="M1606" i="1" s="1"/>
  <c r="L1622" i="1"/>
  <c r="M1622" i="1" s="1"/>
  <c r="L1638" i="1"/>
  <c r="M1638" i="1" s="1"/>
  <c r="L1654" i="1"/>
  <c r="M1654" i="1" s="1"/>
  <c r="L1670" i="1"/>
  <c r="M1670" i="1" s="1"/>
  <c r="L1686" i="1"/>
  <c r="M1686" i="1" s="1"/>
  <c r="L1702" i="1"/>
  <c r="M1702" i="1" s="1"/>
  <c r="L1718" i="1"/>
  <c r="M1718" i="1" s="1"/>
  <c r="L1734" i="1"/>
  <c r="M1734" i="1" s="1"/>
  <c r="L1750" i="1"/>
  <c r="M1750" i="1" s="1"/>
  <c r="L1766" i="1"/>
  <c r="M1766" i="1" s="1"/>
  <c r="L1782" i="1"/>
  <c r="M1782" i="1" s="1"/>
  <c r="L1798" i="1"/>
  <c r="M1798" i="1" s="1"/>
  <c r="L1814" i="1"/>
  <c r="M1814" i="1" s="1"/>
  <c r="L1830" i="1"/>
  <c r="M1830" i="1" s="1"/>
  <c r="L1846" i="1"/>
  <c r="M1846" i="1" s="1"/>
  <c r="L1862" i="1"/>
  <c r="M1862" i="1" s="1"/>
  <c r="L1878" i="1"/>
  <c r="M1878" i="1" s="1"/>
  <c r="L1894" i="1"/>
  <c r="M1894" i="1" s="1"/>
  <c r="L1910" i="1"/>
  <c r="M1910" i="1" s="1"/>
  <c r="L1926" i="1"/>
  <c r="M1926" i="1" s="1"/>
  <c r="L1942" i="1"/>
  <c r="M1942" i="1" s="1"/>
  <c r="L1211" i="1"/>
  <c r="M1211" i="1" s="1"/>
  <c r="L1342" i="1"/>
  <c r="M1342" i="1" s="1"/>
  <c r="L1384" i="1"/>
  <c r="M1384" i="1" s="1"/>
  <c r="L1432" i="1"/>
  <c r="M1432" i="1" s="1"/>
  <c r="L1512" i="1"/>
  <c r="M1512" i="1" s="1"/>
  <c r="L1560" i="1"/>
  <c r="M1560" i="1" s="1"/>
  <c r="L1592" i="1"/>
  <c r="M1592" i="1" s="1"/>
  <c r="L1640" i="1"/>
  <c r="M1640" i="1" s="1"/>
  <c r="L1752" i="1"/>
  <c r="M1752" i="1" s="1"/>
  <c r="L1800" i="1"/>
  <c r="M1800" i="1" s="1"/>
  <c r="L1912" i="1"/>
  <c r="M1912" i="1" s="1"/>
  <c r="L1561" i="1"/>
  <c r="M1561" i="1" s="1"/>
  <c r="L1673" i="1"/>
  <c r="M1673" i="1" s="1"/>
  <c r="L1801" i="1"/>
  <c r="M1801" i="1" s="1"/>
  <c r="L1881" i="1"/>
  <c r="M1881" i="1" s="1"/>
  <c r="L1467" i="1"/>
  <c r="M1467" i="1" s="1"/>
  <c r="L1723" i="1"/>
  <c r="M1723" i="1" s="1"/>
  <c r="L1947" i="1"/>
  <c r="M1947" i="1" s="1"/>
  <c r="L1821" i="1"/>
  <c r="M1821" i="1" s="1"/>
  <c r="L1869" i="1"/>
  <c r="M1869" i="1" s="1"/>
  <c r="L129" i="1"/>
  <c r="M129" i="1" s="1"/>
  <c r="L385" i="1"/>
  <c r="M385" i="1" s="1"/>
  <c r="L641" i="1"/>
  <c r="M641" i="1" s="1"/>
  <c r="L807" i="1"/>
  <c r="M807" i="1" s="1"/>
  <c r="L896" i="1"/>
  <c r="M896" i="1" s="1"/>
  <c r="L960" i="1"/>
  <c r="M960" i="1" s="1"/>
  <c r="L1022" i="1"/>
  <c r="M1022" i="1" s="1"/>
  <c r="L1060" i="1"/>
  <c r="M1060" i="1" s="1"/>
  <c r="L1099" i="1"/>
  <c r="M1099" i="1" s="1"/>
  <c r="L1134" i="1"/>
  <c r="M1134" i="1" s="1"/>
  <c r="L1169" i="1"/>
  <c r="M1169" i="1" s="1"/>
  <c r="L1207" i="1"/>
  <c r="M1207" i="1" s="1"/>
  <c r="L1245" i="1"/>
  <c r="M1245" i="1" s="1"/>
  <c r="L1277" i="1"/>
  <c r="M1277" i="1" s="1"/>
  <c r="L1309" i="1"/>
  <c r="M1309" i="1" s="1"/>
  <c r="L1341" i="1"/>
  <c r="M1341" i="1" s="1"/>
  <c r="L1367" i="1"/>
  <c r="M1367" i="1" s="1"/>
  <c r="L1383" i="1"/>
  <c r="M1383" i="1" s="1"/>
  <c r="L1399" i="1"/>
  <c r="M1399" i="1" s="1"/>
  <c r="L1415" i="1"/>
  <c r="M1415" i="1" s="1"/>
  <c r="L1431" i="1"/>
  <c r="M1431" i="1" s="1"/>
  <c r="L1447" i="1"/>
  <c r="M1447" i="1" s="1"/>
  <c r="L1463" i="1"/>
  <c r="M1463" i="1" s="1"/>
  <c r="L1479" i="1"/>
  <c r="M1479" i="1" s="1"/>
  <c r="L1495" i="1"/>
  <c r="M1495" i="1" s="1"/>
  <c r="L1511" i="1"/>
  <c r="M1511" i="1" s="1"/>
  <c r="L1527" i="1"/>
  <c r="M1527" i="1" s="1"/>
  <c r="L1543" i="1"/>
  <c r="M1543" i="1" s="1"/>
  <c r="L1559" i="1"/>
  <c r="M1559" i="1" s="1"/>
  <c r="L1575" i="1"/>
  <c r="M1575" i="1" s="1"/>
  <c r="L1591" i="1"/>
  <c r="M1591" i="1" s="1"/>
  <c r="L1607" i="1"/>
  <c r="M1607" i="1" s="1"/>
  <c r="L1623" i="1"/>
  <c r="M1623" i="1" s="1"/>
  <c r="L1639" i="1"/>
  <c r="M1639" i="1" s="1"/>
  <c r="L1655" i="1"/>
  <c r="M1655" i="1" s="1"/>
  <c r="L1671" i="1"/>
  <c r="M1671" i="1" s="1"/>
  <c r="L1687" i="1"/>
  <c r="M1687" i="1" s="1"/>
  <c r="L1703" i="1"/>
  <c r="M1703" i="1" s="1"/>
  <c r="L1719" i="1"/>
  <c r="M1719" i="1" s="1"/>
  <c r="L1735" i="1"/>
  <c r="M1735" i="1" s="1"/>
  <c r="L1751" i="1"/>
  <c r="M1751" i="1" s="1"/>
  <c r="L1767" i="1"/>
  <c r="M1767" i="1" s="1"/>
  <c r="L1783" i="1"/>
  <c r="M1783" i="1" s="1"/>
  <c r="L1799" i="1"/>
  <c r="M1799" i="1" s="1"/>
  <c r="L1815" i="1"/>
  <c r="M1815" i="1" s="1"/>
  <c r="L1831" i="1"/>
  <c r="M1831" i="1" s="1"/>
  <c r="L1847" i="1"/>
  <c r="M1847" i="1" s="1"/>
  <c r="L1863" i="1"/>
  <c r="M1863" i="1" s="1"/>
  <c r="L1879" i="1"/>
  <c r="M1879" i="1" s="1"/>
  <c r="L1895" i="1"/>
  <c r="M1895" i="1" s="1"/>
  <c r="L1911" i="1"/>
  <c r="M1911" i="1" s="1"/>
  <c r="L1927" i="1"/>
  <c r="M1927" i="1" s="1"/>
  <c r="L1943" i="1"/>
  <c r="M1943" i="1" s="1"/>
  <c r="L1959" i="1"/>
  <c r="M1959" i="1" s="1"/>
  <c r="L1063" i="1"/>
  <c r="M1063" i="1" s="1"/>
  <c r="L1496" i="1"/>
  <c r="M1496" i="1" s="1"/>
  <c r="L1720" i="1"/>
  <c r="M1720" i="1" s="1"/>
  <c r="L1832" i="1"/>
  <c r="M1832" i="1" s="1"/>
  <c r="L1577" i="1"/>
  <c r="M1577" i="1" s="1"/>
  <c r="L1721" i="1"/>
  <c r="M1721" i="1" s="1"/>
  <c r="L1849" i="1"/>
  <c r="M1849" i="1" s="1"/>
  <c r="L1961" i="1"/>
  <c r="M1961" i="1" s="1"/>
  <c r="L1531" i="1"/>
  <c r="M1531" i="1" s="1"/>
  <c r="L1771" i="1"/>
  <c r="M1771" i="1" s="1"/>
  <c r="L1725" i="1"/>
  <c r="M1725" i="1" s="1"/>
  <c r="L145" i="1"/>
  <c r="M145" i="1" s="1"/>
  <c r="L401" i="1"/>
  <c r="M401" i="1" s="1"/>
  <c r="L657" i="1"/>
  <c r="M657" i="1" s="1"/>
  <c r="L817" i="1"/>
  <c r="M817" i="1" s="1"/>
  <c r="L897" i="1"/>
  <c r="M897" i="1" s="1"/>
  <c r="L961" i="1"/>
  <c r="M961" i="1" s="1"/>
  <c r="L1024" i="1"/>
  <c r="M1024" i="1" s="1"/>
  <c r="L1246" i="1"/>
  <c r="M1246" i="1" s="1"/>
  <c r="L1310" i="1"/>
  <c r="M1310" i="1" s="1"/>
  <c r="L1368" i="1"/>
  <c r="M1368" i="1" s="1"/>
  <c r="L1480" i="1"/>
  <c r="M1480" i="1" s="1"/>
  <c r="L1576" i="1"/>
  <c r="M1576" i="1" s="1"/>
  <c r="L1704" i="1"/>
  <c r="M1704" i="1" s="1"/>
  <c r="L1816" i="1"/>
  <c r="M1816" i="1" s="1"/>
  <c r="L1944" i="1"/>
  <c r="M1944" i="1" s="1"/>
  <c r="L1625" i="1"/>
  <c r="M1625" i="1" s="1"/>
  <c r="L1689" i="1"/>
  <c r="M1689" i="1" s="1"/>
  <c r="L1817" i="1"/>
  <c r="M1817" i="1" s="1"/>
  <c r="L1913" i="1"/>
  <c r="M1913" i="1" s="1"/>
  <c r="L1451" i="1"/>
  <c r="M1451" i="1" s="1"/>
  <c r="L1675" i="1"/>
  <c r="M1675" i="1" s="1"/>
  <c r="L1899" i="1"/>
  <c r="M1899" i="1" s="1"/>
  <c r="L1757" i="1"/>
  <c r="M1757" i="1" s="1"/>
  <c r="L1933" i="1"/>
  <c r="M1933" i="1" s="1"/>
  <c r="L161" i="1"/>
  <c r="M161" i="1" s="1"/>
  <c r="L417" i="1"/>
  <c r="M417" i="1" s="1"/>
  <c r="L673" i="1"/>
  <c r="M673" i="1" s="1"/>
  <c r="L823" i="1"/>
  <c r="M823" i="1" s="1"/>
  <c r="L903" i="1"/>
  <c r="M903" i="1" s="1"/>
  <c r="L967" i="1"/>
  <c r="M967" i="1" s="1"/>
  <c r="L1025" i="1"/>
  <c r="M1025" i="1" s="1"/>
  <c r="L1067" i="1"/>
  <c r="M1067" i="1" s="1"/>
  <c r="L1102" i="1"/>
  <c r="M1102" i="1" s="1"/>
  <c r="L1137" i="1"/>
  <c r="M1137" i="1" s="1"/>
  <c r="L1175" i="1"/>
  <c r="M1175" i="1" s="1"/>
  <c r="L1213" i="1"/>
  <c r="M1213" i="1" s="1"/>
  <c r="L1248" i="1"/>
  <c r="M1248" i="1" s="1"/>
  <c r="L1280" i="1"/>
  <c r="M1280" i="1" s="1"/>
  <c r="L1312" i="1"/>
  <c r="M1312" i="1" s="1"/>
  <c r="L1344" i="1"/>
  <c r="M1344" i="1" s="1"/>
  <c r="L1369" i="1"/>
  <c r="M1369" i="1" s="1"/>
  <c r="L1385" i="1"/>
  <c r="M1385" i="1" s="1"/>
  <c r="L1401" i="1"/>
  <c r="M1401" i="1" s="1"/>
  <c r="L1417" i="1"/>
  <c r="M1417" i="1" s="1"/>
  <c r="L1433" i="1"/>
  <c r="M1433" i="1" s="1"/>
  <c r="L1449" i="1"/>
  <c r="M1449" i="1" s="1"/>
  <c r="L1465" i="1"/>
  <c r="M1465" i="1" s="1"/>
  <c r="L1481" i="1"/>
  <c r="M1481" i="1" s="1"/>
  <c r="L1513" i="1"/>
  <c r="M1513" i="1" s="1"/>
  <c r="L1593" i="1"/>
  <c r="M1593" i="1" s="1"/>
  <c r="L1641" i="1"/>
  <c r="M1641" i="1" s="1"/>
  <c r="L1657" i="1"/>
  <c r="M1657" i="1" s="1"/>
  <c r="L1705" i="1"/>
  <c r="M1705" i="1" s="1"/>
  <c r="L1785" i="1"/>
  <c r="M1785" i="1" s="1"/>
  <c r="L1897" i="1"/>
  <c r="M1897" i="1" s="1"/>
  <c r="L1579" i="1"/>
  <c r="M1579" i="1" s="1"/>
  <c r="L1755" i="1"/>
  <c r="M1755" i="1" s="1"/>
  <c r="L1915" i="1"/>
  <c r="M1915" i="1" s="1"/>
  <c r="L1629" i="1"/>
  <c r="M1629" i="1" s="1"/>
  <c r="L1917" i="1"/>
  <c r="M1917" i="1" s="1"/>
  <c r="L177" i="1"/>
  <c r="M177" i="1" s="1"/>
  <c r="L433" i="1"/>
  <c r="M433" i="1" s="1"/>
  <c r="L689" i="1"/>
  <c r="M689" i="1" s="1"/>
  <c r="L832" i="1"/>
  <c r="M832" i="1" s="1"/>
  <c r="L907" i="1"/>
  <c r="M907" i="1" s="1"/>
  <c r="L971" i="1"/>
  <c r="M971" i="1" s="1"/>
  <c r="L1031" i="1"/>
  <c r="M1031" i="1" s="1"/>
  <c r="L1069" i="1"/>
  <c r="M1069" i="1" s="1"/>
  <c r="L1104" i="1"/>
  <c r="M1104" i="1" s="1"/>
  <c r="L1140" i="1"/>
  <c r="M1140" i="1" s="1"/>
  <c r="L1179" i="1"/>
  <c r="M1179" i="1" s="1"/>
  <c r="L1214" i="1"/>
  <c r="M1214" i="1" s="1"/>
  <c r="L1249" i="1"/>
  <c r="M1249" i="1" s="1"/>
  <c r="L1281" i="1"/>
  <c r="M1281" i="1" s="1"/>
  <c r="L1313" i="1"/>
  <c r="M1313" i="1" s="1"/>
  <c r="L1345" i="1"/>
  <c r="M1345" i="1" s="1"/>
  <c r="L1370" i="1"/>
  <c r="M1370" i="1" s="1"/>
  <c r="L1386" i="1"/>
  <c r="M1386" i="1" s="1"/>
  <c r="L1402" i="1"/>
  <c r="M1402" i="1" s="1"/>
  <c r="L1418" i="1"/>
  <c r="M1418" i="1" s="1"/>
  <c r="L1434" i="1"/>
  <c r="M1434" i="1" s="1"/>
  <c r="L1450" i="1"/>
  <c r="M1450" i="1" s="1"/>
  <c r="L1466" i="1"/>
  <c r="M1466" i="1" s="1"/>
  <c r="L1482" i="1"/>
  <c r="M1482" i="1" s="1"/>
  <c r="L1498" i="1"/>
  <c r="M1498" i="1" s="1"/>
  <c r="L1514" i="1"/>
  <c r="M1514" i="1" s="1"/>
  <c r="L1530" i="1"/>
  <c r="M1530" i="1" s="1"/>
  <c r="L1546" i="1"/>
  <c r="M1546" i="1" s="1"/>
  <c r="L1562" i="1"/>
  <c r="M1562" i="1" s="1"/>
  <c r="L1578" i="1"/>
  <c r="M1578" i="1" s="1"/>
  <c r="L1594" i="1"/>
  <c r="M1594" i="1" s="1"/>
  <c r="L1610" i="1"/>
  <c r="M1610" i="1" s="1"/>
  <c r="L1626" i="1"/>
  <c r="M1626" i="1" s="1"/>
  <c r="L1642" i="1"/>
  <c r="M1642" i="1" s="1"/>
  <c r="L1658" i="1"/>
  <c r="M1658" i="1" s="1"/>
  <c r="L1674" i="1"/>
  <c r="M1674" i="1" s="1"/>
  <c r="L1690" i="1"/>
  <c r="M1690" i="1" s="1"/>
  <c r="L1706" i="1"/>
  <c r="M1706" i="1" s="1"/>
  <c r="L1722" i="1"/>
  <c r="M1722" i="1" s="1"/>
  <c r="L1738" i="1"/>
  <c r="M1738" i="1" s="1"/>
  <c r="L1754" i="1"/>
  <c r="M1754" i="1" s="1"/>
  <c r="L1770" i="1"/>
  <c r="M1770" i="1" s="1"/>
  <c r="L1786" i="1"/>
  <c r="M1786" i="1" s="1"/>
  <c r="L1802" i="1"/>
  <c r="M1802" i="1" s="1"/>
  <c r="L1818" i="1"/>
  <c r="M1818" i="1" s="1"/>
  <c r="L1834" i="1"/>
  <c r="M1834" i="1" s="1"/>
  <c r="L1850" i="1"/>
  <c r="M1850" i="1" s="1"/>
  <c r="L1866" i="1"/>
  <c r="M1866" i="1" s="1"/>
  <c r="L1882" i="1"/>
  <c r="M1882" i="1" s="1"/>
  <c r="L1898" i="1"/>
  <c r="M1898" i="1" s="1"/>
  <c r="L1914" i="1"/>
  <c r="M1914" i="1" s="1"/>
  <c r="L1930" i="1"/>
  <c r="M1930" i="1" s="1"/>
  <c r="L1946" i="1"/>
  <c r="M1946" i="1" s="1"/>
  <c r="L1962" i="1"/>
  <c r="M1962" i="1" s="1"/>
  <c r="L193" i="1"/>
  <c r="M193" i="1" s="1"/>
  <c r="L449" i="1"/>
  <c r="M449" i="1" s="1"/>
  <c r="L705" i="1"/>
  <c r="M705" i="1" s="1"/>
  <c r="L833" i="1"/>
  <c r="M833" i="1" s="1"/>
  <c r="L912" i="1"/>
  <c r="M912" i="1" s="1"/>
  <c r="L976" i="1"/>
  <c r="M976" i="1" s="1"/>
  <c r="L1035" i="1"/>
  <c r="M1035" i="1" s="1"/>
  <c r="L1070" i="1"/>
  <c r="M1070" i="1" s="1"/>
  <c r="L1105" i="1"/>
  <c r="M1105" i="1" s="1"/>
  <c r="L1143" i="1"/>
  <c r="M1143" i="1" s="1"/>
  <c r="L1181" i="1"/>
  <c r="M1181" i="1" s="1"/>
  <c r="L1216" i="1"/>
  <c r="M1216" i="1" s="1"/>
  <c r="L1252" i="1"/>
  <c r="M1252" i="1" s="1"/>
  <c r="L1284" i="1"/>
  <c r="M1284" i="1" s="1"/>
  <c r="L1316" i="1"/>
  <c r="M1316" i="1" s="1"/>
  <c r="L1348" i="1"/>
  <c r="M1348" i="1" s="1"/>
  <c r="L1371" i="1"/>
  <c r="M1371" i="1" s="1"/>
  <c r="L1387" i="1"/>
  <c r="M1387" i="1" s="1"/>
  <c r="L1403" i="1"/>
  <c r="M1403" i="1" s="1"/>
  <c r="L1419" i="1"/>
  <c r="M1419" i="1" s="1"/>
  <c r="L1435" i="1"/>
  <c r="M1435" i="1" s="1"/>
  <c r="L1483" i="1"/>
  <c r="M1483" i="1" s="1"/>
  <c r="L1595" i="1"/>
  <c r="M1595" i="1" s="1"/>
  <c r="L1611" i="1"/>
  <c r="M1611" i="1" s="1"/>
  <c r="L1643" i="1"/>
  <c r="M1643" i="1" s="1"/>
  <c r="L1739" i="1"/>
  <c r="M1739" i="1" s="1"/>
  <c r="L1851" i="1"/>
  <c r="M1851" i="1" s="1"/>
  <c r="L1963" i="1"/>
  <c r="M1963" i="1" s="1"/>
  <c r="L1741" i="1"/>
  <c r="M1741" i="1" s="1"/>
  <c r="L1885" i="1"/>
  <c r="M1885" i="1" s="1"/>
  <c r="L209" i="1"/>
  <c r="M209" i="1" s="1"/>
  <c r="L465" i="1"/>
  <c r="M465" i="1" s="1"/>
  <c r="L721" i="1"/>
  <c r="M721" i="1" s="1"/>
  <c r="L839" i="1"/>
  <c r="M839" i="1" s="1"/>
  <c r="L913" i="1"/>
  <c r="M913" i="1" s="1"/>
  <c r="L977" i="1"/>
  <c r="M977" i="1" s="1"/>
  <c r="L1037" i="1"/>
  <c r="M1037" i="1" s="1"/>
  <c r="L1072" i="1"/>
  <c r="M1072" i="1" s="1"/>
  <c r="L1108" i="1"/>
  <c r="M1108" i="1" s="1"/>
  <c r="L1147" i="1"/>
  <c r="M1147" i="1" s="1"/>
  <c r="L1182" i="1"/>
  <c r="M1182" i="1" s="1"/>
  <c r="L1217" i="1"/>
  <c r="M1217" i="1" s="1"/>
  <c r="L1255" i="1"/>
  <c r="M1255" i="1" s="1"/>
  <c r="L1287" i="1"/>
  <c r="M1287" i="1" s="1"/>
  <c r="L1319" i="1"/>
  <c r="M1319" i="1" s="1"/>
  <c r="L1351" i="1"/>
  <c r="M1351" i="1" s="1"/>
  <c r="L1372" i="1"/>
  <c r="M1372" i="1" s="1"/>
  <c r="L1388" i="1"/>
  <c r="M1388" i="1" s="1"/>
  <c r="L1404" i="1"/>
  <c r="M1404" i="1" s="1"/>
  <c r="L1420" i="1"/>
  <c r="M1420" i="1" s="1"/>
  <c r="L1436" i="1"/>
  <c r="M1436" i="1" s="1"/>
  <c r="L1452" i="1"/>
  <c r="M1452" i="1" s="1"/>
  <c r="L1468" i="1"/>
  <c r="M1468" i="1" s="1"/>
  <c r="L1484" i="1"/>
  <c r="M1484" i="1" s="1"/>
  <c r="L1500" i="1"/>
  <c r="M1500" i="1" s="1"/>
  <c r="L1516" i="1"/>
  <c r="M1516" i="1" s="1"/>
  <c r="L1532" i="1"/>
  <c r="M1532" i="1" s="1"/>
  <c r="L1548" i="1"/>
  <c r="M1548" i="1" s="1"/>
  <c r="L1564" i="1"/>
  <c r="M1564" i="1" s="1"/>
  <c r="L1580" i="1"/>
  <c r="M1580" i="1" s="1"/>
  <c r="L1596" i="1"/>
  <c r="M1596" i="1" s="1"/>
  <c r="L1612" i="1"/>
  <c r="M1612" i="1" s="1"/>
  <c r="L1628" i="1"/>
  <c r="M1628" i="1" s="1"/>
  <c r="L1644" i="1"/>
  <c r="M1644" i="1" s="1"/>
  <c r="L1660" i="1"/>
  <c r="M1660" i="1" s="1"/>
  <c r="L1676" i="1"/>
  <c r="M1676" i="1" s="1"/>
  <c r="L1692" i="1"/>
  <c r="M1692" i="1" s="1"/>
  <c r="L1708" i="1"/>
  <c r="M1708" i="1" s="1"/>
  <c r="L1724" i="1"/>
  <c r="M1724" i="1" s="1"/>
  <c r="L1740" i="1"/>
  <c r="M1740" i="1" s="1"/>
  <c r="L1756" i="1"/>
  <c r="M1756" i="1" s="1"/>
  <c r="L1772" i="1"/>
  <c r="M1772" i="1" s="1"/>
  <c r="L1788" i="1"/>
  <c r="M1788" i="1" s="1"/>
  <c r="L1804" i="1"/>
  <c r="M1804" i="1" s="1"/>
  <c r="L1820" i="1"/>
  <c r="M1820" i="1" s="1"/>
  <c r="L1836" i="1"/>
  <c r="M1836" i="1" s="1"/>
  <c r="L1852" i="1"/>
  <c r="M1852" i="1" s="1"/>
  <c r="L1868" i="1"/>
  <c r="M1868" i="1" s="1"/>
  <c r="L1884" i="1"/>
  <c r="M1884" i="1" s="1"/>
  <c r="L1900" i="1"/>
  <c r="M1900" i="1" s="1"/>
  <c r="L1916" i="1"/>
  <c r="M1916" i="1" s="1"/>
  <c r="L1932" i="1"/>
  <c r="M1932" i="1" s="1"/>
  <c r="L1948" i="1"/>
  <c r="M1948" i="1" s="1"/>
  <c r="L1964" i="1"/>
  <c r="M1964" i="1" s="1"/>
  <c r="L225" i="1"/>
  <c r="M225" i="1" s="1"/>
  <c r="L481" i="1"/>
  <c r="M481" i="1" s="1"/>
  <c r="L727" i="1"/>
  <c r="M727" i="1" s="1"/>
  <c r="L848" i="1"/>
  <c r="M848" i="1" s="1"/>
  <c r="L919" i="1"/>
  <c r="M919" i="1" s="1"/>
  <c r="L983" i="1"/>
  <c r="M983" i="1" s="1"/>
  <c r="L1038" i="1"/>
  <c r="M1038" i="1" s="1"/>
  <c r="L1073" i="1"/>
  <c r="M1073" i="1" s="1"/>
  <c r="L1111" i="1"/>
  <c r="M1111" i="1" s="1"/>
  <c r="L1149" i="1"/>
  <c r="M1149" i="1" s="1"/>
  <c r="L1184" i="1"/>
  <c r="M1184" i="1" s="1"/>
  <c r="L1220" i="1"/>
  <c r="M1220" i="1" s="1"/>
  <c r="L1257" i="1"/>
  <c r="M1257" i="1" s="1"/>
  <c r="L1289" i="1"/>
  <c r="M1289" i="1" s="1"/>
  <c r="L1321" i="1"/>
  <c r="M1321" i="1" s="1"/>
  <c r="L1353" i="1"/>
  <c r="M1353" i="1" s="1"/>
  <c r="L1373" i="1"/>
  <c r="M1373" i="1" s="1"/>
  <c r="L1389" i="1"/>
  <c r="M1389" i="1" s="1"/>
  <c r="L1405" i="1"/>
  <c r="M1405" i="1" s="1"/>
  <c r="L1421" i="1"/>
  <c r="M1421" i="1" s="1"/>
  <c r="L1437" i="1"/>
  <c r="M1437" i="1" s="1"/>
  <c r="L1453" i="1"/>
  <c r="M1453" i="1" s="1"/>
  <c r="L1469" i="1"/>
  <c r="M1469" i="1" s="1"/>
  <c r="L1485" i="1"/>
  <c r="M1485" i="1" s="1"/>
  <c r="L1501" i="1"/>
  <c r="M1501" i="1" s="1"/>
  <c r="L1517" i="1"/>
  <c r="M1517" i="1" s="1"/>
  <c r="L1533" i="1"/>
  <c r="M1533" i="1" s="1"/>
  <c r="L1549" i="1"/>
  <c r="M1549" i="1" s="1"/>
  <c r="L1565" i="1"/>
  <c r="M1565" i="1" s="1"/>
  <c r="L1581" i="1"/>
  <c r="M1581" i="1" s="1"/>
  <c r="L1597" i="1"/>
  <c r="M1597" i="1" s="1"/>
  <c r="L1613" i="1"/>
  <c r="M1613" i="1" s="1"/>
  <c r="L1661" i="1"/>
  <c r="M1661" i="1" s="1"/>
  <c r="L1789" i="1"/>
  <c r="M1789" i="1" s="1"/>
  <c r="L241" i="1"/>
  <c r="M241" i="1" s="1"/>
  <c r="L497" i="1"/>
  <c r="M497" i="1" s="1"/>
  <c r="L737" i="1"/>
  <c r="M737" i="1" s="1"/>
  <c r="L849" i="1"/>
  <c r="M849" i="1" s="1"/>
  <c r="L923" i="1"/>
  <c r="M923" i="1" s="1"/>
  <c r="L987" i="1"/>
  <c r="M987" i="1" s="1"/>
  <c r="L1040" i="1"/>
  <c r="M1040" i="1" s="1"/>
  <c r="L1076" i="1"/>
  <c r="M1076" i="1" s="1"/>
  <c r="L1115" i="1"/>
  <c r="M1115" i="1" s="1"/>
  <c r="L1150" i="1"/>
  <c r="M1150" i="1" s="1"/>
  <c r="L1185" i="1"/>
  <c r="M1185" i="1" s="1"/>
  <c r="L1223" i="1"/>
  <c r="M1223" i="1" s="1"/>
  <c r="L1259" i="1"/>
  <c r="M1259" i="1" s="1"/>
  <c r="L1291" i="1"/>
  <c r="M1291" i="1" s="1"/>
  <c r="L1323" i="1"/>
  <c r="M1323" i="1" s="1"/>
  <c r="L1355" i="1"/>
  <c r="M1355" i="1" s="1"/>
  <c r="L1374" i="1"/>
  <c r="M1374" i="1" s="1"/>
  <c r="L1390" i="1"/>
  <c r="M1390" i="1" s="1"/>
  <c r="L1406" i="1"/>
  <c r="M1406" i="1" s="1"/>
  <c r="L1422" i="1"/>
  <c r="M1422" i="1" s="1"/>
  <c r="L1438" i="1"/>
  <c r="M1438" i="1" s="1"/>
  <c r="L1454" i="1"/>
  <c r="M1454" i="1" s="1"/>
  <c r="L1470" i="1"/>
  <c r="M1470" i="1" s="1"/>
  <c r="L1486" i="1"/>
  <c r="M1486" i="1" s="1"/>
  <c r="L1502" i="1"/>
  <c r="M1502" i="1" s="1"/>
  <c r="L1518" i="1"/>
  <c r="M1518" i="1" s="1"/>
  <c r="L1534" i="1"/>
  <c r="M1534" i="1" s="1"/>
  <c r="L1550" i="1"/>
  <c r="M1550" i="1" s="1"/>
  <c r="L1566" i="1"/>
  <c r="M1566" i="1" s="1"/>
  <c r="L1582" i="1"/>
  <c r="M1582" i="1" s="1"/>
  <c r="L1598" i="1"/>
  <c r="M1598" i="1" s="1"/>
  <c r="L1614" i="1"/>
  <c r="M1614" i="1" s="1"/>
  <c r="L1630" i="1"/>
  <c r="M1630" i="1" s="1"/>
  <c r="L1646" i="1"/>
  <c r="M1646" i="1" s="1"/>
  <c r="L1662" i="1"/>
  <c r="M1662" i="1" s="1"/>
  <c r="L1678" i="1"/>
  <c r="M1678" i="1" s="1"/>
  <c r="L1694" i="1"/>
  <c r="M1694" i="1" s="1"/>
  <c r="L1710" i="1"/>
  <c r="M1710" i="1" s="1"/>
  <c r="L1726" i="1"/>
  <c r="M1726" i="1" s="1"/>
  <c r="L1742" i="1"/>
  <c r="M1742" i="1" s="1"/>
  <c r="L1758" i="1"/>
  <c r="M1758" i="1" s="1"/>
  <c r="L1774" i="1"/>
  <c r="M1774" i="1" s="1"/>
  <c r="L1790" i="1"/>
  <c r="M1790" i="1" s="1"/>
  <c r="L1806" i="1"/>
  <c r="M1806" i="1" s="1"/>
  <c r="L1822" i="1"/>
  <c r="M1822" i="1" s="1"/>
  <c r="L1838" i="1"/>
  <c r="M1838" i="1" s="1"/>
  <c r="L1854" i="1"/>
  <c r="M1854" i="1" s="1"/>
  <c r="L1870" i="1"/>
  <c r="M1870" i="1" s="1"/>
  <c r="L1886" i="1"/>
  <c r="M1886" i="1" s="1"/>
  <c r="L1902" i="1"/>
  <c r="M1902" i="1" s="1"/>
  <c r="L1918" i="1"/>
  <c r="M1918" i="1" s="1"/>
  <c r="L1934" i="1"/>
  <c r="M1934" i="1" s="1"/>
  <c r="L1950" i="1"/>
  <c r="M1950" i="1" s="1"/>
  <c r="L1966" i="1"/>
  <c r="M1966" i="1" s="1"/>
  <c r="L1153" i="1"/>
  <c r="M1153" i="1" s="1"/>
  <c r="L1358" i="1"/>
  <c r="M1358" i="1" s="1"/>
  <c r="L1392" i="1"/>
  <c r="M1392" i="1" s="1"/>
  <c r="L1440" i="1"/>
  <c r="M1440" i="1" s="1"/>
  <c r="L1472" i="1"/>
  <c r="M1472" i="1" s="1"/>
  <c r="L1504" i="1"/>
  <c r="M1504" i="1" s="1"/>
  <c r="L1552" i="1"/>
  <c r="M1552" i="1" s="1"/>
  <c r="L1600" i="1"/>
  <c r="M1600" i="1" s="1"/>
  <c r="L1648" i="1"/>
  <c r="M1648" i="1" s="1"/>
  <c r="L1696" i="1"/>
  <c r="M1696" i="1" s="1"/>
  <c r="L1760" i="1"/>
  <c r="M1760" i="1" s="1"/>
  <c r="L1808" i="1"/>
  <c r="M1808" i="1" s="1"/>
  <c r="L1872" i="1"/>
  <c r="M1872" i="1" s="1"/>
  <c r="L1936" i="1"/>
  <c r="M1936" i="1" s="1"/>
  <c r="L1617" i="1"/>
  <c r="M1617" i="1" s="1"/>
  <c r="L1713" i="1"/>
  <c r="M1713" i="1" s="1"/>
  <c r="L1777" i="1"/>
  <c r="M1777" i="1" s="1"/>
  <c r="L1841" i="1"/>
  <c r="M1841" i="1" s="1"/>
  <c r="L1921" i="1"/>
  <c r="M1921" i="1" s="1"/>
  <c r="L1627" i="1"/>
  <c r="M1627" i="1" s="1"/>
  <c r="L1883" i="1"/>
  <c r="M1883" i="1" s="1"/>
  <c r="L1693" i="1"/>
  <c r="M1693" i="1" s="1"/>
  <c r="L1949" i="1"/>
  <c r="M1949" i="1" s="1"/>
  <c r="M2" i="1" l="1"/>
  <c r="D51" i="3" s="1"/>
  <c r="D50" i="3"/>
  <c r="F98" i="3" l="1"/>
  <c r="G54" i="3"/>
  <c r="G49" i="3"/>
  <c r="F97" i="3" s="1"/>
  <c r="D81" i="3" l="1"/>
  <c r="D80" i="3"/>
  <c r="D79" i="3"/>
  <c r="D74" i="3"/>
  <c r="D75" i="3"/>
  <c r="D78" i="3"/>
  <c r="D77" i="3"/>
  <c r="D76" i="3"/>
  <c r="G80" i="3" l="1"/>
  <c r="G93" i="3"/>
  <c r="G81" i="3"/>
  <c r="G94" i="3"/>
  <c r="G91" i="3"/>
  <c r="G78" i="3"/>
  <c r="G76" i="3"/>
  <c r="G89" i="3"/>
  <c r="G79" i="3"/>
  <c r="G92" i="3"/>
  <c r="G77" i="3"/>
  <c r="G90" i="3"/>
  <c r="G88" i="3"/>
  <c r="G75" i="3"/>
  <c r="G87" i="3"/>
  <c r="J81" i="3" l="1"/>
  <c r="I94" i="3" s="1"/>
  <c r="J94" i="3" s="1"/>
  <c r="H94" i="3"/>
  <c r="J80" i="3"/>
  <c r="I93" i="3" s="1"/>
  <c r="J93" i="3" s="1"/>
  <c r="H93" i="3"/>
  <c r="H87" i="3"/>
  <c r="I87" i="3"/>
  <c r="J87" i="3" s="1"/>
  <c r="H92" i="3"/>
  <c r="J79" i="3"/>
  <c r="I92" i="3" s="1"/>
  <c r="J92" i="3" s="1"/>
  <c r="J75" i="3"/>
  <c r="I88" i="3" s="1"/>
  <c r="J88" i="3" s="1"/>
  <c r="H88" i="3"/>
  <c r="H90" i="3"/>
  <c r="J77" i="3"/>
  <c r="I90" i="3" s="1"/>
  <c r="J90" i="3" s="1"/>
  <c r="H91" i="3"/>
  <c r="J78" i="3"/>
  <c r="I91" i="3" s="1"/>
  <c r="J91" i="3" s="1"/>
  <c r="J76" i="3"/>
  <c r="I89" i="3" s="1"/>
  <c r="J89" i="3" s="1"/>
  <c r="H8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<sst xmlns="http://schemas.openxmlformats.org/spreadsheetml/2006/main" count="283" uniqueCount="159">
  <si>
    <t>PRET</t>
  </si>
  <si>
    <t>TX_EFF</t>
  </si>
  <si>
    <t>TX_ENDET</t>
  </si>
  <si>
    <t>ANTEC</t>
  </si>
  <si>
    <t>TAUX</t>
  </si>
  <si>
    <t>PRIX</t>
  </si>
  <si>
    <t>SEXE</t>
  </si>
  <si>
    <t>MARIAGE</t>
  </si>
  <si>
    <t>EMP</t>
  </si>
  <si>
    <t>REVENU</t>
  </si>
  <si>
    <t>montant du prêt immobilier</t>
  </si>
  <si>
    <t>taux d'effort logement</t>
  </si>
  <si>
    <t>taux d'endettement</t>
  </si>
  <si>
    <t>1 si antécédent dans le dossier de crédit (par exemple un défaut de paiement), 0 sinon</t>
  </si>
  <si>
    <t>1 si taux fixe, 0 si taux variable</t>
  </si>
  <si>
    <t>prix d'achat du bien</t>
  </si>
  <si>
    <t>1 si homme, 0 si femme</t>
  </si>
  <si>
    <t>1 si marié, 0 sinon</t>
  </si>
  <si>
    <t>niveau de revenu mensuel (demandeur et codemandeur)</t>
  </si>
  <si>
    <t>ancienneté dans l'emploi actuel (en année)</t>
  </si>
  <si>
    <t>Variables</t>
  </si>
  <si>
    <t>Description</t>
  </si>
  <si>
    <t xml:space="preserve">Cette feuille est dédiée aux calculs permettant la régression ainsi qu'à vos résultats. Comme expliqué oralement lors des TD, vous devez impérativement rendre ce document avec votre dossier. </t>
  </si>
  <si>
    <t>k=</t>
  </si>
  <si>
    <t>Nombre=</t>
  </si>
  <si>
    <t>Min Prêt=</t>
  </si>
  <si>
    <t>Max Prêt=</t>
  </si>
  <si>
    <t>Somme=</t>
  </si>
  <si>
    <t>Moyenne=</t>
  </si>
  <si>
    <t>Variance=</t>
  </si>
  <si>
    <t>Écart types=</t>
  </si>
  <si>
    <t>Minimum X1=</t>
  </si>
  <si>
    <t xml:space="preserve">TX_EFF </t>
  </si>
  <si>
    <t>TX_ENDET (X1)</t>
  </si>
  <si>
    <t>ANTEC (X2)</t>
  </si>
  <si>
    <t>PRIX(X3)</t>
  </si>
  <si>
    <t>REVENU(X4)</t>
  </si>
  <si>
    <t>Maximum X1=</t>
  </si>
  <si>
    <t>Ecart-type X1 =</t>
  </si>
  <si>
    <t>Moyenne X1 =</t>
  </si>
  <si>
    <t>Variance X1 =</t>
  </si>
  <si>
    <t>Minimum X2=</t>
  </si>
  <si>
    <t>Maximum X2=</t>
  </si>
  <si>
    <t>Ecart-type X2 =</t>
  </si>
  <si>
    <t>Moyenne X2 =</t>
  </si>
  <si>
    <t>Variance X2 =</t>
  </si>
  <si>
    <t>Minimum X3=</t>
  </si>
  <si>
    <t>Maximum X3=</t>
  </si>
  <si>
    <t>Ecart-type X3 =</t>
  </si>
  <si>
    <t>Moyenne X3 =</t>
  </si>
  <si>
    <t>Variance X3 =</t>
  </si>
  <si>
    <t>Minimum X4=</t>
  </si>
  <si>
    <t>Maximum X4=</t>
  </si>
  <si>
    <t>Ecart-type X4 =</t>
  </si>
  <si>
    <t>Moyenne X4 =</t>
  </si>
  <si>
    <t>Y|X</t>
  </si>
  <si>
    <t>Prêt</t>
  </si>
  <si>
    <t xml:space="preserve">ANTEC </t>
  </si>
  <si>
    <t>X′X</t>
  </si>
  <si>
    <t>Intercept</t>
  </si>
  <si>
    <t>(X′X)^-1</t>
  </si>
  <si>
    <t>X'Y</t>
  </si>
  <si>
    <t>(X′X)^-1 * (X′Y)</t>
  </si>
  <si>
    <t>β</t>
  </si>
  <si>
    <t>β0=</t>
  </si>
  <si>
    <t>β1=</t>
  </si>
  <si>
    <t>β2=</t>
  </si>
  <si>
    <t>β3=</t>
  </si>
  <si>
    <t>β4=</t>
  </si>
  <si>
    <t xml:space="preserve">SCT = </t>
  </si>
  <si>
    <t>SCE=</t>
  </si>
  <si>
    <t>SCR=</t>
  </si>
  <si>
    <t>Y Pred</t>
  </si>
  <si>
    <t>Résidu</t>
  </si>
  <si>
    <t xml:space="preserve">R² = </t>
  </si>
  <si>
    <t xml:space="preserve">ddl SCE = </t>
  </si>
  <si>
    <t xml:space="preserve">ddl SCR = </t>
  </si>
  <si>
    <t xml:space="preserve">F observé = </t>
  </si>
  <si>
    <t xml:space="preserve">F théorique = </t>
  </si>
  <si>
    <t xml:space="preserve">p-valeur = </t>
  </si>
  <si>
    <t xml:space="preserve">t théorique = </t>
  </si>
  <si>
    <t>MARIAGE (X5)</t>
  </si>
  <si>
    <t>Minimum X5=</t>
  </si>
  <si>
    <t>Maximum X5=</t>
  </si>
  <si>
    <t>Ecart-type X5 =</t>
  </si>
  <si>
    <t>Moyenne X5 =</t>
  </si>
  <si>
    <t>Variance X5=</t>
  </si>
  <si>
    <t>Variance X4 =</t>
  </si>
  <si>
    <t>β5=</t>
  </si>
  <si>
    <t>Erreur-type</t>
  </si>
  <si>
    <t>Constante</t>
  </si>
  <si>
    <t>Observation</t>
  </si>
  <si>
    <t>erreurs types :</t>
  </si>
  <si>
    <r>
      <rPr>
        <sz val="11"/>
        <color theme="1"/>
        <rFont val="Aptos Narrow"/>
        <family val="2"/>
      </rPr>
      <t>SE (β0)</t>
    </r>
    <r>
      <rPr>
        <sz val="11"/>
        <color theme="1"/>
        <rFont val="Calibri"/>
        <family val="2"/>
      </rPr>
      <t xml:space="preserve"> =</t>
    </r>
  </si>
  <si>
    <t>SE (β1) =</t>
  </si>
  <si>
    <t>SE (β2) =</t>
  </si>
  <si>
    <t>SE (β3) =</t>
  </si>
  <si>
    <t>SE (β4) =</t>
  </si>
  <si>
    <t>SE (β5) =</t>
  </si>
  <si>
    <t>t-val</t>
  </si>
  <si>
    <r>
      <rPr>
        <sz val="11"/>
        <color theme="1"/>
        <rFont val="Aptos Narrow"/>
        <family val="2"/>
      </rPr>
      <t>t-val β0</t>
    </r>
    <r>
      <rPr>
        <sz val="11"/>
        <color theme="1"/>
        <rFont val="Calibri"/>
        <family val="2"/>
      </rPr>
      <t xml:space="preserve"> =</t>
    </r>
  </si>
  <si>
    <t>t-val β1 =</t>
  </si>
  <si>
    <t>t-val β2 =</t>
  </si>
  <si>
    <t>t-val β3 =</t>
  </si>
  <si>
    <t>t-val β4 =</t>
  </si>
  <si>
    <t>t-val β5 =</t>
  </si>
  <si>
    <t>Variable</t>
  </si>
  <si>
    <t>Coefficient</t>
  </si>
  <si>
    <t>t-valeur</t>
  </si>
  <si>
    <t>p-valeur</t>
  </si>
  <si>
    <t>Signif</t>
  </si>
  <si>
    <t>F observé</t>
  </si>
  <si>
    <t>p-valeur F</t>
  </si>
  <si>
    <t>Tx endet</t>
  </si>
  <si>
    <t>Antec</t>
  </si>
  <si>
    <t>Mariage</t>
  </si>
  <si>
    <t>Revenue</t>
  </si>
  <si>
    <t xml:space="preserve">Prix </t>
  </si>
  <si>
    <t>Ddl</t>
  </si>
  <si>
    <t>R^2</t>
  </si>
  <si>
    <t>p-val</t>
  </si>
  <si>
    <r>
      <rPr>
        <sz val="11"/>
        <color theme="1"/>
        <rFont val="Aptos Narrow"/>
        <family val="2"/>
      </rPr>
      <t>p-val β0</t>
    </r>
    <r>
      <rPr>
        <sz val="11"/>
        <color theme="1"/>
        <rFont val="Calibri"/>
        <family val="2"/>
      </rPr>
      <t xml:space="preserve"> =</t>
    </r>
  </si>
  <si>
    <t>p-val β1 =</t>
  </si>
  <si>
    <t>p-val β2 =</t>
  </si>
  <si>
    <t>p-val β3 =</t>
  </si>
  <si>
    <t>p-val β4 =</t>
  </si>
  <si>
    <t>p-val β5 =</t>
  </si>
  <si>
    <t>EMP (X6)</t>
  </si>
  <si>
    <t>TAUX (X7)</t>
  </si>
  <si>
    <t>Minimum X6=</t>
  </si>
  <si>
    <t>Maximum X6=</t>
  </si>
  <si>
    <t>Ecart-type X6 =</t>
  </si>
  <si>
    <t>Moyenne X6 =</t>
  </si>
  <si>
    <t>Variance X6=</t>
  </si>
  <si>
    <t>Maximum X7=</t>
  </si>
  <si>
    <t>Minimum X7=</t>
  </si>
  <si>
    <t>Ecart-type X7 =</t>
  </si>
  <si>
    <t>Moyenne X7 =</t>
  </si>
  <si>
    <t>Variance X7=</t>
  </si>
  <si>
    <t xml:space="preserve">Emploi </t>
  </si>
  <si>
    <t>Taux</t>
  </si>
  <si>
    <t>β6=</t>
  </si>
  <si>
    <t>β7=</t>
  </si>
  <si>
    <t>Emploi</t>
  </si>
  <si>
    <t xml:space="preserve">taux </t>
  </si>
  <si>
    <t>t-val β6 =</t>
  </si>
  <si>
    <t>t-val β7 =</t>
  </si>
  <si>
    <t>SE (β6) =</t>
  </si>
  <si>
    <t>SE (β7) =</t>
  </si>
  <si>
    <t>p-val β6 =</t>
  </si>
  <si>
    <t>p-val β7 =</t>
  </si>
  <si>
    <t>s</t>
  </si>
  <si>
    <t xml:space="preserve">Ln prix(X3) </t>
  </si>
  <si>
    <t xml:space="preserve">Ln revenue(X4) </t>
  </si>
  <si>
    <t>Avec LN:</t>
  </si>
  <si>
    <t xml:space="preserve"> </t>
  </si>
  <si>
    <t>Y pred</t>
  </si>
  <si>
    <t xml:space="preserve">Ln Prix </t>
  </si>
  <si>
    <t>Ln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</si>
</sst>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4" borderId="2" xfId="0" applyFont="1" applyFill="1" applyBorder="1" applyAlignment="1">
      <alignment horizontal="right"/>
    </xf>
    <xf numFmtId="0" fontId="0" fillId="5" borderId="2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0" fillId="4" borderId="3" xfId="0" applyFill="1" applyBorder="1" applyAlignment="1">
      <alignment horizontal="right"/>
    </xf>
    <xf numFmtId="0" fontId="0" fillId="5" borderId="3" xfId="0" applyFill="1" applyBorder="1" applyAlignment="1">
      <alignment horizontal="left"/>
    </xf>
    <xf numFmtId="0" fontId="0" fillId="6" borderId="0" xfId="0" applyFill="1"/>
    <xf numFmtId="0" fontId="0" fillId="7" borderId="0" xfId="0" applyFill="1"/>
    <xf numFmtId="0" fontId="3" fillId="6" borderId="0" xfId="0" applyFont="1" applyFill="1"/>
    <xf numFmtId="0" fontId="0" fillId="5" borderId="0" xfId="0" applyFill="1"/>
    <xf numFmtId="0" fontId="0" fillId="9" borderId="0" xfId="0" applyFill="1"/>
    <xf numFmtId="0" fontId="0" fillId="4" borderId="2" xfId="0" applyFill="1" applyBorder="1"/>
    <xf numFmtId="165" fontId="0" fillId="5" borderId="2" xfId="0" applyNumberFormat="1" applyFill="1" applyBorder="1" applyAlignment="1">
      <alignment horizontal="center"/>
    </xf>
    <xf numFmtId="0" fontId="0" fillId="9" borderId="2" xfId="0" applyFill="1" applyBorder="1"/>
    <xf numFmtId="0" fontId="0" fillId="4" borderId="4" xfId="0" applyFill="1" applyBorder="1"/>
    <xf numFmtId="165" fontId="0" fillId="5" borderId="4" xfId="0" applyNumberFormat="1" applyFill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6" fillId="4" borderId="4" xfId="0" applyFont="1" applyFill="1" applyBorder="1"/>
    <xf numFmtId="164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0" fontId="0" fillId="8" borderId="4" xfId="0" applyFill="1" applyBorder="1"/>
    <xf numFmtId="0" fontId="0" fillId="5" borderId="4" xfId="0" applyFill="1" applyBorder="1"/>
    <xf numFmtId="0" fontId="0" fillId="6" borderId="4" xfId="0" applyFill="1" applyBorder="1"/>
    <xf numFmtId="0" fontId="2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60</xdr:row>
      <xdr:rowOff>0</xdr:rowOff>
    </xdr:from>
    <xdr:to>
      <xdr:col>2</xdr:col>
      <xdr:colOff>828675</xdr:colOff>
      <xdr:row>61</xdr:row>
      <xdr:rowOff>20955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8780239-66D1-4055-88B7-A5092CB1D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8324850"/>
          <a:ext cx="323850" cy="201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60</xdr:row>
      <xdr:rowOff>19050</xdr:rowOff>
    </xdr:from>
    <xdr:ext cx="914400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45A2F7A3-68E1-4B56-B0AD-8DE09A37438B}"/>
                </a:ext>
              </a:extLst>
            </xdr:cNvPr>
            <xdr:cNvSpPr txBox="1"/>
          </xdr:nvSpPr>
          <xdr:spPr>
            <a:xfrm>
              <a:off x="4467225" y="8343900"/>
              <a:ext cx="914400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fr-F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fr-F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Ω</m:t>
                        </m:r>
                      </m:e>
                    </m:acc>
                    <m:r>
                      <a:rPr lang="fr-F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fr-FR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45A2F7A3-68E1-4B56-B0AD-8DE09A37438B}"/>
                </a:ext>
              </a:extLst>
            </xdr:cNvPr>
            <xdr:cNvSpPr txBox="1"/>
          </xdr:nvSpPr>
          <xdr:spPr>
            <a:xfrm>
              <a:off x="4467225" y="8343900"/>
              <a:ext cx="914400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Ω ̂=</a:t>
              </a:r>
              <a:endParaRPr lang="fr-FR" sz="11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56</xdr:row>
      <xdr:rowOff>0</xdr:rowOff>
    </xdr:from>
    <xdr:to>
      <xdr:col>3</xdr:col>
      <xdr:colOff>828675</xdr:colOff>
      <xdr:row>57</xdr:row>
      <xdr:rowOff>20955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13CA570-D57A-4F43-9B8D-384EAABE1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1601450"/>
          <a:ext cx="323850" cy="211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56</xdr:row>
      <xdr:rowOff>19050</xdr:rowOff>
    </xdr:from>
    <xdr:ext cx="914400" cy="18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34B7C54F-E6E0-41BC-BA4A-470AA1D53E2D}"/>
                </a:ext>
              </a:extLst>
            </xdr:cNvPr>
            <xdr:cNvSpPr txBox="1"/>
          </xdr:nvSpPr>
          <xdr:spPr>
            <a:xfrm>
              <a:off x="4333875" y="11620500"/>
              <a:ext cx="914400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fr-F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m:rPr>
                            <m:sty m:val="p"/>
                          </m:rPr>
                          <a:rPr lang="fr-F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Ω</m:t>
                        </m:r>
                      </m:e>
                    </m:acc>
                    <m:r>
                      <a:rPr lang="fr-F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fr-FR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34B7C54F-E6E0-41BC-BA4A-470AA1D53E2D}"/>
                </a:ext>
              </a:extLst>
            </xdr:cNvPr>
            <xdr:cNvSpPr txBox="1"/>
          </xdr:nvSpPr>
          <xdr:spPr>
            <a:xfrm>
              <a:off x="4333875" y="11620500"/>
              <a:ext cx="914400" cy="18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Ω ̂=</a:t>
              </a:r>
              <a:endParaRPr lang="fr-FR" sz="1100" kern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69"/>
  <sheetViews>
    <sheetView topLeftCell="E1" zoomScale="79" zoomScaleNormal="119" workbookViewId="0">
      <pane ySplit="1" topLeftCell="A2" activePane="bottomLeft" state="frozen"/>
      <selection pane="bottomLeft" activeCell="AB23" sqref="AB23"/>
    </sheetView>
  </sheetViews>
  <sheetFormatPr baseColWidth="10" defaultColWidth="8.7109375" defaultRowHeight="15" x14ac:dyDescent="0.25"/>
  <cols>
    <col min="3" max="3" width="18.140625" customWidth="1"/>
    <col min="4" max="4" width="16" customWidth="1"/>
    <col min="5" max="5" width="12.7109375" customWidth="1"/>
    <col min="6" max="6" width="12" customWidth="1"/>
    <col min="7" max="7" width="15.5703125" customWidth="1"/>
    <col min="8" max="8" width="14.28515625" customWidth="1"/>
    <col min="9" max="9" width="10.42578125" customWidth="1"/>
    <col min="10" max="10" width="14.28515625" customWidth="1"/>
    <col min="12" max="12" width="11.140625" bestFit="1" customWidth="1"/>
    <col min="16" max="16" width="10.7109375" customWidth="1"/>
    <col min="17" max="17" width="11.85546875" customWidth="1"/>
    <col min="18" max="18" width="10.85546875" customWidth="1"/>
    <col min="19" max="19" width="11.28515625" customWidth="1"/>
    <col min="20" max="20" width="12.5703125" customWidth="1"/>
    <col min="21" max="22" width="11.42578125" customWidth="1"/>
    <col min="23" max="23" width="12" customWidth="1"/>
    <col min="24" max="24" width="10.5703125" customWidth="1"/>
    <col min="25" max="25" width="10.7109375" customWidth="1"/>
  </cols>
  <sheetData>
    <row r="1" spans="1:27" x14ac:dyDescent="0.25">
      <c r="A1" s="2" t="s">
        <v>0</v>
      </c>
      <c r="B1" s="4" t="s">
        <v>59</v>
      </c>
      <c r="C1" s="3" t="s">
        <v>33</v>
      </c>
      <c r="D1" s="2" t="s">
        <v>34</v>
      </c>
      <c r="E1" s="2" t="s">
        <v>35</v>
      </c>
      <c r="F1" s="2" t="s">
        <v>36</v>
      </c>
      <c r="G1" s="2" t="s">
        <v>81</v>
      </c>
      <c r="H1" s="2" t="s">
        <v>127</v>
      </c>
      <c r="I1" s="2" t="s">
        <v>128</v>
      </c>
      <c r="J1" s="2" t="s">
        <v>32</v>
      </c>
      <c r="K1" s="2" t="s">
        <v>6</v>
      </c>
      <c r="L1" s="4" t="s">
        <v>72</v>
      </c>
      <c r="M1" s="4" t="s">
        <v>73</v>
      </c>
      <c r="P1" t="s">
        <v>155</v>
      </c>
      <c r="Q1" s="3" t="s">
        <v>154</v>
      </c>
      <c r="R1" s="2"/>
      <c r="S1" s="2"/>
    </row>
    <row r="2" spans="1:27" x14ac:dyDescent="0.25">
      <c r="A2">
        <v>128000</v>
      </c>
      <c r="B2">
        <v>1</v>
      </c>
      <c r="C2">
        <v>34.099998474121087</v>
      </c>
      <c r="D2">
        <v>0</v>
      </c>
      <c r="E2">
        <v>160000</v>
      </c>
      <c r="F2">
        <v>4583</v>
      </c>
      <c r="G2">
        <v>1</v>
      </c>
      <c r="H2">
        <v>0</v>
      </c>
      <c r="I2">
        <v>1</v>
      </c>
      <c r="J2">
        <v>22.54000091552734</v>
      </c>
      <c r="K2">
        <v>1</v>
      </c>
      <c r="L2">
        <f>Résultats!G$32+Résultats!G$33*Données!C2+Résultats!G$34*Données!D2+Résultats!G$35*Données!E2+Résultats!G$36*Données!F2+Résultats!G$37*Données!G2+Résultats!G$38*Données!H2+Résultats!G$39*Données!I2</f>
        <v>136266.74199396363</v>
      </c>
      <c r="M2">
        <f>A2-L2</f>
        <v>-8266.7419939636311</v>
      </c>
      <c r="Q2" s="2" t="s">
        <v>0</v>
      </c>
      <c r="R2" s="4" t="s">
        <v>59</v>
      </c>
      <c r="S2" s="3" t="s">
        <v>33</v>
      </c>
      <c r="T2" s="2" t="s">
        <v>34</v>
      </c>
      <c r="U2" s="2" t="s">
        <v>152</v>
      </c>
      <c r="V2" s="2" t="s">
        <v>153</v>
      </c>
      <c r="W2" s="2" t="s">
        <v>81</v>
      </c>
      <c r="X2" s="2" t="s">
        <v>127</v>
      </c>
      <c r="Y2" s="2" t="s">
        <v>128</v>
      </c>
      <c r="Z2" s="2" t="s">
        <v>156</v>
      </c>
      <c r="AA2" s="2" t="s">
        <v>73</v>
      </c>
    </row>
    <row r="3" spans="1:27" x14ac:dyDescent="0.25">
      <c r="A3">
        <v>128000</v>
      </c>
      <c r="B3">
        <v>1</v>
      </c>
      <c r="C3">
        <v>26</v>
      </c>
      <c r="D3">
        <v>0</v>
      </c>
      <c r="E3">
        <v>143000</v>
      </c>
      <c r="F3">
        <v>2666</v>
      </c>
      <c r="G3">
        <v>0</v>
      </c>
      <c r="H3">
        <v>1</v>
      </c>
      <c r="I3">
        <v>0</v>
      </c>
      <c r="J3">
        <v>19</v>
      </c>
      <c r="K3">
        <v>1</v>
      </c>
      <c r="L3">
        <f>Résultats!G$32+Résultats!G$33*Données!C3+Résultats!G$34*Données!D3+Résultats!G$35*Données!E3+Résultats!G$36*Données!F3+Résultats!G$37*Données!G3+Résultats!G$38*Données!H3+Résultats!G$39*Données!I3</f>
        <v>96742.217911058629</v>
      </c>
      <c r="M3">
        <f t="shared" ref="M3:M66" si="0">A3-L3</f>
        <v>31257.782088941371</v>
      </c>
      <c r="Q3">
        <v>128000</v>
      </c>
      <c r="R3">
        <v>1</v>
      </c>
      <c r="S3">
        <v>34.099998474121087</v>
      </c>
      <c r="T3">
        <v>0</v>
      </c>
      <c r="U3">
        <f>LN(E2)</f>
        <v>11.982929094215963</v>
      </c>
      <c r="V3">
        <f>LN(F2)</f>
        <v>8.4301090845091249</v>
      </c>
      <c r="W3">
        <v>1</v>
      </c>
      <c r="X3">
        <v>0</v>
      </c>
      <c r="Y3">
        <v>1</v>
      </c>
      <c r="Z3">
        <f>'Résultat (Ln)'!F$30+'Résultat (Ln)'!F$31*Données!S3+'Résultat (Ln)'!F$32*Données!T3+'Résultat (Ln)'!F$33*Données!U3+'Résultat (Ln)'!F$34*Données!V3+'Résultat (Ln)'!F$35*Données!W3+'Résultat (Ln)'!F$36*Données!X3+'Résultat (Ln)'!F$37*Données!Y3</f>
        <v>151388.49562891122</v>
      </c>
      <c r="AA3">
        <f>Q3-Z3</f>
        <v>-23388.495628911216</v>
      </c>
    </row>
    <row r="4" spans="1:27" x14ac:dyDescent="0.25">
      <c r="A4">
        <v>66000</v>
      </c>
      <c r="B4">
        <v>1</v>
      </c>
      <c r="C4">
        <v>37</v>
      </c>
      <c r="D4">
        <v>1</v>
      </c>
      <c r="E4">
        <v>110000</v>
      </c>
      <c r="F4">
        <v>3000</v>
      </c>
      <c r="G4">
        <v>1</v>
      </c>
      <c r="H4">
        <v>0</v>
      </c>
      <c r="I4">
        <v>0</v>
      </c>
      <c r="J4">
        <v>24</v>
      </c>
      <c r="K4">
        <v>1</v>
      </c>
      <c r="L4">
        <f>Résultats!G$32+Résultats!G$33*Données!C4+Résultats!G$34*Données!D4+Résultats!G$35*Données!E4+Résultats!G$36*Données!F4+Résultats!G$37*Données!G4+Résultats!G$38*Données!H4+Résultats!G$39*Données!I4</f>
        <v>108105.49887083622</v>
      </c>
      <c r="M4">
        <f t="shared" si="0"/>
        <v>-42105.498870836222</v>
      </c>
      <c r="Q4">
        <v>128000</v>
      </c>
      <c r="R4">
        <v>1</v>
      </c>
      <c r="S4">
        <v>26</v>
      </c>
      <c r="T4">
        <v>0</v>
      </c>
      <c r="U4">
        <f t="shared" ref="U4:U67" si="1">LN(E3)</f>
        <v>11.870599909242044</v>
      </c>
      <c r="V4">
        <f t="shared" ref="V4:V67" si="2">LN(F3)</f>
        <v>7.8883345007386536</v>
      </c>
      <c r="W4">
        <v>0</v>
      </c>
      <c r="X4">
        <v>1</v>
      </c>
      <c r="Y4">
        <v>0</v>
      </c>
      <c r="Z4">
        <f>'Résultat (Ln)'!F$30+'Résultat (Ln)'!F$31*Données!S4+'Résultat (Ln)'!F$32*Données!T4+'Résultat (Ln)'!F$33*Données!U4+'Résultat (Ln)'!F$34*Données!V4+'Résultat (Ln)'!F$35*Données!W4+'Résultat (Ln)'!F$36*Données!X4+'Résultat (Ln)'!F$37*Données!Y4</f>
        <v>95475.776413534812</v>
      </c>
      <c r="AA4">
        <f t="shared" ref="AA4:AA67" si="3">Q4-Z4</f>
        <v>32524.223586465188</v>
      </c>
    </row>
    <row r="5" spans="1:27" x14ac:dyDescent="0.25">
      <c r="A5">
        <v>120000</v>
      </c>
      <c r="B5">
        <v>1</v>
      </c>
      <c r="C5">
        <v>32.099998474121087</v>
      </c>
      <c r="D5">
        <v>0</v>
      </c>
      <c r="E5">
        <v>134000</v>
      </c>
      <c r="F5">
        <v>2583</v>
      </c>
      <c r="G5">
        <v>1</v>
      </c>
      <c r="H5">
        <v>0</v>
      </c>
      <c r="I5">
        <v>0</v>
      </c>
      <c r="J5">
        <v>25.10000038146973</v>
      </c>
      <c r="K5">
        <v>1</v>
      </c>
      <c r="L5">
        <f>Résultats!G$32+Résultats!G$33*Données!C5+Résultats!G$34*Données!D5+Résultats!G$35*Données!E5+Résultats!G$36*Données!F5+Résultats!G$37*Données!G5+Résultats!G$38*Données!H5+Résultats!G$39*Données!I5</f>
        <v>108027.58466175958</v>
      </c>
      <c r="M5">
        <f t="shared" si="0"/>
        <v>11972.415338240418</v>
      </c>
      <c r="Q5">
        <v>66000</v>
      </c>
      <c r="R5">
        <v>1</v>
      </c>
      <c r="S5">
        <v>37</v>
      </c>
      <c r="T5">
        <v>1</v>
      </c>
      <c r="U5">
        <f t="shared" si="1"/>
        <v>11.608235644774552</v>
      </c>
      <c r="V5">
        <f t="shared" si="2"/>
        <v>8.0063675676502459</v>
      </c>
      <c r="W5">
        <v>1</v>
      </c>
      <c r="X5">
        <v>0</v>
      </c>
      <c r="Y5">
        <v>0</v>
      </c>
      <c r="Z5">
        <f>'Résultat (Ln)'!F$30+'Résultat (Ln)'!F$31*Données!S5+'Résultat (Ln)'!F$32*Données!T5+'Résultat (Ln)'!F$33*Données!U5+'Résultat (Ln)'!F$34*Données!V5+'Résultat (Ln)'!F$35*Données!W5+'Résultat (Ln)'!F$36*Données!X5+'Résultat (Ln)'!F$37*Données!Y5</f>
        <v>93144.654029076759</v>
      </c>
      <c r="AA5">
        <f t="shared" si="3"/>
        <v>-27144.654029076759</v>
      </c>
    </row>
    <row r="6" spans="1:27" x14ac:dyDescent="0.25">
      <c r="A6">
        <v>111000</v>
      </c>
      <c r="B6">
        <v>1</v>
      </c>
      <c r="C6">
        <v>33</v>
      </c>
      <c r="D6">
        <v>0</v>
      </c>
      <c r="E6">
        <v>138000</v>
      </c>
      <c r="F6">
        <v>2208</v>
      </c>
      <c r="G6">
        <v>0</v>
      </c>
      <c r="H6">
        <v>0</v>
      </c>
      <c r="I6">
        <v>0</v>
      </c>
      <c r="J6">
        <v>21</v>
      </c>
      <c r="K6">
        <v>1</v>
      </c>
      <c r="L6">
        <f>Résultats!G$32+Résultats!G$33*Données!C6+Résultats!G$34*Données!D6+Résultats!G$35*Données!E6+Résultats!G$36*Données!F6+Résultats!G$37*Données!G6+Résultats!G$38*Données!H6+Résultats!G$39*Données!I6</f>
        <v>103185.91408718086</v>
      </c>
      <c r="M6">
        <f t="shared" si="0"/>
        <v>7814.0859128191369</v>
      </c>
      <c r="Q6">
        <v>120000</v>
      </c>
      <c r="R6">
        <v>1</v>
      </c>
      <c r="S6">
        <v>32.099998474121087</v>
      </c>
      <c r="T6">
        <v>0</v>
      </c>
      <c r="U6">
        <f t="shared" si="1"/>
        <v>11.805595078933049</v>
      </c>
      <c r="V6">
        <f t="shared" si="2"/>
        <v>7.8567067930958405</v>
      </c>
      <c r="W6">
        <v>1</v>
      </c>
      <c r="X6">
        <v>0</v>
      </c>
      <c r="Y6">
        <v>0</v>
      </c>
      <c r="Z6">
        <f>'Résultat (Ln)'!F$30+'Résultat (Ln)'!F$31*Données!S6+'Résultat (Ln)'!F$32*Données!T6+'Résultat (Ln)'!F$33*Données!U6+'Résultat (Ln)'!F$34*Données!V6+'Résultat (Ln)'!F$35*Données!W6+'Résultat (Ln)'!F$36*Données!X6+'Résultat (Ln)'!F$37*Données!Y6</f>
        <v>99766.540658036785</v>
      </c>
      <c r="AA6">
        <f t="shared" si="3"/>
        <v>20233.459341963215</v>
      </c>
    </row>
    <row r="7" spans="1:27" x14ac:dyDescent="0.25">
      <c r="A7">
        <v>141000</v>
      </c>
      <c r="B7">
        <v>1</v>
      </c>
      <c r="C7">
        <v>36</v>
      </c>
      <c r="D7">
        <v>0</v>
      </c>
      <c r="E7">
        <v>157000</v>
      </c>
      <c r="F7">
        <v>6000</v>
      </c>
      <c r="G7">
        <v>0</v>
      </c>
      <c r="H7">
        <v>0</v>
      </c>
      <c r="I7">
        <v>0</v>
      </c>
      <c r="J7">
        <v>32</v>
      </c>
      <c r="K7">
        <v>1</v>
      </c>
      <c r="L7">
        <f>Résultats!G$32+Résultats!G$33*Données!C7+Résultats!G$34*Données!D7+Résultats!G$35*Données!E7+Résultats!G$36*Données!F7+Résultats!G$37*Données!G7+Résultats!G$38*Données!H7+Résultats!G$39*Données!I7</f>
        <v>122852.12702025993</v>
      </c>
      <c r="M7">
        <f t="shared" si="0"/>
        <v>18147.872979740074</v>
      </c>
      <c r="Q7">
        <v>111000</v>
      </c>
      <c r="R7">
        <v>1</v>
      </c>
      <c r="S7">
        <v>33</v>
      </c>
      <c r="T7">
        <v>0</v>
      </c>
      <c r="U7">
        <f t="shared" si="1"/>
        <v>11.835008964139341</v>
      </c>
      <c r="V7">
        <f t="shared" si="2"/>
        <v>7.6998424073969858</v>
      </c>
      <c r="W7">
        <v>0</v>
      </c>
      <c r="X7">
        <v>0</v>
      </c>
      <c r="Y7">
        <v>0</v>
      </c>
      <c r="Z7">
        <f>'Résultat (Ln)'!F$30+'Résultat (Ln)'!F$31*Données!S7+'Résultat (Ln)'!F$32*Données!T7+'Résultat (Ln)'!F$33*Données!U7+'Résultat (Ln)'!F$34*Données!V7+'Résultat (Ln)'!F$35*Données!W7+'Résultat (Ln)'!F$36*Données!X7+'Résultat (Ln)'!F$37*Données!Y7</f>
        <v>95106.000544096518</v>
      </c>
      <c r="AA7">
        <f t="shared" si="3"/>
        <v>15893.999455903482</v>
      </c>
    </row>
    <row r="8" spans="1:27" x14ac:dyDescent="0.25">
      <c r="A8">
        <v>276000</v>
      </c>
      <c r="B8">
        <v>1</v>
      </c>
      <c r="C8">
        <v>37</v>
      </c>
      <c r="D8">
        <v>0</v>
      </c>
      <c r="E8">
        <v>346000</v>
      </c>
      <c r="F8">
        <v>7500</v>
      </c>
      <c r="G8">
        <v>0</v>
      </c>
      <c r="H8">
        <v>0</v>
      </c>
      <c r="I8">
        <v>1</v>
      </c>
      <c r="J8">
        <v>36</v>
      </c>
      <c r="K8">
        <v>1</v>
      </c>
      <c r="L8">
        <f>Résultats!G$32+Résultats!G$33*Données!C8+Résultats!G$34*Données!D8+Résultats!G$35*Données!E8+Résultats!G$36*Données!F8+Résultats!G$37*Données!G8+Résultats!G$38*Données!H8+Résultats!G$39*Données!I8</f>
        <v>225087.10308410536</v>
      </c>
      <c r="M8">
        <f t="shared" si="0"/>
        <v>50912.896915894642</v>
      </c>
      <c r="Q8">
        <v>141000</v>
      </c>
      <c r="R8">
        <v>1</v>
      </c>
      <c r="S8">
        <v>36</v>
      </c>
      <c r="T8">
        <v>0</v>
      </c>
      <c r="U8">
        <f t="shared" si="1"/>
        <v>11.964001084330445</v>
      </c>
      <c r="V8">
        <f t="shared" si="2"/>
        <v>8.6995147482101913</v>
      </c>
      <c r="W8">
        <v>0</v>
      </c>
      <c r="X8">
        <v>0</v>
      </c>
      <c r="Y8">
        <v>0</v>
      </c>
      <c r="Z8">
        <f>'Résultat (Ln)'!F$30+'Résultat (Ln)'!F$31*Données!S8+'Résultat (Ln)'!F$32*Données!T8+'Résultat (Ln)'!F$33*Données!U8+'Résultat (Ln)'!F$34*Données!V8+'Résultat (Ln)'!F$35*Données!W8+'Résultat (Ln)'!F$36*Données!X8+'Résultat (Ln)'!F$37*Données!Y8</f>
        <v>140636.11025699391</v>
      </c>
      <c r="AA8">
        <f t="shared" si="3"/>
        <v>363.8897430060897</v>
      </c>
    </row>
    <row r="9" spans="1:27" x14ac:dyDescent="0.25">
      <c r="A9">
        <v>100000</v>
      </c>
      <c r="B9">
        <v>1</v>
      </c>
      <c r="C9">
        <v>30.70000076293945</v>
      </c>
      <c r="D9">
        <v>0</v>
      </c>
      <c r="E9">
        <v>99699.996948242188</v>
      </c>
      <c r="F9">
        <v>3234</v>
      </c>
      <c r="G9">
        <v>1</v>
      </c>
      <c r="H9">
        <v>1</v>
      </c>
      <c r="I9">
        <v>0</v>
      </c>
      <c r="J9">
        <v>19.309999465942379</v>
      </c>
      <c r="K9">
        <v>1</v>
      </c>
      <c r="L9">
        <f>Résultats!G$32+Résultats!G$33*Données!C9+Résultats!G$34*Données!D9+Résultats!G$35*Données!E9+Résultats!G$36*Données!F9+Résultats!G$37*Données!G9+Résultats!G$38*Données!H9+Résultats!G$39*Données!I9</f>
        <v>90039.173315523134</v>
      </c>
      <c r="M9">
        <f t="shared" si="0"/>
        <v>9960.8266844768659</v>
      </c>
      <c r="Q9">
        <v>276000</v>
      </c>
      <c r="R9">
        <v>1</v>
      </c>
      <c r="S9">
        <v>37</v>
      </c>
      <c r="T9">
        <v>0</v>
      </c>
      <c r="U9">
        <f t="shared" si="1"/>
        <v>12.754194054039861</v>
      </c>
      <c r="V9">
        <f t="shared" si="2"/>
        <v>8.9226582995244019</v>
      </c>
      <c r="W9">
        <v>0</v>
      </c>
      <c r="X9">
        <v>0</v>
      </c>
      <c r="Y9">
        <v>1</v>
      </c>
      <c r="Z9">
        <f>'Résultat (Ln)'!F$30+'Résultat (Ln)'!F$31*Données!S9+'Résultat (Ln)'!F$32*Données!T9+'Résultat (Ln)'!F$33*Données!U9+'Résultat (Ln)'!F$34*Données!V9+'Résultat (Ln)'!F$35*Données!W9+'Résultat (Ln)'!F$36*Données!X9+'Résultat (Ln)'!F$37*Données!Y9</f>
        <v>246908.50291415222</v>
      </c>
      <c r="AA9">
        <f t="shared" si="3"/>
        <v>29091.497085847775</v>
      </c>
    </row>
    <row r="10" spans="1:27" x14ac:dyDescent="0.25">
      <c r="A10">
        <v>267000</v>
      </c>
      <c r="B10">
        <v>1</v>
      </c>
      <c r="C10">
        <v>49</v>
      </c>
      <c r="D10">
        <v>0</v>
      </c>
      <c r="E10">
        <v>422000</v>
      </c>
      <c r="F10">
        <v>5417</v>
      </c>
      <c r="G10">
        <v>1</v>
      </c>
      <c r="H10">
        <v>0</v>
      </c>
      <c r="I10">
        <v>0</v>
      </c>
      <c r="J10">
        <v>26.510000228881839</v>
      </c>
      <c r="K10">
        <v>1</v>
      </c>
      <c r="L10">
        <f>Résultats!G$32+Résultats!G$33*Données!C10+Résultats!G$34*Données!D10+Résultats!G$35*Données!E10+Résultats!G$36*Données!F10+Résultats!G$37*Données!G10+Résultats!G$38*Données!H10+Résultats!G$39*Données!I10</f>
        <v>267414.34659384773</v>
      </c>
      <c r="M10">
        <f t="shared" si="0"/>
        <v>-414.34659384773113</v>
      </c>
      <c r="Q10">
        <v>100000</v>
      </c>
      <c r="R10">
        <v>1</v>
      </c>
      <c r="S10">
        <v>30.70000076293945</v>
      </c>
      <c r="T10">
        <v>0</v>
      </c>
      <c r="U10">
        <f t="shared" si="1"/>
        <v>11.509920925340523</v>
      </c>
      <c r="V10">
        <f t="shared" si="2"/>
        <v>8.0814750401370521</v>
      </c>
      <c r="W10">
        <v>1</v>
      </c>
      <c r="X10">
        <v>1</v>
      </c>
      <c r="Y10">
        <v>0</v>
      </c>
      <c r="Z10">
        <f>'Résultat (Ln)'!F$30+'Résultat (Ln)'!F$31*Données!S10+'Résultat (Ln)'!F$32*Données!T10+'Résultat (Ln)'!F$33*Données!U10+'Résultat (Ln)'!F$34*Données!V10+'Résultat (Ln)'!F$35*Données!W10+'Résultat (Ln)'!F$36*Données!X10+'Résultat (Ln)'!F$37*Données!Y10</f>
        <v>72486.992367559636</v>
      </c>
      <c r="AA10">
        <f t="shared" si="3"/>
        <v>27513.007632440364</v>
      </c>
    </row>
    <row r="11" spans="1:27" x14ac:dyDescent="0.25">
      <c r="A11">
        <v>175000</v>
      </c>
      <c r="B11">
        <v>1</v>
      </c>
      <c r="C11">
        <v>37</v>
      </c>
      <c r="D11">
        <v>0</v>
      </c>
      <c r="E11">
        <v>346700.01220703131</v>
      </c>
      <c r="F11">
        <v>6292</v>
      </c>
      <c r="G11">
        <v>1</v>
      </c>
      <c r="H11">
        <v>0</v>
      </c>
      <c r="I11">
        <v>0</v>
      </c>
      <c r="J11">
        <v>26</v>
      </c>
      <c r="K11">
        <v>1</v>
      </c>
      <c r="L11">
        <f>Résultats!G$32+Résultats!G$33*Données!C11+Résultats!G$34*Données!D11+Résultats!G$35*Données!E11+Résultats!G$36*Données!F11+Résultats!G$37*Données!G11+Résultats!G$38*Données!H11+Résultats!G$39*Données!I11</f>
        <v>220164.29055853619</v>
      </c>
      <c r="M11">
        <f t="shared" si="0"/>
        <v>-45164.290558536188</v>
      </c>
      <c r="Q11">
        <v>267000</v>
      </c>
      <c r="R11">
        <v>1</v>
      </c>
      <c r="S11">
        <v>49</v>
      </c>
      <c r="T11">
        <v>0</v>
      </c>
      <c r="U11">
        <f t="shared" si="1"/>
        <v>12.952760593018148</v>
      </c>
      <c r="V11">
        <f t="shared" si="2"/>
        <v>8.5972974356578984</v>
      </c>
      <c r="W11">
        <v>1</v>
      </c>
      <c r="X11">
        <v>0</v>
      </c>
      <c r="Y11">
        <v>0</v>
      </c>
      <c r="Z11">
        <f>'Résultat (Ln)'!F$30+'Résultat (Ln)'!F$31*Données!S11+'Résultat (Ln)'!F$32*Données!T11+'Résultat (Ln)'!F$33*Données!U11+'Résultat (Ln)'!F$34*Données!V11+'Résultat (Ln)'!F$35*Données!W11+'Résultat (Ln)'!F$36*Données!X11+'Résultat (Ln)'!F$37*Données!Y11</f>
        <v>264160.5437027064</v>
      </c>
      <c r="AA11">
        <f t="shared" si="3"/>
        <v>2839.4562972935964</v>
      </c>
    </row>
    <row r="12" spans="1:27" x14ac:dyDescent="0.25">
      <c r="A12">
        <v>95000</v>
      </c>
      <c r="B12">
        <v>1</v>
      </c>
      <c r="C12">
        <v>37.099998474121087</v>
      </c>
      <c r="D12">
        <v>0</v>
      </c>
      <c r="E12">
        <v>135000</v>
      </c>
      <c r="F12">
        <v>2333</v>
      </c>
      <c r="G12">
        <v>1</v>
      </c>
      <c r="H12">
        <v>0</v>
      </c>
      <c r="I12">
        <v>0</v>
      </c>
      <c r="J12">
        <v>26.10000038146973</v>
      </c>
      <c r="K12">
        <v>1</v>
      </c>
      <c r="L12">
        <f>Résultats!G$32+Résultats!G$33*Données!C12+Résultats!G$34*Données!D12+Résultats!G$35*Données!E12+Résultats!G$36*Données!F12+Résultats!G$37*Données!G12+Résultats!G$38*Données!H12+Résultats!G$39*Données!I12</f>
        <v>113753.44298458191</v>
      </c>
      <c r="M12">
        <f t="shared" si="0"/>
        <v>-18753.44298458191</v>
      </c>
      <c r="Q12">
        <v>175000</v>
      </c>
      <c r="R12">
        <v>1</v>
      </c>
      <c r="S12">
        <v>37</v>
      </c>
      <c r="T12">
        <v>0</v>
      </c>
      <c r="U12">
        <f t="shared" si="1"/>
        <v>12.756215166882319</v>
      </c>
      <c r="V12">
        <f t="shared" si="2"/>
        <v>8.7470342641781684</v>
      </c>
      <c r="W12">
        <v>1</v>
      </c>
      <c r="X12">
        <v>0</v>
      </c>
      <c r="Y12">
        <v>0</v>
      </c>
      <c r="Z12">
        <f>'Résultat (Ln)'!F$30+'Résultat (Ln)'!F$31*Données!S12+'Résultat (Ln)'!F$32*Données!T12+'Résultat (Ln)'!F$33*Données!U12+'Résultat (Ln)'!F$34*Données!V12+'Résultat (Ln)'!F$35*Données!W12+'Résultat (Ln)'!F$36*Données!X12+'Résultat (Ln)'!F$37*Données!Y12</f>
        <v>232626.74187273908</v>
      </c>
      <c r="AA12">
        <f t="shared" si="3"/>
        <v>-57626.741872739076</v>
      </c>
    </row>
    <row r="13" spans="1:27" x14ac:dyDescent="0.25">
      <c r="A13">
        <v>158000</v>
      </c>
      <c r="B13">
        <v>1</v>
      </c>
      <c r="C13">
        <v>42</v>
      </c>
      <c r="D13">
        <v>1</v>
      </c>
      <c r="E13">
        <v>210000</v>
      </c>
      <c r="F13">
        <v>3036</v>
      </c>
      <c r="G13">
        <v>1</v>
      </c>
      <c r="H13">
        <v>0</v>
      </c>
      <c r="I13">
        <v>1</v>
      </c>
      <c r="J13">
        <v>29</v>
      </c>
      <c r="K13">
        <v>1</v>
      </c>
      <c r="L13">
        <f>Résultats!G$32+Résultats!G$33*Données!C13+Résultats!G$34*Données!D13+Résultats!G$35*Données!E13+Résultats!G$36*Données!F13+Résultats!G$37*Données!G13+Résultats!G$38*Données!H13+Résultats!G$39*Données!I13</f>
        <v>170539.3948358229</v>
      </c>
      <c r="M13">
        <f t="shared" si="0"/>
        <v>-12539.394835822895</v>
      </c>
      <c r="Q13">
        <v>95000</v>
      </c>
      <c r="R13">
        <v>1</v>
      </c>
      <c r="S13">
        <v>37.099998474121087</v>
      </c>
      <c r="T13">
        <v>0</v>
      </c>
      <c r="U13">
        <f t="shared" si="1"/>
        <v>11.813030057420567</v>
      </c>
      <c r="V13">
        <f t="shared" si="2"/>
        <v>7.75491027202143</v>
      </c>
      <c r="W13">
        <v>1</v>
      </c>
      <c r="X13">
        <v>0</v>
      </c>
      <c r="Y13">
        <v>0</v>
      </c>
      <c r="Z13">
        <f>'Résultat (Ln)'!F$30+'Résultat (Ln)'!F$31*Données!S13+'Résultat (Ln)'!F$32*Données!T13+'Résultat (Ln)'!F$33*Données!U13+'Résultat (Ln)'!F$34*Données!V13+'Résultat (Ln)'!F$35*Données!W13+'Résultat (Ln)'!F$36*Données!X13+'Résultat (Ln)'!F$37*Données!Y13</f>
        <v>103818.77808931841</v>
      </c>
      <c r="AA13">
        <f t="shared" si="3"/>
        <v>-8818.7780893184099</v>
      </c>
    </row>
    <row r="14" spans="1:27" x14ac:dyDescent="0.25">
      <c r="A14">
        <v>110000</v>
      </c>
      <c r="B14">
        <v>1</v>
      </c>
      <c r="C14">
        <v>32</v>
      </c>
      <c r="D14">
        <v>0</v>
      </c>
      <c r="E14">
        <v>143000</v>
      </c>
      <c r="F14">
        <v>5720</v>
      </c>
      <c r="G14">
        <v>1</v>
      </c>
      <c r="H14">
        <v>0</v>
      </c>
      <c r="I14">
        <v>0</v>
      </c>
      <c r="J14">
        <v>24</v>
      </c>
      <c r="K14">
        <v>1</v>
      </c>
      <c r="L14">
        <f>Résultats!G$32+Résultats!G$33*Données!C14+Résultats!G$34*Données!D14+Résultats!G$35*Données!E14+Résultats!G$36*Données!F14+Résultats!G$37*Données!G14+Résultats!G$38*Données!H14+Résultats!G$39*Données!I14</f>
        <v>118194.13776100932</v>
      </c>
      <c r="M14">
        <f t="shared" si="0"/>
        <v>-8194.1377610093186</v>
      </c>
      <c r="Q14">
        <v>158000</v>
      </c>
      <c r="R14">
        <v>1</v>
      </c>
      <c r="S14">
        <v>42</v>
      </c>
      <c r="T14">
        <v>1</v>
      </c>
      <c r="U14">
        <f t="shared" si="1"/>
        <v>12.254862809699606</v>
      </c>
      <c r="V14">
        <f t="shared" si="2"/>
        <v>8.0182961385155203</v>
      </c>
      <c r="W14">
        <v>1</v>
      </c>
      <c r="X14">
        <v>0</v>
      </c>
      <c r="Y14">
        <v>1</v>
      </c>
      <c r="Z14">
        <f>'Résultat (Ln)'!F$30+'Résultat (Ln)'!F$31*Données!S14+'Résultat (Ln)'!F$32*Données!T14+'Résultat (Ln)'!F$33*Données!U14+'Résultat (Ln)'!F$34*Données!V14+'Résultat (Ln)'!F$35*Données!W14+'Résultat (Ln)'!F$36*Données!X14+'Résultat (Ln)'!F$37*Données!Y14</f>
        <v>182991.90121096376</v>
      </c>
      <c r="AA14">
        <f t="shared" si="3"/>
        <v>-24991.901210963755</v>
      </c>
    </row>
    <row r="15" spans="1:27" x14ac:dyDescent="0.25">
      <c r="A15">
        <v>40000</v>
      </c>
      <c r="B15">
        <v>1</v>
      </c>
      <c r="C15">
        <v>16</v>
      </c>
      <c r="D15">
        <v>0</v>
      </c>
      <c r="E15">
        <v>197000</v>
      </c>
      <c r="F15">
        <v>3103</v>
      </c>
      <c r="G15">
        <v>1</v>
      </c>
      <c r="H15">
        <v>0</v>
      </c>
      <c r="I15">
        <v>1</v>
      </c>
      <c r="J15">
        <v>16</v>
      </c>
      <c r="K15">
        <v>1</v>
      </c>
      <c r="L15">
        <f>Résultats!G$32+Résultats!G$33*Données!C15+Résultats!G$34*Données!D15+Résultats!G$35*Données!E15+Résultats!G$36*Données!F15+Résultats!G$37*Données!G15+Résultats!G$38*Données!H15+Résultats!G$39*Données!I15</f>
        <v>129885.15552423289</v>
      </c>
      <c r="M15">
        <f t="shared" si="0"/>
        <v>-89885.15552423289</v>
      </c>
      <c r="Q15">
        <v>110000</v>
      </c>
      <c r="R15">
        <v>1</v>
      </c>
      <c r="S15">
        <v>32</v>
      </c>
      <c r="T15">
        <v>0</v>
      </c>
      <c r="U15">
        <f t="shared" si="1"/>
        <v>11.870599909242044</v>
      </c>
      <c r="V15">
        <f t="shared" si="2"/>
        <v>8.6517240843738428</v>
      </c>
      <c r="W15">
        <v>1</v>
      </c>
      <c r="X15">
        <v>0</v>
      </c>
      <c r="Y15">
        <v>0</v>
      </c>
      <c r="Z15">
        <f>'Résultat (Ln)'!F$30+'Résultat (Ln)'!F$31*Données!S15+'Résultat (Ln)'!F$32*Données!T15+'Résultat (Ln)'!F$33*Données!U15+'Résultat (Ln)'!F$34*Données!V15+'Résultat (Ln)'!F$35*Données!W15+'Résultat (Ln)'!F$36*Données!X15+'Résultat (Ln)'!F$37*Données!Y15</f>
        <v>128909.45831799287</v>
      </c>
      <c r="AA15">
        <f t="shared" si="3"/>
        <v>-18909.458317992874</v>
      </c>
    </row>
    <row r="16" spans="1:27" x14ac:dyDescent="0.25">
      <c r="A16">
        <v>70000</v>
      </c>
      <c r="B16">
        <v>1</v>
      </c>
      <c r="C16">
        <v>37.099998474121087</v>
      </c>
      <c r="D16">
        <v>0</v>
      </c>
      <c r="E16">
        <v>78000</v>
      </c>
      <c r="F16">
        <v>2800</v>
      </c>
      <c r="G16">
        <v>1</v>
      </c>
      <c r="H16">
        <v>1</v>
      </c>
      <c r="I16">
        <v>1</v>
      </c>
      <c r="J16">
        <v>24.5</v>
      </c>
      <c r="K16">
        <v>1</v>
      </c>
      <c r="L16">
        <f>Résultats!G$32+Résultats!G$33*Données!C16+Résultats!G$34*Données!D16+Résultats!G$35*Données!E16+Résultats!G$36*Données!F16+Résultats!G$37*Données!G16+Résultats!G$38*Données!H16+Résultats!G$39*Données!I16</f>
        <v>96342.233747841994</v>
      </c>
      <c r="M16">
        <f t="shared" si="0"/>
        <v>-26342.233747841994</v>
      </c>
      <c r="Q16">
        <v>40000</v>
      </c>
      <c r="R16">
        <v>1</v>
      </c>
      <c r="S16">
        <v>16</v>
      </c>
      <c r="T16">
        <v>0</v>
      </c>
      <c r="U16">
        <f t="shared" si="1"/>
        <v>12.190959007720126</v>
      </c>
      <c r="V16">
        <f t="shared" si="2"/>
        <v>8.0401246644483795</v>
      </c>
      <c r="W16">
        <v>1</v>
      </c>
      <c r="X16">
        <v>0</v>
      </c>
      <c r="Y16">
        <v>1</v>
      </c>
      <c r="Z16">
        <f>'Résultat (Ln)'!F$30+'Résultat (Ln)'!F$31*Données!S16+'Résultat (Ln)'!F$32*Données!T16+'Résultat (Ln)'!F$33*Données!U16+'Résultat (Ln)'!F$34*Données!V16+'Résultat (Ln)'!F$35*Données!W16+'Résultat (Ln)'!F$36*Données!X16+'Résultat (Ln)'!F$37*Données!Y16</f>
        <v>140632.01807716378</v>
      </c>
      <c r="AA16">
        <f t="shared" si="3"/>
        <v>-100632.01807716378</v>
      </c>
    </row>
    <row r="17" spans="1:27" x14ac:dyDescent="0.25">
      <c r="A17">
        <v>168000</v>
      </c>
      <c r="B17">
        <v>1</v>
      </c>
      <c r="C17">
        <v>32.200000762939453</v>
      </c>
      <c r="D17">
        <v>0</v>
      </c>
      <c r="E17">
        <v>210000</v>
      </c>
      <c r="F17">
        <v>4006</v>
      </c>
      <c r="G17">
        <v>1</v>
      </c>
      <c r="H17">
        <v>0</v>
      </c>
      <c r="I17">
        <v>0</v>
      </c>
      <c r="J17">
        <v>31.29999923706055</v>
      </c>
      <c r="K17">
        <v>1</v>
      </c>
      <c r="L17">
        <f>Résultats!G$32+Résultats!G$33*Données!C17+Résultats!G$34*Données!D17+Résultats!G$35*Données!E17+Résultats!G$36*Données!F17+Résultats!G$37*Données!G17+Résultats!G$38*Données!H17+Résultats!G$39*Données!I17</f>
        <v>146388.37416935887</v>
      </c>
      <c r="M17">
        <f t="shared" si="0"/>
        <v>21611.625830641133</v>
      </c>
      <c r="Q17">
        <v>70000</v>
      </c>
      <c r="R17">
        <v>1</v>
      </c>
      <c r="S17">
        <v>37.099998474121087</v>
      </c>
      <c r="T17">
        <v>0</v>
      </c>
      <c r="U17">
        <f t="shared" si="1"/>
        <v>11.264464105671729</v>
      </c>
      <c r="V17">
        <f t="shared" si="2"/>
        <v>7.9373746961632952</v>
      </c>
      <c r="W17">
        <v>1</v>
      </c>
      <c r="X17">
        <v>1</v>
      </c>
      <c r="Y17">
        <v>1</v>
      </c>
      <c r="Z17">
        <f>'Résultat (Ln)'!F$30+'Résultat (Ln)'!F$31*Données!S17+'Résultat (Ln)'!F$32*Données!T17+'Résultat (Ln)'!F$33*Données!U17+'Résultat (Ln)'!F$34*Données!V17+'Résultat (Ln)'!F$35*Données!W17+'Résultat (Ln)'!F$36*Données!X17+'Résultat (Ln)'!F$37*Données!Y17</f>
        <v>64041.691485928837</v>
      </c>
      <c r="AA17">
        <f t="shared" si="3"/>
        <v>5958.3085140711628</v>
      </c>
    </row>
    <row r="18" spans="1:27" x14ac:dyDescent="0.25">
      <c r="A18">
        <v>114000</v>
      </c>
      <c r="B18">
        <v>1</v>
      </c>
      <c r="C18">
        <v>26</v>
      </c>
      <c r="D18">
        <v>0</v>
      </c>
      <c r="E18">
        <v>170000</v>
      </c>
      <c r="F18">
        <v>5438</v>
      </c>
      <c r="G18">
        <v>1</v>
      </c>
      <c r="H18">
        <v>0</v>
      </c>
      <c r="I18">
        <v>0</v>
      </c>
      <c r="J18">
        <v>20</v>
      </c>
      <c r="K18">
        <v>1</v>
      </c>
      <c r="L18">
        <f>Résultats!G$32+Résultats!G$33*Données!C18+Résultats!G$34*Données!D18+Résultats!G$35*Données!E18+Résultats!G$36*Données!F18+Résultats!G$37*Données!G18+Résultats!G$38*Données!H18+Résultats!G$39*Données!I18</f>
        <v>123363.39770332052</v>
      </c>
      <c r="M18">
        <f t="shared" si="0"/>
        <v>-9363.3977033205156</v>
      </c>
      <c r="Q18">
        <v>168000</v>
      </c>
      <c r="R18">
        <v>1</v>
      </c>
      <c r="S18">
        <v>32.200000762939453</v>
      </c>
      <c r="T18">
        <v>0</v>
      </c>
      <c r="U18">
        <f t="shared" si="1"/>
        <v>12.254862809699606</v>
      </c>
      <c r="V18">
        <f t="shared" si="2"/>
        <v>8.2955485162257627</v>
      </c>
      <c r="W18">
        <v>1</v>
      </c>
      <c r="X18">
        <v>0</v>
      </c>
      <c r="Y18">
        <v>0</v>
      </c>
      <c r="Z18">
        <f>'Résultat (Ln)'!F$30+'Résultat (Ln)'!F$31*Données!S18+'Résultat (Ln)'!F$32*Données!T18+'Résultat (Ln)'!F$33*Données!U18+'Résultat (Ln)'!F$34*Données!V18+'Résultat (Ln)'!F$35*Données!W18+'Résultat (Ln)'!F$36*Données!X18+'Résultat (Ln)'!F$37*Données!Y18</f>
        <v>160355.92048668431</v>
      </c>
      <c r="AA18">
        <f t="shared" si="3"/>
        <v>7644.0795133156935</v>
      </c>
    </row>
    <row r="19" spans="1:27" x14ac:dyDescent="0.25">
      <c r="A19">
        <v>349000</v>
      </c>
      <c r="B19">
        <v>1</v>
      </c>
      <c r="C19">
        <v>27</v>
      </c>
      <c r="D19">
        <v>0</v>
      </c>
      <c r="E19">
        <v>387000</v>
      </c>
      <c r="F19">
        <v>12841</v>
      </c>
      <c r="G19">
        <v>1</v>
      </c>
      <c r="H19">
        <v>0</v>
      </c>
      <c r="I19">
        <v>0</v>
      </c>
      <c r="J19">
        <v>21</v>
      </c>
      <c r="K19">
        <v>1</v>
      </c>
      <c r="L19">
        <f>Résultats!G$32+Résultats!G$33*Données!C19+Résultats!G$34*Données!D19+Résultats!G$35*Données!E19+Résultats!G$36*Données!F19+Résultats!G$37*Données!G19+Résultats!G$38*Données!H19+Résultats!G$39*Données!I19</f>
        <v>240186.36725308714</v>
      </c>
      <c r="M19">
        <f t="shared" si="0"/>
        <v>108813.63274691286</v>
      </c>
      <c r="Q19">
        <v>114000</v>
      </c>
      <c r="R19">
        <v>1</v>
      </c>
      <c r="S19">
        <v>26</v>
      </c>
      <c r="T19">
        <v>0</v>
      </c>
      <c r="U19">
        <f t="shared" si="1"/>
        <v>12.043553716032399</v>
      </c>
      <c r="V19">
        <f t="shared" si="2"/>
        <v>8.6011666251924161</v>
      </c>
      <c r="W19">
        <v>1</v>
      </c>
      <c r="X19">
        <v>0</v>
      </c>
      <c r="Y19">
        <v>0</v>
      </c>
      <c r="Z19">
        <f>'Résultat (Ln)'!F$30+'Résultat (Ln)'!F$31*Données!S19+'Résultat (Ln)'!F$32*Données!T19+'Résultat (Ln)'!F$33*Données!U19+'Résultat (Ln)'!F$34*Données!V19+'Résultat (Ln)'!F$35*Données!W19+'Résultat (Ln)'!F$36*Données!X19+'Résultat (Ln)'!F$37*Données!Y19</f>
        <v>138699.16975009267</v>
      </c>
      <c r="AA19">
        <f t="shared" si="3"/>
        <v>-24699.169750092668</v>
      </c>
    </row>
    <row r="20" spans="1:27" x14ac:dyDescent="0.25">
      <c r="A20">
        <v>185000</v>
      </c>
      <c r="B20">
        <v>1</v>
      </c>
      <c r="C20">
        <v>37.200000762939453</v>
      </c>
      <c r="D20">
        <v>0</v>
      </c>
      <c r="E20">
        <v>196000</v>
      </c>
      <c r="F20">
        <v>5600</v>
      </c>
      <c r="G20">
        <v>1</v>
      </c>
      <c r="H20">
        <v>0</v>
      </c>
      <c r="I20">
        <v>0</v>
      </c>
      <c r="J20">
        <v>24.79999923706055</v>
      </c>
      <c r="K20">
        <v>1</v>
      </c>
      <c r="L20">
        <f>Résultats!G$32+Résultats!G$33*Données!C20+Résultats!G$34*Données!D20+Résultats!G$35*Données!E20+Résultats!G$36*Données!F20+Résultats!G$37*Données!G20+Résultats!G$38*Données!H20+Résultats!G$39*Données!I20</f>
        <v>148683.21336454563</v>
      </c>
      <c r="M20">
        <f t="shared" si="0"/>
        <v>36316.786635454366</v>
      </c>
      <c r="Q20">
        <v>349000</v>
      </c>
      <c r="R20">
        <v>1</v>
      </c>
      <c r="S20">
        <v>27</v>
      </c>
      <c r="T20">
        <v>0</v>
      </c>
      <c r="U20">
        <f t="shared" si="1"/>
        <v>12.866179972011919</v>
      </c>
      <c r="V20">
        <f t="shared" si="2"/>
        <v>9.4603984558312746</v>
      </c>
      <c r="W20">
        <v>1</v>
      </c>
      <c r="X20">
        <v>0</v>
      </c>
      <c r="Y20">
        <v>0</v>
      </c>
      <c r="Z20">
        <f>'Résultat (Ln)'!F$30+'Résultat (Ln)'!F$31*Données!S20+'Résultat (Ln)'!F$32*Données!T20+'Résultat (Ln)'!F$33*Données!U20+'Résultat (Ln)'!F$34*Données!V20+'Résultat (Ln)'!F$35*Données!W20+'Résultat (Ln)'!F$36*Données!X20+'Résultat (Ln)'!F$37*Données!Y20</f>
        <v>252200.93611545759</v>
      </c>
      <c r="AA20">
        <f t="shared" si="3"/>
        <v>96799.063884542411</v>
      </c>
    </row>
    <row r="21" spans="1:27" x14ac:dyDescent="0.25">
      <c r="A21">
        <v>126000</v>
      </c>
      <c r="B21">
        <v>1</v>
      </c>
      <c r="C21">
        <v>36</v>
      </c>
      <c r="D21">
        <v>0</v>
      </c>
      <c r="E21">
        <v>140000</v>
      </c>
      <c r="F21">
        <v>3076</v>
      </c>
      <c r="G21">
        <v>1</v>
      </c>
      <c r="H21">
        <v>0</v>
      </c>
      <c r="I21">
        <v>1</v>
      </c>
      <c r="J21">
        <v>28.89999961853027</v>
      </c>
      <c r="K21">
        <v>1</v>
      </c>
      <c r="L21">
        <f>Résultats!G$32+Résultats!G$33*Données!C21+Résultats!G$34*Données!D21+Résultats!G$35*Données!E21+Résultats!G$36*Données!F21+Résultats!G$37*Données!G21+Résultats!G$38*Données!H21+Résultats!G$39*Données!I21</f>
        <v>126189.90653337282</v>
      </c>
      <c r="M21">
        <f t="shared" si="0"/>
        <v>-189.90653337282129</v>
      </c>
      <c r="Q21">
        <v>185000</v>
      </c>
      <c r="R21">
        <v>1</v>
      </c>
      <c r="S21">
        <v>37.200000762939453</v>
      </c>
      <c r="T21">
        <v>0</v>
      </c>
      <c r="U21">
        <f t="shared" si="1"/>
        <v>12.185869938212655</v>
      </c>
      <c r="V21">
        <f t="shared" si="2"/>
        <v>8.6305218767232414</v>
      </c>
      <c r="W21">
        <v>1</v>
      </c>
      <c r="X21">
        <v>0</v>
      </c>
      <c r="Y21">
        <v>0</v>
      </c>
      <c r="Z21">
        <f>'Résultat (Ln)'!F$30+'Résultat (Ln)'!F$31*Données!S21+'Résultat (Ln)'!F$32*Données!T21+'Résultat (Ln)'!F$33*Données!U21+'Résultat (Ln)'!F$34*Données!V21+'Résultat (Ln)'!F$35*Données!W21+'Résultat (Ln)'!F$36*Données!X21+'Résultat (Ln)'!F$37*Données!Y21</f>
        <v>168464.98888803227</v>
      </c>
      <c r="AA21">
        <f t="shared" si="3"/>
        <v>16535.011111967731</v>
      </c>
    </row>
    <row r="22" spans="1:27" x14ac:dyDescent="0.25">
      <c r="A22">
        <v>100000</v>
      </c>
      <c r="B22">
        <v>1</v>
      </c>
      <c r="C22">
        <v>16</v>
      </c>
      <c r="D22">
        <v>0</v>
      </c>
      <c r="E22">
        <v>208000</v>
      </c>
      <c r="F22">
        <v>7589</v>
      </c>
      <c r="G22">
        <v>1</v>
      </c>
      <c r="H22">
        <v>0</v>
      </c>
      <c r="I22">
        <v>0</v>
      </c>
      <c r="J22">
        <v>14</v>
      </c>
      <c r="K22">
        <v>0</v>
      </c>
      <c r="L22">
        <f>Résultats!G$32+Résultats!G$33*Données!C22+Résultats!G$34*Données!D22+Résultats!G$35*Données!E22+Résultats!G$36*Données!F22+Résultats!G$37*Données!G22+Résultats!G$38*Données!H22+Résultats!G$39*Données!I22</f>
        <v>133789.09874544351</v>
      </c>
      <c r="M22">
        <f t="shared" si="0"/>
        <v>-33789.098745443509</v>
      </c>
      <c r="Q22">
        <v>126000</v>
      </c>
      <c r="R22">
        <v>1</v>
      </c>
      <c r="S22">
        <v>36</v>
      </c>
      <c r="T22">
        <v>0</v>
      </c>
      <c r="U22">
        <f t="shared" si="1"/>
        <v>11.849397701591441</v>
      </c>
      <c r="V22">
        <f t="shared" si="2"/>
        <v>8.0313853306255343</v>
      </c>
      <c r="W22">
        <v>1</v>
      </c>
      <c r="X22">
        <v>0</v>
      </c>
      <c r="Y22">
        <v>1</v>
      </c>
      <c r="Z22">
        <f>'Résultat (Ln)'!F$30+'Résultat (Ln)'!F$31*Données!S22+'Résultat (Ln)'!F$32*Données!T22+'Résultat (Ln)'!F$33*Données!U22+'Résultat (Ln)'!F$34*Données!V22+'Résultat (Ln)'!F$35*Données!W22+'Résultat (Ln)'!F$36*Données!X22+'Résultat (Ln)'!F$37*Données!Y22</f>
        <v>128213.87825382758</v>
      </c>
      <c r="AA22">
        <f t="shared" si="3"/>
        <v>-2213.8782538275846</v>
      </c>
    </row>
    <row r="23" spans="1:27" x14ac:dyDescent="0.25">
      <c r="A23">
        <v>70000</v>
      </c>
      <c r="B23">
        <v>1</v>
      </c>
      <c r="C23">
        <v>36</v>
      </c>
      <c r="D23">
        <v>0</v>
      </c>
      <c r="E23">
        <v>70000</v>
      </c>
      <c r="F23">
        <v>3200</v>
      </c>
      <c r="G23">
        <v>1</v>
      </c>
      <c r="H23">
        <v>0</v>
      </c>
      <c r="I23">
        <v>0</v>
      </c>
      <c r="J23">
        <v>20</v>
      </c>
      <c r="K23">
        <v>1</v>
      </c>
      <c r="L23">
        <f>Résultats!G$32+Résultats!G$33*Données!C23+Résultats!G$34*Données!D23+Résultats!G$35*Données!E23+Résultats!G$36*Données!F23+Résultats!G$37*Données!G23+Résultats!G$38*Données!H23+Résultats!G$39*Données!I23</f>
        <v>83818.00650267431</v>
      </c>
      <c r="M23">
        <f t="shared" si="0"/>
        <v>-13818.00650267431</v>
      </c>
      <c r="Q23">
        <v>100000</v>
      </c>
      <c r="R23">
        <v>1</v>
      </c>
      <c r="S23">
        <v>16</v>
      </c>
      <c r="T23">
        <v>0</v>
      </c>
      <c r="U23">
        <f t="shared" si="1"/>
        <v>12.245293358683455</v>
      </c>
      <c r="V23">
        <f t="shared" si="2"/>
        <v>8.9344551094039133</v>
      </c>
      <c r="W23">
        <v>1</v>
      </c>
      <c r="X23">
        <v>0</v>
      </c>
      <c r="Y23">
        <v>0</v>
      </c>
      <c r="Z23">
        <f>'Résultat (Ln)'!F$30+'Résultat (Ln)'!F$31*Données!S23+'Résultat (Ln)'!F$32*Données!T23+'Résultat (Ln)'!F$33*Données!U23+'Résultat (Ln)'!F$34*Données!V23+'Résultat (Ln)'!F$35*Données!W23+'Résultat (Ln)'!F$36*Données!X23+'Résultat (Ln)'!F$37*Données!Y23</f>
        <v>157451.69511050638</v>
      </c>
      <c r="AA23">
        <f t="shared" si="3"/>
        <v>-57451.695110506378</v>
      </c>
    </row>
    <row r="24" spans="1:27" x14ac:dyDescent="0.25">
      <c r="A24">
        <v>125000</v>
      </c>
      <c r="B24">
        <v>1</v>
      </c>
      <c r="C24">
        <v>29.20000076293945</v>
      </c>
      <c r="D24">
        <v>0</v>
      </c>
      <c r="E24">
        <v>180000</v>
      </c>
      <c r="F24">
        <v>3000</v>
      </c>
      <c r="G24">
        <v>1</v>
      </c>
      <c r="H24">
        <v>0</v>
      </c>
      <c r="I24">
        <v>0</v>
      </c>
      <c r="J24">
        <v>25.059999465942379</v>
      </c>
      <c r="K24">
        <v>1</v>
      </c>
      <c r="L24">
        <f>Résultats!G$32+Résultats!G$33*Données!C24+Résultats!G$34*Données!D24+Résultats!G$35*Données!E24+Résultats!G$36*Données!F24+Résultats!G$37*Données!G24+Résultats!G$38*Données!H24+Résultats!G$39*Données!I24</f>
        <v>126984.35088187671</v>
      </c>
      <c r="M24">
        <f t="shared" si="0"/>
        <v>-1984.350881876715</v>
      </c>
      <c r="Q24">
        <v>70000</v>
      </c>
      <c r="R24">
        <v>1</v>
      </c>
      <c r="S24">
        <v>36</v>
      </c>
      <c r="T24">
        <v>0</v>
      </c>
      <c r="U24">
        <f t="shared" si="1"/>
        <v>11.156250521031495</v>
      </c>
      <c r="V24">
        <f t="shared" si="2"/>
        <v>8.0709060887878188</v>
      </c>
      <c r="W24">
        <v>1</v>
      </c>
      <c r="X24">
        <v>0</v>
      </c>
      <c r="Y24">
        <v>0</v>
      </c>
      <c r="Z24">
        <f>'Résultat (Ln)'!F$30+'Résultat (Ln)'!F$31*Données!S24+'Résultat (Ln)'!F$32*Données!T24+'Résultat (Ln)'!F$33*Données!U24+'Résultat (Ln)'!F$34*Données!V24+'Résultat (Ln)'!F$35*Données!W24+'Résultat (Ln)'!F$36*Données!X24+'Résultat (Ln)'!F$37*Données!Y24</f>
        <v>40933.033720868691</v>
      </c>
      <c r="AA24">
        <f t="shared" si="3"/>
        <v>29066.966279131309</v>
      </c>
    </row>
    <row r="25" spans="1:27" x14ac:dyDescent="0.25">
      <c r="A25">
        <v>130000</v>
      </c>
      <c r="B25">
        <v>1</v>
      </c>
      <c r="C25">
        <v>18</v>
      </c>
      <c r="D25">
        <v>0</v>
      </c>
      <c r="E25">
        <v>230000</v>
      </c>
      <c r="F25">
        <v>11283</v>
      </c>
      <c r="G25">
        <v>0</v>
      </c>
      <c r="H25">
        <v>0</v>
      </c>
      <c r="I25">
        <v>0</v>
      </c>
      <c r="J25">
        <v>12</v>
      </c>
      <c r="K25">
        <v>1</v>
      </c>
      <c r="L25">
        <f>Résultats!G$32+Résultats!G$33*Données!C25+Résultats!G$34*Données!D25+Résultats!G$35*Données!E25+Résultats!G$36*Données!F25+Résultats!G$37*Données!G25+Résultats!G$38*Données!H25+Résultats!G$39*Données!I25</f>
        <v>146500.97946252997</v>
      </c>
      <c r="M25">
        <f t="shared" si="0"/>
        <v>-16500.979462529969</v>
      </c>
      <c r="Q25">
        <v>125000</v>
      </c>
      <c r="R25">
        <v>1</v>
      </c>
      <c r="S25">
        <v>29.20000076293945</v>
      </c>
      <c r="T25">
        <v>0</v>
      </c>
      <c r="U25">
        <f t="shared" si="1"/>
        <v>12.100712129872347</v>
      </c>
      <c r="V25">
        <f t="shared" si="2"/>
        <v>8.0063675676502459</v>
      </c>
      <c r="W25">
        <v>1</v>
      </c>
      <c r="X25">
        <v>0</v>
      </c>
      <c r="Y25">
        <v>0</v>
      </c>
      <c r="Z25">
        <f>'Résultat (Ln)'!F$30+'Résultat (Ln)'!F$31*Données!S25+'Résultat (Ln)'!F$32*Données!T25+'Résultat (Ln)'!F$33*Données!U25+'Résultat (Ln)'!F$34*Données!V25+'Résultat (Ln)'!F$35*Données!W25+'Résultat (Ln)'!F$36*Données!X25+'Résultat (Ln)'!F$37*Données!Y25</f>
        <v>132055.21915564229</v>
      </c>
      <c r="AA25">
        <f t="shared" si="3"/>
        <v>-7055.2191556422913</v>
      </c>
    </row>
    <row r="26" spans="1:27" x14ac:dyDescent="0.25">
      <c r="A26">
        <v>109000</v>
      </c>
      <c r="B26">
        <v>1</v>
      </c>
      <c r="C26">
        <v>27.89999961853027</v>
      </c>
      <c r="D26">
        <v>0</v>
      </c>
      <c r="E26">
        <v>115000</v>
      </c>
      <c r="F26">
        <v>2500</v>
      </c>
      <c r="G26">
        <v>1</v>
      </c>
      <c r="H26">
        <v>0</v>
      </c>
      <c r="I26">
        <v>0</v>
      </c>
      <c r="J26">
        <v>27.5</v>
      </c>
      <c r="K26">
        <v>1</v>
      </c>
      <c r="L26">
        <f>Résultats!G$32+Résultats!G$33*Données!C26+Résultats!G$34*Données!D26+Résultats!G$35*Données!E26+Résultats!G$36*Données!F26+Résultats!G$37*Données!G26+Résultats!G$38*Données!H26+Résultats!G$39*Données!I26</f>
        <v>94170.221927876526</v>
      </c>
      <c r="M26">
        <f t="shared" si="0"/>
        <v>14829.778072123474</v>
      </c>
      <c r="Q26">
        <v>130000</v>
      </c>
      <c r="R26">
        <v>1</v>
      </c>
      <c r="S26">
        <v>18</v>
      </c>
      <c r="T26">
        <v>0</v>
      </c>
      <c r="U26">
        <f t="shared" si="1"/>
        <v>12.345834587905333</v>
      </c>
      <c r="V26">
        <f t="shared" si="2"/>
        <v>9.3310524471384468</v>
      </c>
      <c r="W26">
        <v>0</v>
      </c>
      <c r="X26">
        <v>0</v>
      </c>
      <c r="Y26">
        <v>0</v>
      </c>
      <c r="Z26">
        <f>'Résultat (Ln)'!F$30+'Résultat (Ln)'!F$31*Données!S26+'Résultat (Ln)'!F$32*Données!T26+'Résultat (Ln)'!F$33*Données!U26+'Résultat (Ln)'!F$34*Données!V26+'Résultat (Ln)'!F$35*Données!W26+'Résultat (Ln)'!F$36*Données!X26+'Résultat (Ln)'!F$37*Données!Y26</f>
        <v>177282.20698962625</v>
      </c>
      <c r="AA26">
        <f t="shared" si="3"/>
        <v>-47282.206989626255</v>
      </c>
    </row>
    <row r="27" spans="1:27" x14ac:dyDescent="0.25">
      <c r="A27">
        <v>200000</v>
      </c>
      <c r="B27">
        <v>1</v>
      </c>
      <c r="C27">
        <v>34</v>
      </c>
      <c r="D27">
        <v>0</v>
      </c>
      <c r="E27">
        <v>250000</v>
      </c>
      <c r="F27">
        <v>3073</v>
      </c>
      <c r="G27">
        <v>1</v>
      </c>
      <c r="H27">
        <v>0</v>
      </c>
      <c r="I27">
        <v>0</v>
      </c>
      <c r="J27">
        <v>18</v>
      </c>
      <c r="K27">
        <v>1</v>
      </c>
      <c r="L27">
        <f>Résultats!G$32+Résultats!G$33*Données!C27+Résultats!G$34*Données!D27+Résultats!G$35*Données!E27+Résultats!G$36*Données!F27+Résultats!G$37*Données!G27+Résultats!G$38*Données!H27+Résultats!G$39*Données!I27</f>
        <v>165326.15511005945</v>
      </c>
      <c r="M27">
        <f t="shared" si="0"/>
        <v>34673.844889940548</v>
      </c>
      <c r="Q27">
        <v>109000</v>
      </c>
      <c r="R27">
        <v>1</v>
      </c>
      <c r="S27">
        <v>27.89999961853027</v>
      </c>
      <c r="T27">
        <v>0</v>
      </c>
      <c r="U27">
        <f t="shared" si="1"/>
        <v>11.652687407345388</v>
      </c>
      <c r="V27">
        <f t="shared" si="2"/>
        <v>7.8240460108562919</v>
      </c>
      <c r="W27">
        <v>1</v>
      </c>
      <c r="X27">
        <v>0</v>
      </c>
      <c r="Y27">
        <v>0</v>
      </c>
      <c r="Z27">
        <f>'Résultat (Ln)'!F$30+'Résultat (Ln)'!F$31*Données!S27+'Résultat (Ln)'!F$32*Données!T27+'Résultat (Ln)'!F$33*Données!U27+'Résultat (Ln)'!F$34*Données!V27+'Résultat (Ln)'!F$35*Données!W27+'Résultat (Ln)'!F$36*Données!X27+'Résultat (Ln)'!F$37*Données!Y27</f>
        <v>77326.947989659748</v>
      </c>
      <c r="AA27">
        <f t="shared" si="3"/>
        <v>31673.052010340252</v>
      </c>
    </row>
    <row r="28" spans="1:27" x14ac:dyDescent="0.25">
      <c r="A28">
        <v>114000</v>
      </c>
      <c r="B28">
        <v>1</v>
      </c>
      <c r="C28">
        <v>38.400001525878913</v>
      </c>
      <c r="D28">
        <v>0</v>
      </c>
      <c r="E28">
        <v>120000</v>
      </c>
      <c r="F28">
        <v>1853</v>
      </c>
      <c r="G28">
        <v>0</v>
      </c>
      <c r="H28">
        <v>1</v>
      </c>
      <c r="I28">
        <v>1</v>
      </c>
      <c r="J28">
        <v>25.559999465942379</v>
      </c>
      <c r="K28">
        <v>1</v>
      </c>
      <c r="L28">
        <f>Résultats!G$32+Résultats!G$33*Données!C28+Résultats!G$34*Données!D28+Résultats!G$35*Données!E28+Résultats!G$36*Données!F28+Résultats!G$37*Données!G28+Résultats!G$38*Données!H28+Résultats!G$39*Données!I28</f>
        <v>108595.8429139895</v>
      </c>
      <c r="M28">
        <f t="shared" si="0"/>
        <v>5404.1570860104985</v>
      </c>
      <c r="Q28">
        <v>200000</v>
      </c>
      <c r="R28">
        <v>1</v>
      </c>
      <c r="S28">
        <v>34</v>
      </c>
      <c r="T28">
        <v>0</v>
      </c>
      <c r="U28">
        <f t="shared" si="1"/>
        <v>12.429216196844383</v>
      </c>
      <c r="V28">
        <f t="shared" si="2"/>
        <v>8.030409562130485</v>
      </c>
      <c r="W28">
        <v>1</v>
      </c>
      <c r="X28">
        <v>0</v>
      </c>
      <c r="Y28">
        <v>0</v>
      </c>
      <c r="Z28">
        <f>'Résultat (Ln)'!F$30+'Résultat (Ln)'!F$31*Données!S28+'Résultat (Ln)'!F$32*Données!T28+'Résultat (Ln)'!F$33*Données!U28+'Résultat (Ln)'!F$34*Données!V28+'Résultat (Ln)'!F$35*Données!W28+'Résultat (Ln)'!F$36*Données!X28+'Résultat (Ln)'!F$37*Données!Y28</f>
        <v>173809.4711944664</v>
      </c>
      <c r="AA28">
        <f t="shared" si="3"/>
        <v>26190.528805533599</v>
      </c>
    </row>
    <row r="29" spans="1:27" x14ac:dyDescent="0.25">
      <c r="A29">
        <v>17000</v>
      </c>
      <c r="B29">
        <v>1</v>
      </c>
      <c r="C29">
        <v>14</v>
      </c>
      <c r="D29">
        <v>0</v>
      </c>
      <c r="E29">
        <v>57000</v>
      </c>
      <c r="F29">
        <v>1299</v>
      </c>
      <c r="G29">
        <v>1</v>
      </c>
      <c r="H29">
        <v>0</v>
      </c>
      <c r="I29">
        <v>0</v>
      </c>
      <c r="J29">
        <v>14</v>
      </c>
      <c r="K29">
        <v>1</v>
      </c>
      <c r="L29">
        <f>Résultats!G$32+Résultats!G$33*Données!C29+Résultats!G$34*Données!D29+Résultats!G$35*Données!E29+Résultats!G$36*Données!F29+Résultats!G$37*Données!G29+Résultats!G$38*Données!H29+Résultats!G$39*Données!I29</f>
        <v>48793.131887038311</v>
      </c>
      <c r="M29">
        <f t="shared" si="0"/>
        <v>-31793.131887038311</v>
      </c>
      <c r="Q29">
        <v>114000</v>
      </c>
      <c r="R29">
        <v>1</v>
      </c>
      <c r="S29">
        <v>38.400001525878913</v>
      </c>
      <c r="T29">
        <v>0</v>
      </c>
      <c r="U29">
        <f t="shared" si="1"/>
        <v>11.695247021764184</v>
      </c>
      <c r="V29">
        <f t="shared" si="2"/>
        <v>7.5245612262853596</v>
      </c>
      <c r="W29">
        <v>0</v>
      </c>
      <c r="X29">
        <v>1</v>
      </c>
      <c r="Y29">
        <v>1</v>
      </c>
      <c r="Z29">
        <f>'Résultat (Ln)'!F$30+'Résultat (Ln)'!F$31*Données!S29+'Résultat (Ln)'!F$32*Données!T29+'Résultat (Ln)'!F$33*Données!U29+'Résultat (Ln)'!F$34*Données!V29+'Résultat (Ln)'!F$35*Données!W29+'Résultat (Ln)'!F$36*Données!X29+'Résultat (Ln)'!F$37*Données!Y29</f>
        <v>95716.655217672916</v>
      </c>
      <c r="AA29">
        <f t="shared" si="3"/>
        <v>18283.344782327084</v>
      </c>
    </row>
    <row r="30" spans="1:27" x14ac:dyDescent="0.25">
      <c r="A30">
        <v>208000</v>
      </c>
      <c r="B30">
        <v>1</v>
      </c>
      <c r="C30">
        <v>34.799999237060547</v>
      </c>
      <c r="D30">
        <v>0</v>
      </c>
      <c r="E30">
        <v>260000</v>
      </c>
      <c r="F30">
        <v>5000</v>
      </c>
      <c r="G30">
        <v>1</v>
      </c>
      <c r="H30">
        <v>1</v>
      </c>
      <c r="I30">
        <v>1</v>
      </c>
      <c r="J30">
        <v>26.20000076293945</v>
      </c>
      <c r="K30">
        <v>1</v>
      </c>
      <c r="L30">
        <f>Résultats!G$32+Résultats!G$33*Données!C30+Résultats!G$34*Données!D30+Résultats!G$35*Données!E30+Résultats!G$36*Données!F30+Résultats!G$37*Données!G30+Résultats!G$38*Données!H30+Résultats!G$39*Données!I30</f>
        <v>182948.91985531681</v>
      </c>
      <c r="M30">
        <f t="shared" si="0"/>
        <v>25051.08014468319</v>
      </c>
      <c r="Q30">
        <v>17000</v>
      </c>
      <c r="R30">
        <v>1</v>
      </c>
      <c r="S30">
        <v>14</v>
      </c>
      <c r="T30">
        <v>0</v>
      </c>
      <c r="U30">
        <f t="shared" si="1"/>
        <v>10.950806546816688</v>
      </c>
      <c r="V30">
        <f t="shared" si="2"/>
        <v>7.1693500166705997</v>
      </c>
      <c r="W30">
        <v>1</v>
      </c>
      <c r="X30">
        <v>0</v>
      </c>
      <c r="Y30">
        <v>0</v>
      </c>
      <c r="Z30">
        <f>'Résultat (Ln)'!F$30+'Résultat (Ln)'!F$31*Données!S30+'Résultat (Ln)'!F$32*Données!T30+'Résultat (Ln)'!F$33*Données!U30+'Résultat (Ln)'!F$34*Données!V30+'Résultat (Ln)'!F$35*Données!W30+'Résultat (Ln)'!F$36*Données!X30+'Résultat (Ln)'!F$37*Données!Y30</f>
        <v>-33259.405655582937</v>
      </c>
      <c r="AA30">
        <f t="shared" si="3"/>
        <v>50259.405655582937</v>
      </c>
    </row>
    <row r="31" spans="1:27" x14ac:dyDescent="0.25">
      <c r="A31">
        <v>125000</v>
      </c>
      <c r="B31">
        <v>1</v>
      </c>
      <c r="C31">
        <v>28.70000076293945</v>
      </c>
      <c r="D31">
        <v>0</v>
      </c>
      <c r="E31">
        <v>225000</v>
      </c>
      <c r="F31">
        <v>4950</v>
      </c>
      <c r="G31">
        <v>0</v>
      </c>
      <c r="H31">
        <v>0</v>
      </c>
      <c r="I31">
        <v>0</v>
      </c>
      <c r="J31">
        <v>27.10000038146973</v>
      </c>
      <c r="K31">
        <v>1</v>
      </c>
      <c r="L31">
        <f>Résultats!G$32+Résultats!G$33*Données!C31+Résultats!G$34*Données!D31+Résultats!G$35*Données!E31+Résultats!G$36*Données!F31+Résultats!G$37*Données!G31+Résultats!G$38*Données!H31+Résultats!G$39*Données!I31</f>
        <v>144184.97966476096</v>
      </c>
      <c r="M31">
        <f t="shared" si="0"/>
        <v>-19184.979664760962</v>
      </c>
      <c r="Q31">
        <v>208000</v>
      </c>
      <c r="R31">
        <v>1</v>
      </c>
      <c r="S31">
        <v>34.799999237060547</v>
      </c>
      <c r="T31">
        <v>0</v>
      </c>
      <c r="U31">
        <f t="shared" si="1"/>
        <v>12.468436909997665</v>
      </c>
      <c r="V31">
        <f t="shared" si="2"/>
        <v>8.5171931914162382</v>
      </c>
      <c r="W31">
        <v>1</v>
      </c>
      <c r="X31">
        <v>1</v>
      </c>
      <c r="Y31">
        <v>1</v>
      </c>
      <c r="Z31">
        <f>'Résultat (Ln)'!F$30+'Résultat (Ln)'!F$31*Données!S31+'Résultat (Ln)'!F$32*Données!T31+'Résultat (Ln)'!F$33*Données!U31+'Résultat (Ln)'!F$34*Données!V31+'Résultat (Ln)'!F$35*Données!W31+'Résultat (Ln)'!F$36*Données!X31+'Résultat (Ln)'!F$37*Données!Y31</f>
        <v>206553.01429168237</v>
      </c>
      <c r="AA31">
        <f t="shared" si="3"/>
        <v>1446.9857083176321</v>
      </c>
    </row>
    <row r="32" spans="1:27" x14ac:dyDescent="0.25">
      <c r="A32">
        <v>187000</v>
      </c>
      <c r="B32">
        <v>1</v>
      </c>
      <c r="C32">
        <v>40.400001525878913</v>
      </c>
      <c r="D32">
        <v>0</v>
      </c>
      <c r="E32">
        <v>234000</v>
      </c>
      <c r="F32">
        <v>13000</v>
      </c>
      <c r="G32">
        <v>1</v>
      </c>
      <c r="H32">
        <v>1</v>
      </c>
      <c r="I32">
        <v>1</v>
      </c>
      <c r="J32">
        <v>17.89999961853027</v>
      </c>
      <c r="K32">
        <v>1</v>
      </c>
      <c r="L32">
        <f>Résultats!G$32+Résultats!G$33*Données!C32+Résultats!G$34*Données!D32+Résultats!G$35*Données!E32+Résultats!G$36*Données!F32+Résultats!G$37*Données!G32+Résultats!G$38*Données!H32+Résultats!G$39*Données!I32</f>
        <v>192742.99054803242</v>
      </c>
      <c r="M32">
        <f t="shared" si="0"/>
        <v>-5742.9905480324232</v>
      </c>
      <c r="Q32">
        <v>125000</v>
      </c>
      <c r="R32">
        <v>1</v>
      </c>
      <c r="S32">
        <v>28.70000076293945</v>
      </c>
      <c r="T32">
        <v>0</v>
      </c>
      <c r="U32">
        <f t="shared" si="1"/>
        <v>12.323855681186558</v>
      </c>
      <c r="V32">
        <f t="shared" si="2"/>
        <v>8.5071428555627353</v>
      </c>
      <c r="W32">
        <v>0</v>
      </c>
      <c r="X32">
        <v>0</v>
      </c>
      <c r="Y32">
        <v>0</v>
      </c>
      <c r="Z32">
        <f>'Résultat (Ln)'!F$30+'Résultat (Ln)'!F$31*Données!S32+'Résultat (Ln)'!F$32*Données!T32+'Résultat (Ln)'!F$33*Données!U32+'Résultat (Ln)'!F$34*Données!V32+'Résultat (Ln)'!F$35*Données!W32+'Résultat (Ln)'!F$36*Données!X32+'Résultat (Ln)'!F$37*Données!Y32</f>
        <v>164894.80718187493</v>
      </c>
      <c r="AA32">
        <f t="shared" si="3"/>
        <v>-39894.80718187493</v>
      </c>
    </row>
    <row r="33" spans="1:27" x14ac:dyDescent="0.25">
      <c r="A33">
        <v>100000</v>
      </c>
      <c r="B33">
        <v>1</v>
      </c>
      <c r="C33">
        <v>73</v>
      </c>
      <c r="D33">
        <v>0</v>
      </c>
      <c r="E33">
        <v>100000</v>
      </c>
      <c r="F33">
        <v>3596</v>
      </c>
      <c r="G33">
        <v>0</v>
      </c>
      <c r="H33">
        <v>0</v>
      </c>
      <c r="I33">
        <v>0</v>
      </c>
      <c r="J33">
        <v>71</v>
      </c>
      <c r="K33">
        <v>1</v>
      </c>
      <c r="L33">
        <f>Résultats!G$32+Résultats!G$33*Données!C33+Résultats!G$34*Données!D33+Résultats!G$35*Données!E33+Résultats!G$36*Données!F33+Résultats!G$37*Données!G33+Résultats!G$38*Données!H33+Résultats!G$39*Données!I33</f>
        <v>134078.15390599967</v>
      </c>
      <c r="M33">
        <f t="shared" si="0"/>
        <v>-34078.153905999672</v>
      </c>
      <c r="Q33">
        <v>187000</v>
      </c>
      <c r="R33">
        <v>1</v>
      </c>
      <c r="S33">
        <v>40.400001525878913</v>
      </c>
      <c r="T33">
        <v>0</v>
      </c>
      <c r="U33">
        <f t="shared" si="1"/>
        <v>12.363076394339839</v>
      </c>
      <c r="V33">
        <f t="shared" si="2"/>
        <v>9.4727046364436731</v>
      </c>
      <c r="W33">
        <v>1</v>
      </c>
      <c r="X33">
        <v>1</v>
      </c>
      <c r="Y33">
        <v>1</v>
      </c>
      <c r="Z33">
        <f>'Résultat (Ln)'!F$30+'Résultat (Ln)'!F$31*Données!S33+'Résultat (Ln)'!F$32*Données!T33+'Résultat (Ln)'!F$33*Données!U33+'Résultat (Ln)'!F$34*Données!V33+'Résultat (Ln)'!F$35*Données!W33+'Résultat (Ln)'!F$36*Données!X33+'Résultat (Ln)'!F$37*Données!Y33</f>
        <v>228900.34245113976</v>
      </c>
      <c r="AA33">
        <f t="shared" si="3"/>
        <v>-41900.342451139761</v>
      </c>
    </row>
    <row r="34" spans="1:27" x14ac:dyDescent="0.25">
      <c r="A34">
        <v>100000</v>
      </c>
      <c r="B34">
        <v>1</v>
      </c>
      <c r="C34">
        <v>27.89999961853027</v>
      </c>
      <c r="D34">
        <v>0</v>
      </c>
      <c r="E34">
        <v>125000</v>
      </c>
      <c r="F34">
        <v>2340</v>
      </c>
      <c r="G34">
        <v>1</v>
      </c>
      <c r="H34">
        <v>0</v>
      </c>
      <c r="I34">
        <v>1</v>
      </c>
      <c r="J34">
        <v>20.79999923706055</v>
      </c>
      <c r="K34">
        <v>1</v>
      </c>
      <c r="L34">
        <f>Résultats!G$32+Résultats!G$33*Données!C34+Résultats!G$34*Données!D34+Résultats!G$35*Données!E34+Résultats!G$36*Données!F34+Résultats!G$37*Données!G34+Résultats!G$38*Données!H34+Résultats!G$39*Données!I34</f>
        <v>108455.1654930506</v>
      </c>
      <c r="M34">
        <f t="shared" si="0"/>
        <v>-8455.1654930506047</v>
      </c>
      <c r="Q34">
        <v>100000</v>
      </c>
      <c r="R34">
        <v>1</v>
      </c>
      <c r="S34">
        <v>73</v>
      </c>
      <c r="T34">
        <v>0</v>
      </c>
      <c r="U34">
        <f t="shared" si="1"/>
        <v>11.512925464970229</v>
      </c>
      <c r="V34">
        <f t="shared" si="2"/>
        <v>8.1875773955915108</v>
      </c>
      <c r="W34">
        <v>0</v>
      </c>
      <c r="X34">
        <v>0</v>
      </c>
      <c r="Y34">
        <v>0</v>
      </c>
      <c r="Z34">
        <f>'Résultat (Ln)'!F$30+'Résultat (Ln)'!F$31*Données!S34+'Résultat (Ln)'!F$32*Données!T34+'Résultat (Ln)'!F$33*Données!U34+'Résultat (Ln)'!F$34*Données!V34+'Résultat (Ln)'!F$35*Données!W34+'Résultat (Ln)'!F$36*Données!X34+'Résultat (Ln)'!F$37*Données!Y34</f>
        <v>123140.63066641771</v>
      </c>
      <c r="AA34">
        <f t="shared" si="3"/>
        <v>-23140.63066641771</v>
      </c>
    </row>
    <row r="35" spans="1:27" x14ac:dyDescent="0.25">
      <c r="A35">
        <v>76000</v>
      </c>
      <c r="B35">
        <v>1</v>
      </c>
      <c r="C35">
        <v>38.200000762939453</v>
      </c>
      <c r="D35">
        <v>0</v>
      </c>
      <c r="E35">
        <v>80000</v>
      </c>
      <c r="F35">
        <v>3510</v>
      </c>
      <c r="G35">
        <v>0</v>
      </c>
      <c r="H35">
        <v>0</v>
      </c>
      <c r="I35">
        <v>1</v>
      </c>
      <c r="J35">
        <v>22.29999923706055</v>
      </c>
      <c r="K35">
        <v>0</v>
      </c>
      <c r="L35">
        <f>Résultats!G$32+Résultats!G$33*Données!C35+Résultats!G$34*Données!D35+Résultats!G$35*Données!E35+Résultats!G$36*Données!F35+Résultats!G$37*Données!G35+Résultats!G$38*Données!H35+Résultats!G$39*Données!I35</f>
        <v>94524.167359129948</v>
      </c>
      <c r="M35">
        <f t="shared" si="0"/>
        <v>-18524.167359129948</v>
      </c>
      <c r="Q35">
        <v>100000</v>
      </c>
      <c r="R35">
        <v>1</v>
      </c>
      <c r="S35">
        <v>27.89999961853027</v>
      </c>
      <c r="T35">
        <v>0</v>
      </c>
      <c r="U35">
        <f t="shared" si="1"/>
        <v>11.736069016284437</v>
      </c>
      <c r="V35">
        <f t="shared" si="2"/>
        <v>7.7579062083517467</v>
      </c>
      <c r="W35">
        <v>1</v>
      </c>
      <c r="X35">
        <v>0</v>
      </c>
      <c r="Y35">
        <v>1</v>
      </c>
      <c r="Z35">
        <f>'Résultat (Ln)'!F$30+'Résultat (Ln)'!F$31*Données!S35+'Résultat (Ln)'!F$32*Données!T35+'Résultat (Ln)'!F$33*Données!U35+'Résultat (Ln)'!F$34*Données!V35+'Résultat (Ln)'!F$35*Données!W35+'Résultat (Ln)'!F$36*Données!X35+'Résultat (Ln)'!F$37*Données!Y35</f>
        <v>98497.074504253382</v>
      </c>
      <c r="AA35">
        <f t="shared" si="3"/>
        <v>1502.9254957466183</v>
      </c>
    </row>
    <row r="36" spans="1:27" x14ac:dyDescent="0.25">
      <c r="A36">
        <v>121000</v>
      </c>
      <c r="B36">
        <v>1</v>
      </c>
      <c r="C36">
        <v>27</v>
      </c>
      <c r="D36">
        <v>0</v>
      </c>
      <c r="E36">
        <v>161000</v>
      </c>
      <c r="F36">
        <v>4706</v>
      </c>
      <c r="G36">
        <v>0</v>
      </c>
      <c r="H36">
        <v>0</v>
      </c>
      <c r="I36">
        <v>0</v>
      </c>
      <c r="J36">
        <v>27</v>
      </c>
      <c r="K36">
        <v>0</v>
      </c>
      <c r="L36">
        <f>Résultats!G$32+Résultats!G$33*Données!C36+Résultats!G$34*Données!D36+Résultats!G$35*Données!E36+Résultats!G$36*Données!F36+Résultats!G$37*Données!G36+Résultats!G$38*Données!H36+Résultats!G$39*Données!I36</f>
        <v>111874.40983160277</v>
      </c>
      <c r="M36">
        <f t="shared" si="0"/>
        <v>9125.5901683972334</v>
      </c>
      <c r="Q36">
        <v>76000</v>
      </c>
      <c r="R36">
        <v>1</v>
      </c>
      <c r="S36">
        <v>38.200000762939453</v>
      </c>
      <c r="T36">
        <v>0</v>
      </c>
      <c r="U36">
        <f t="shared" si="1"/>
        <v>11.289781913656018</v>
      </c>
      <c r="V36">
        <f t="shared" si="2"/>
        <v>8.1633713164599122</v>
      </c>
      <c r="W36">
        <v>0</v>
      </c>
      <c r="X36">
        <v>0</v>
      </c>
      <c r="Y36">
        <v>1</v>
      </c>
      <c r="Z36">
        <f>'Résultat (Ln)'!F$30+'Résultat (Ln)'!F$31*Données!S36+'Résultat (Ln)'!F$32*Données!T36+'Résultat (Ln)'!F$33*Données!U36+'Résultat (Ln)'!F$34*Données!V36+'Résultat (Ln)'!F$35*Données!W36+'Résultat (Ln)'!F$36*Données!X36+'Résultat (Ln)'!F$37*Données!Y36</f>
        <v>70101.658730000694</v>
      </c>
      <c r="AA36">
        <f t="shared" si="3"/>
        <v>5898.341269999306</v>
      </c>
    </row>
    <row r="37" spans="1:27" x14ac:dyDescent="0.25">
      <c r="A37">
        <v>133000</v>
      </c>
      <c r="B37">
        <v>1</v>
      </c>
      <c r="C37">
        <v>35</v>
      </c>
      <c r="D37">
        <v>0</v>
      </c>
      <c r="E37">
        <v>118000</v>
      </c>
      <c r="F37">
        <v>4887</v>
      </c>
      <c r="G37">
        <v>1</v>
      </c>
      <c r="H37">
        <v>0</v>
      </c>
      <c r="I37">
        <v>0</v>
      </c>
      <c r="J37">
        <v>26</v>
      </c>
      <c r="K37">
        <v>1</v>
      </c>
      <c r="L37">
        <f>Résultats!G$32+Résultats!G$33*Données!C37+Résultats!G$34*Données!D37+Résultats!G$35*Données!E37+Résultats!G$36*Données!F37+Résultats!G$37*Données!G37+Résultats!G$38*Données!H37+Résultats!G$39*Données!I37</f>
        <v>108352.14030587241</v>
      </c>
      <c r="M37">
        <f t="shared" si="0"/>
        <v>24647.85969412759</v>
      </c>
      <c r="Q37">
        <v>121000</v>
      </c>
      <c r="R37">
        <v>1</v>
      </c>
      <c r="S37">
        <v>27</v>
      </c>
      <c r="T37">
        <v>0</v>
      </c>
      <c r="U37">
        <f t="shared" si="1"/>
        <v>11.9891596439666</v>
      </c>
      <c r="V37">
        <f t="shared" si="2"/>
        <v>8.4565935692873087</v>
      </c>
      <c r="W37">
        <v>0</v>
      </c>
      <c r="X37">
        <v>0</v>
      </c>
      <c r="Y37">
        <v>0</v>
      </c>
      <c r="Z37">
        <f>'Résultat (Ln)'!F$30+'Résultat (Ln)'!F$31*Données!S37+'Résultat (Ln)'!F$32*Données!T37+'Résultat (Ln)'!F$33*Données!U37+'Résultat (Ln)'!F$34*Données!V37+'Résultat (Ln)'!F$35*Données!W37+'Résultat (Ln)'!F$36*Données!X37+'Résultat (Ln)'!F$37*Données!Y37</f>
        <v>125521.7105104303</v>
      </c>
      <c r="AA37">
        <f t="shared" si="3"/>
        <v>-4521.7105104303046</v>
      </c>
    </row>
    <row r="38" spans="1:27" x14ac:dyDescent="0.25">
      <c r="A38">
        <v>140000</v>
      </c>
      <c r="B38">
        <v>1</v>
      </c>
      <c r="C38">
        <v>33</v>
      </c>
      <c r="D38">
        <v>0</v>
      </c>
      <c r="E38">
        <v>200000</v>
      </c>
      <c r="F38">
        <v>5233</v>
      </c>
      <c r="G38">
        <v>0</v>
      </c>
      <c r="H38">
        <v>0</v>
      </c>
      <c r="I38">
        <v>0</v>
      </c>
      <c r="J38">
        <v>26</v>
      </c>
      <c r="K38">
        <v>0</v>
      </c>
      <c r="L38">
        <f>Résultats!G$32+Résultats!G$33*Données!C38+Résultats!G$34*Données!D38+Résultats!G$35*Données!E38+Résultats!G$36*Données!F38+Résultats!G$37*Données!G38+Résultats!G$38*Données!H38+Résultats!G$39*Données!I38</f>
        <v>137998.82352629467</v>
      </c>
      <c r="M38">
        <f t="shared" si="0"/>
        <v>2001.1764737053309</v>
      </c>
      <c r="Q38">
        <v>133000</v>
      </c>
      <c r="R38">
        <v>1</v>
      </c>
      <c r="S38">
        <v>35</v>
      </c>
      <c r="T38">
        <v>0</v>
      </c>
      <c r="U38">
        <f t="shared" si="1"/>
        <v>11.678439903447801</v>
      </c>
      <c r="V38">
        <f t="shared" si="2"/>
        <v>8.4943338972701543</v>
      </c>
      <c r="W38">
        <v>1</v>
      </c>
      <c r="X38">
        <v>0</v>
      </c>
      <c r="Y38">
        <v>0</v>
      </c>
      <c r="Z38">
        <f>'Résultat (Ln)'!F$30+'Résultat (Ln)'!F$31*Données!S38+'Résultat (Ln)'!F$32*Données!T38+'Résultat (Ln)'!F$33*Données!U38+'Résultat (Ln)'!F$34*Données!V38+'Résultat (Ln)'!F$35*Données!W38+'Résultat (Ln)'!F$36*Données!X38+'Résultat (Ln)'!F$37*Données!Y38</f>
        <v>107562.74797889883</v>
      </c>
      <c r="AA38">
        <f t="shared" si="3"/>
        <v>25437.252021101172</v>
      </c>
    </row>
    <row r="39" spans="1:27" x14ac:dyDescent="0.25">
      <c r="A39">
        <v>70000</v>
      </c>
      <c r="B39">
        <v>1</v>
      </c>
      <c r="C39">
        <v>35</v>
      </c>
      <c r="D39">
        <v>0</v>
      </c>
      <c r="E39">
        <v>77000</v>
      </c>
      <c r="F39">
        <v>2567</v>
      </c>
      <c r="G39">
        <v>0</v>
      </c>
      <c r="H39">
        <v>0</v>
      </c>
      <c r="I39">
        <v>0</v>
      </c>
      <c r="J39">
        <v>30</v>
      </c>
      <c r="K39">
        <v>1</v>
      </c>
      <c r="L39">
        <f>Résultats!G$32+Résultats!G$33*Données!C39+Résultats!G$34*Données!D39+Résultats!G$35*Données!E39+Résultats!G$36*Données!F39+Résultats!G$37*Données!G39+Résultats!G$38*Données!H39+Résultats!G$39*Données!I39</f>
        <v>77694.771120692836</v>
      </c>
      <c r="M39">
        <f t="shared" si="0"/>
        <v>-7694.7711206928361</v>
      </c>
      <c r="Q39">
        <v>140000</v>
      </c>
      <c r="R39">
        <v>1</v>
      </c>
      <c r="S39">
        <v>33</v>
      </c>
      <c r="T39">
        <v>0</v>
      </c>
      <c r="U39">
        <f t="shared" si="1"/>
        <v>12.206072645530174</v>
      </c>
      <c r="V39">
        <f t="shared" si="2"/>
        <v>8.5627400063722074</v>
      </c>
      <c r="W39">
        <v>0</v>
      </c>
      <c r="X39">
        <v>0</v>
      </c>
      <c r="Y39">
        <v>0</v>
      </c>
      <c r="Z39">
        <f>'Résultat (Ln)'!F$30+'Résultat (Ln)'!F$31*Données!S39+'Résultat (Ln)'!F$32*Données!T39+'Résultat (Ln)'!F$33*Données!U39+'Résultat (Ln)'!F$34*Données!V39+'Résultat (Ln)'!F$35*Données!W39+'Résultat (Ln)'!F$36*Données!X39+'Résultat (Ln)'!F$37*Données!Y39</f>
        <v>159083.02937667942</v>
      </c>
      <c r="AA39">
        <f t="shared" si="3"/>
        <v>-19083.02937667942</v>
      </c>
    </row>
    <row r="40" spans="1:27" x14ac:dyDescent="0.25">
      <c r="A40">
        <v>115000</v>
      </c>
      <c r="B40">
        <v>1</v>
      </c>
      <c r="C40">
        <v>32.099998474121087</v>
      </c>
      <c r="D40">
        <v>0</v>
      </c>
      <c r="E40">
        <v>128000</v>
      </c>
      <c r="F40">
        <v>2600</v>
      </c>
      <c r="G40">
        <v>1</v>
      </c>
      <c r="H40">
        <v>0</v>
      </c>
      <c r="I40">
        <v>0</v>
      </c>
      <c r="J40">
        <v>20.180000305175781</v>
      </c>
      <c r="K40">
        <v>1</v>
      </c>
      <c r="L40">
        <f>Résultats!G$32+Résultats!G$33*Données!C40+Résultats!G$34*Données!D40+Résultats!G$35*Données!E40+Résultats!G$36*Données!F40+Résultats!G$37*Données!G40+Résultats!G$38*Données!H40+Résultats!G$39*Données!I40</f>
        <v>105258.80743494171</v>
      </c>
      <c r="M40">
        <f t="shared" si="0"/>
        <v>9741.1925650582853</v>
      </c>
      <c r="Q40">
        <v>70000</v>
      </c>
      <c r="R40">
        <v>1</v>
      </c>
      <c r="S40">
        <v>35</v>
      </c>
      <c r="T40">
        <v>0</v>
      </c>
      <c r="U40">
        <f t="shared" si="1"/>
        <v>11.251560700835821</v>
      </c>
      <c r="V40">
        <f t="shared" si="2"/>
        <v>7.8504931808711405</v>
      </c>
      <c r="W40">
        <v>0</v>
      </c>
      <c r="X40">
        <v>0</v>
      </c>
      <c r="Y40">
        <v>0</v>
      </c>
      <c r="Z40">
        <f>'Résultat (Ln)'!F$30+'Résultat (Ln)'!F$31*Données!S40+'Résultat (Ln)'!F$32*Données!T40+'Résultat (Ln)'!F$33*Données!U40+'Résultat (Ln)'!F$34*Données!V40+'Résultat (Ln)'!F$35*Données!W40+'Résultat (Ln)'!F$36*Données!X40+'Résultat (Ln)'!F$37*Données!Y40</f>
        <v>39232.135830423387</v>
      </c>
      <c r="AA40">
        <f t="shared" si="3"/>
        <v>30767.864169576613</v>
      </c>
    </row>
    <row r="41" spans="1:27" x14ac:dyDescent="0.25">
      <c r="A41">
        <v>252000</v>
      </c>
      <c r="B41">
        <v>1</v>
      </c>
      <c r="C41">
        <v>35</v>
      </c>
      <c r="D41">
        <v>0</v>
      </c>
      <c r="E41">
        <v>315000</v>
      </c>
      <c r="F41">
        <v>5167</v>
      </c>
      <c r="G41">
        <v>1</v>
      </c>
      <c r="H41">
        <v>0</v>
      </c>
      <c r="I41">
        <v>0</v>
      </c>
      <c r="J41">
        <v>31</v>
      </c>
      <c r="K41">
        <v>1</v>
      </c>
      <c r="L41">
        <f>Résultats!G$32+Résultats!G$33*Données!C41+Résultats!G$34*Données!D41+Résultats!G$35*Données!E41+Résultats!G$36*Données!F41+Résultats!G$37*Données!G41+Résultats!G$38*Données!H41+Résultats!G$39*Données!I41</f>
        <v>200884.5146967902</v>
      </c>
      <c r="M41">
        <f t="shared" si="0"/>
        <v>51115.485303209804</v>
      </c>
      <c r="Q41">
        <v>115000</v>
      </c>
      <c r="R41">
        <v>1</v>
      </c>
      <c r="S41">
        <v>32.099998474121087</v>
      </c>
      <c r="T41">
        <v>0</v>
      </c>
      <c r="U41">
        <f t="shared" si="1"/>
        <v>11.759785542901755</v>
      </c>
      <c r="V41">
        <f t="shared" si="2"/>
        <v>7.8632667240095735</v>
      </c>
      <c r="W41">
        <v>1</v>
      </c>
      <c r="X41">
        <v>0</v>
      </c>
      <c r="Y41">
        <v>0</v>
      </c>
      <c r="Z41">
        <f>'Résultat (Ln)'!F$30+'Résultat (Ln)'!F$31*Données!S41+'Résultat (Ln)'!F$32*Données!T41+'Résultat (Ln)'!F$33*Données!U41+'Résultat (Ln)'!F$34*Données!V41+'Résultat (Ln)'!F$35*Données!W41+'Résultat (Ln)'!F$36*Données!X41+'Résultat (Ln)'!F$37*Données!Y41</f>
        <v>95039.939960906064</v>
      </c>
      <c r="AA41">
        <f t="shared" si="3"/>
        <v>19960.060039093936</v>
      </c>
    </row>
    <row r="42" spans="1:27" x14ac:dyDescent="0.25">
      <c r="A42">
        <v>104000</v>
      </c>
      <c r="B42">
        <v>1</v>
      </c>
      <c r="C42">
        <v>16</v>
      </c>
      <c r="D42">
        <v>0</v>
      </c>
      <c r="E42">
        <v>130000</v>
      </c>
      <c r="F42">
        <v>7660</v>
      </c>
      <c r="G42">
        <v>1</v>
      </c>
      <c r="H42">
        <v>6</v>
      </c>
      <c r="I42">
        <v>0</v>
      </c>
      <c r="J42">
        <v>14</v>
      </c>
      <c r="K42">
        <v>1</v>
      </c>
      <c r="L42">
        <f>Résultats!G$32+Résultats!G$33*Données!C42+Résultats!G$34*Données!D42+Résultats!G$35*Données!E42+Résultats!G$36*Données!F42+Résultats!G$37*Données!G42+Résultats!G$38*Données!H42+Résultats!G$39*Données!I42</f>
        <v>87752.667816883608</v>
      </c>
      <c r="M42">
        <f t="shared" si="0"/>
        <v>16247.332183116392</v>
      </c>
      <c r="Q42">
        <v>252000</v>
      </c>
      <c r="R42">
        <v>1</v>
      </c>
      <c r="S42">
        <v>35</v>
      </c>
      <c r="T42">
        <v>0</v>
      </c>
      <c r="U42">
        <f t="shared" si="1"/>
        <v>12.66032791780777</v>
      </c>
      <c r="V42">
        <f t="shared" si="2"/>
        <v>8.550047528287184</v>
      </c>
      <c r="W42">
        <v>1</v>
      </c>
      <c r="X42">
        <v>0</v>
      </c>
      <c r="Y42">
        <v>0</v>
      </c>
      <c r="Z42">
        <f>'Résultat (Ln)'!F$30+'Résultat (Ln)'!F$31*Données!S42+'Résultat (Ln)'!F$32*Données!T42+'Résultat (Ln)'!F$33*Données!U42+'Résultat (Ln)'!F$34*Données!V42+'Résultat (Ln)'!F$35*Données!W42+'Résultat (Ln)'!F$36*Données!X42+'Résultat (Ln)'!F$37*Données!Y42</f>
        <v>214379.32276437563</v>
      </c>
      <c r="AA42">
        <f t="shared" si="3"/>
        <v>37620.677235624375</v>
      </c>
    </row>
    <row r="43" spans="1:27" x14ac:dyDescent="0.25">
      <c r="A43">
        <v>100000</v>
      </c>
      <c r="B43">
        <v>1</v>
      </c>
      <c r="C43">
        <v>30</v>
      </c>
      <c r="D43">
        <v>0</v>
      </c>
      <c r="E43">
        <v>270000</v>
      </c>
      <c r="F43">
        <v>3328</v>
      </c>
      <c r="G43">
        <v>1</v>
      </c>
      <c r="H43">
        <v>0</v>
      </c>
      <c r="I43">
        <v>0</v>
      </c>
      <c r="J43">
        <v>29</v>
      </c>
      <c r="K43">
        <v>1</v>
      </c>
      <c r="L43">
        <f>Résultats!G$32+Résultats!G$33*Données!C43+Résultats!G$34*Données!D43+Résultats!G$35*Données!E43+Résultats!G$36*Données!F43+Résultats!G$37*Données!G43+Résultats!G$38*Données!H43+Résultats!G$39*Données!I43</f>
        <v>170564.67474530867</v>
      </c>
      <c r="M43">
        <f t="shared" si="0"/>
        <v>-70564.674745308672</v>
      </c>
      <c r="Q43">
        <v>104000</v>
      </c>
      <c r="R43">
        <v>1</v>
      </c>
      <c r="S43">
        <v>16</v>
      </c>
      <c r="T43">
        <v>0</v>
      </c>
      <c r="U43">
        <f t="shared" si="1"/>
        <v>11.77528972943772</v>
      </c>
      <c r="V43">
        <f t="shared" si="2"/>
        <v>8.943767262734637</v>
      </c>
      <c r="W43">
        <v>1</v>
      </c>
      <c r="X43">
        <v>6</v>
      </c>
      <c r="Y43">
        <v>0</v>
      </c>
      <c r="Z43">
        <f>'Résultat (Ln)'!F$30+'Résultat (Ln)'!F$31*Données!S43+'Résultat (Ln)'!F$32*Données!T43+'Résultat (Ln)'!F$33*Données!U43+'Résultat (Ln)'!F$34*Données!V43+'Résultat (Ln)'!F$35*Données!W43+'Résultat (Ln)'!F$36*Données!X43+'Résultat (Ln)'!F$37*Données!Y43</f>
        <v>106265.32215705121</v>
      </c>
      <c r="AA43">
        <f t="shared" si="3"/>
        <v>-2265.3221570512105</v>
      </c>
    </row>
    <row r="44" spans="1:27" x14ac:dyDescent="0.25">
      <c r="A44">
        <v>100000</v>
      </c>
      <c r="B44">
        <v>1</v>
      </c>
      <c r="C44">
        <v>27.5</v>
      </c>
      <c r="D44">
        <v>0</v>
      </c>
      <c r="E44">
        <v>125000</v>
      </c>
      <c r="F44">
        <v>6333</v>
      </c>
      <c r="G44">
        <v>1</v>
      </c>
      <c r="H44">
        <v>0</v>
      </c>
      <c r="I44">
        <v>0</v>
      </c>
      <c r="J44">
        <v>17.219999313354489</v>
      </c>
      <c r="K44">
        <v>0</v>
      </c>
      <c r="L44">
        <f>Résultats!G$32+Résultats!G$33*Données!C44+Résultats!G$34*Données!D44+Résultats!G$35*Données!E44+Résultats!G$36*Données!F44+Résultats!G$37*Données!G44+Résultats!G$38*Données!H44+Résultats!G$39*Données!I44</f>
        <v>105807.82587408068</v>
      </c>
      <c r="M44">
        <f t="shared" si="0"/>
        <v>-5807.8258740806777</v>
      </c>
      <c r="Q44">
        <v>100000</v>
      </c>
      <c r="R44">
        <v>1</v>
      </c>
      <c r="S44">
        <v>30</v>
      </c>
      <c r="T44">
        <v>0</v>
      </c>
      <c r="U44">
        <f t="shared" si="1"/>
        <v>12.506177237980511</v>
      </c>
      <c r="V44">
        <f t="shared" si="2"/>
        <v>8.1101268019410995</v>
      </c>
      <c r="W44">
        <v>1</v>
      </c>
      <c r="X44">
        <v>0</v>
      </c>
      <c r="Y44">
        <v>0</v>
      </c>
      <c r="Z44">
        <f>'Résultat (Ln)'!F$30+'Résultat (Ln)'!F$31*Données!S44+'Résultat (Ln)'!F$32*Données!T44+'Résultat (Ln)'!F$33*Données!U44+'Résultat (Ln)'!F$34*Données!V44+'Résultat (Ln)'!F$35*Données!W44+'Résultat (Ln)'!F$36*Données!X44+'Résultat (Ln)'!F$37*Données!Y44</f>
        <v>179406.92290783176</v>
      </c>
      <c r="AA44">
        <f t="shared" si="3"/>
        <v>-79406.922907831758</v>
      </c>
    </row>
    <row r="45" spans="1:27" x14ac:dyDescent="0.25">
      <c r="A45">
        <v>315000</v>
      </c>
      <c r="B45">
        <v>1</v>
      </c>
      <c r="C45">
        <v>32.400001525878913</v>
      </c>
      <c r="D45">
        <v>0</v>
      </c>
      <c r="E45">
        <v>355000</v>
      </c>
      <c r="F45">
        <v>5955</v>
      </c>
      <c r="G45">
        <v>1</v>
      </c>
      <c r="H45">
        <v>0</v>
      </c>
      <c r="I45">
        <v>1</v>
      </c>
      <c r="J45">
        <v>26.70000076293945</v>
      </c>
      <c r="K45">
        <v>1</v>
      </c>
      <c r="L45">
        <f>Résultats!G$32+Résultats!G$33*Données!C45+Résultats!G$34*Données!D45+Résultats!G$35*Données!E45+Résultats!G$36*Données!F45+Résultats!G$37*Données!G45+Résultats!G$38*Données!H45+Résultats!G$39*Données!I45</f>
        <v>228028.53751190519</v>
      </c>
      <c r="M45">
        <f t="shared" si="0"/>
        <v>86971.46248809481</v>
      </c>
      <c r="Q45">
        <v>100000</v>
      </c>
      <c r="R45">
        <v>1</v>
      </c>
      <c r="S45">
        <v>27.5</v>
      </c>
      <c r="T45">
        <v>0</v>
      </c>
      <c r="U45">
        <f t="shared" si="1"/>
        <v>11.736069016284437</v>
      </c>
      <c r="V45">
        <f t="shared" si="2"/>
        <v>8.7535293365164311</v>
      </c>
      <c r="W45">
        <v>1</v>
      </c>
      <c r="X45">
        <v>0</v>
      </c>
      <c r="Y45">
        <v>0</v>
      </c>
      <c r="Z45">
        <f>'Résultat (Ln)'!F$30+'Résultat (Ln)'!F$31*Données!S45+'Résultat (Ln)'!F$32*Données!T45+'Résultat (Ln)'!F$33*Données!U45+'Résultat (Ln)'!F$34*Données!V45+'Résultat (Ln)'!F$35*Données!W45+'Résultat (Ln)'!F$36*Données!X45+'Résultat (Ln)'!F$37*Données!Y45</f>
        <v>111844.36770392164</v>
      </c>
      <c r="AA45">
        <f t="shared" si="3"/>
        <v>-11844.367703921642</v>
      </c>
    </row>
    <row r="46" spans="1:27" x14ac:dyDescent="0.25">
      <c r="A46">
        <v>116000</v>
      </c>
      <c r="B46">
        <v>1</v>
      </c>
      <c r="C46">
        <v>34</v>
      </c>
      <c r="D46">
        <v>0</v>
      </c>
      <c r="E46">
        <v>145000</v>
      </c>
      <c r="F46">
        <v>2600</v>
      </c>
      <c r="G46">
        <v>1</v>
      </c>
      <c r="H46">
        <v>0</v>
      </c>
      <c r="I46">
        <v>0</v>
      </c>
      <c r="J46">
        <v>27</v>
      </c>
      <c r="K46">
        <v>1</v>
      </c>
      <c r="L46">
        <f>Résultats!G$32+Résultats!G$33*Données!C46+Résultats!G$34*Données!D46+Résultats!G$35*Données!E46+Résultats!G$36*Données!F46+Résultats!G$37*Données!G46+Résultats!G$38*Données!H46+Résultats!G$39*Données!I46</f>
        <v>115379.48847543185</v>
      </c>
      <c r="M46">
        <f t="shared" si="0"/>
        <v>620.5115245681518</v>
      </c>
      <c r="Q46">
        <v>315000</v>
      </c>
      <c r="R46">
        <v>1</v>
      </c>
      <c r="S46">
        <v>32.400001525878913</v>
      </c>
      <c r="T46">
        <v>0</v>
      </c>
      <c r="U46">
        <f t="shared" si="1"/>
        <v>12.779873068457553</v>
      </c>
      <c r="V46">
        <f t="shared" si="2"/>
        <v>8.6919864817894013</v>
      </c>
      <c r="W46">
        <v>1</v>
      </c>
      <c r="X46">
        <v>0</v>
      </c>
      <c r="Y46">
        <v>1</v>
      </c>
      <c r="Z46">
        <f>'Résultat (Ln)'!F$30+'Résultat (Ln)'!F$31*Données!S46+'Résultat (Ln)'!F$32*Données!T46+'Résultat (Ln)'!F$33*Données!U46+'Résultat (Ln)'!F$34*Données!V46+'Résultat (Ln)'!F$35*Données!W46+'Résultat (Ln)'!F$36*Données!X46+'Résultat (Ln)'!F$37*Données!Y46</f>
        <v>242084.44965350736</v>
      </c>
      <c r="AA46">
        <f t="shared" si="3"/>
        <v>72915.550346492644</v>
      </c>
    </row>
    <row r="47" spans="1:27" x14ac:dyDescent="0.25">
      <c r="A47">
        <v>632000</v>
      </c>
      <c r="B47">
        <v>1</v>
      </c>
      <c r="C47">
        <v>26.70000076293945</v>
      </c>
      <c r="D47">
        <v>0</v>
      </c>
      <c r="E47">
        <v>790000</v>
      </c>
      <c r="F47">
        <v>24166</v>
      </c>
      <c r="G47">
        <v>1</v>
      </c>
      <c r="H47">
        <v>0</v>
      </c>
      <c r="I47">
        <v>1</v>
      </c>
      <c r="J47">
        <v>18.909999847412109</v>
      </c>
      <c r="K47">
        <v>1</v>
      </c>
      <c r="L47">
        <f>Résultats!G$32+Résultats!G$33*Données!C47+Résultats!G$34*Données!D47+Résultats!G$35*Données!E47+Résultats!G$36*Données!F47+Résultats!G$37*Données!G47+Résultats!G$38*Données!H47+Résultats!G$39*Données!I47</f>
        <v>459894.83306493709</v>
      </c>
      <c r="M47">
        <f t="shared" si="0"/>
        <v>172105.16693506291</v>
      </c>
      <c r="Q47">
        <v>116000</v>
      </c>
      <c r="R47">
        <v>1</v>
      </c>
      <c r="S47">
        <v>34</v>
      </c>
      <c r="T47">
        <v>0</v>
      </c>
      <c r="U47">
        <f t="shared" si="1"/>
        <v>11.884489021402711</v>
      </c>
      <c r="V47">
        <f t="shared" si="2"/>
        <v>7.8632667240095735</v>
      </c>
      <c r="W47">
        <v>1</v>
      </c>
      <c r="X47">
        <v>0</v>
      </c>
      <c r="Y47">
        <v>0</v>
      </c>
      <c r="Z47">
        <f>'Résultat (Ln)'!F$30+'Résultat (Ln)'!F$31*Données!S47+'Résultat (Ln)'!F$32*Données!T47+'Résultat (Ln)'!F$33*Données!U47+'Résultat (Ln)'!F$34*Données!V47+'Résultat (Ln)'!F$35*Données!W47+'Résultat (Ln)'!F$36*Données!X47+'Résultat (Ln)'!F$37*Données!Y47</f>
        <v>110729.47967612885</v>
      </c>
      <c r="AA47">
        <f t="shared" si="3"/>
        <v>5270.5203238711547</v>
      </c>
    </row>
    <row r="48" spans="1:27" x14ac:dyDescent="0.25">
      <c r="A48">
        <v>112000</v>
      </c>
      <c r="B48">
        <v>1</v>
      </c>
      <c r="C48">
        <v>31</v>
      </c>
      <c r="D48">
        <v>0</v>
      </c>
      <c r="E48">
        <v>140000</v>
      </c>
      <c r="F48">
        <v>5000</v>
      </c>
      <c r="G48">
        <v>0</v>
      </c>
      <c r="H48">
        <v>0</v>
      </c>
      <c r="I48">
        <v>1</v>
      </c>
      <c r="J48">
        <v>22</v>
      </c>
      <c r="K48">
        <v>1</v>
      </c>
      <c r="L48">
        <f>Résultats!G$32+Résultats!G$33*Données!C48+Résultats!G$34*Données!D48+Résultats!G$35*Données!E48+Résultats!G$36*Données!F48+Résultats!G$37*Données!G48+Résultats!G$38*Données!H48+Résultats!G$39*Données!I48</f>
        <v>117158.23904844969</v>
      </c>
      <c r="M48">
        <f t="shared" si="0"/>
        <v>-5158.2390484496864</v>
      </c>
      <c r="Q48">
        <v>632000</v>
      </c>
      <c r="R48">
        <v>1</v>
      </c>
      <c r="S48">
        <v>26.70000076293945</v>
      </c>
      <c r="T48">
        <v>0</v>
      </c>
      <c r="U48">
        <f t="shared" si="1"/>
        <v>13.579788224443204</v>
      </c>
      <c r="V48">
        <f t="shared" si="2"/>
        <v>10.092701965587253</v>
      </c>
      <c r="W48">
        <v>1</v>
      </c>
      <c r="X48">
        <v>0</v>
      </c>
      <c r="Y48">
        <v>1</v>
      </c>
      <c r="Z48">
        <f>'Résultat (Ln)'!F$30+'Résultat (Ln)'!F$31*Données!S48+'Résultat (Ln)'!F$32*Données!T48+'Résultat (Ln)'!F$33*Données!U48+'Résultat (Ln)'!F$34*Données!V48+'Résultat (Ln)'!F$35*Données!W48+'Résultat (Ln)'!F$36*Données!X48+'Résultat (Ln)'!F$37*Données!Y48</f>
        <v>360150.34974961326</v>
      </c>
      <c r="AA48">
        <f t="shared" si="3"/>
        <v>271849.65025038674</v>
      </c>
    </row>
    <row r="49" spans="1:27" x14ac:dyDescent="0.25">
      <c r="A49">
        <v>112000</v>
      </c>
      <c r="B49">
        <v>1</v>
      </c>
      <c r="C49">
        <v>30</v>
      </c>
      <c r="D49">
        <v>0</v>
      </c>
      <c r="E49">
        <v>118000</v>
      </c>
      <c r="F49">
        <v>3365</v>
      </c>
      <c r="G49">
        <v>1</v>
      </c>
      <c r="H49">
        <v>0</v>
      </c>
      <c r="I49">
        <v>0</v>
      </c>
      <c r="J49">
        <v>23</v>
      </c>
      <c r="K49">
        <v>1</v>
      </c>
      <c r="L49">
        <f>Résultats!G$32+Résultats!G$33*Données!C49+Résultats!G$34*Données!D49+Résultats!G$35*Données!E49+Résultats!G$36*Données!F49+Résultats!G$37*Données!G49+Résultats!G$38*Données!H49+Résultats!G$39*Données!I49</f>
        <v>99659.476039603396</v>
      </c>
      <c r="M49">
        <f t="shared" si="0"/>
        <v>12340.523960396604</v>
      </c>
      <c r="Q49">
        <v>112000</v>
      </c>
      <c r="R49">
        <v>1</v>
      </c>
      <c r="S49">
        <v>31</v>
      </c>
      <c r="T49">
        <v>0</v>
      </c>
      <c r="U49">
        <f t="shared" si="1"/>
        <v>11.849397701591441</v>
      </c>
      <c r="V49">
        <f t="shared" si="2"/>
        <v>8.5171931914162382</v>
      </c>
      <c r="W49">
        <v>0</v>
      </c>
      <c r="X49">
        <v>0</v>
      </c>
      <c r="Y49">
        <v>1</v>
      </c>
      <c r="Z49">
        <f>'Résultat (Ln)'!F$30+'Résultat (Ln)'!F$31*Données!S49+'Résultat (Ln)'!F$32*Données!T49+'Résultat (Ln)'!F$33*Données!U49+'Résultat (Ln)'!F$34*Données!V49+'Résultat (Ln)'!F$35*Données!W49+'Résultat (Ln)'!F$36*Données!X49+'Résultat (Ln)'!F$37*Données!Y49</f>
        <v>131214.5091872818</v>
      </c>
      <c r="AA49">
        <f t="shared" si="3"/>
        <v>-19214.509187281801</v>
      </c>
    </row>
    <row r="50" spans="1:27" x14ac:dyDescent="0.25">
      <c r="A50">
        <v>78000</v>
      </c>
      <c r="B50">
        <v>1</v>
      </c>
      <c r="C50">
        <v>38.200000762939453</v>
      </c>
      <c r="D50">
        <v>0</v>
      </c>
      <c r="E50">
        <v>115000</v>
      </c>
      <c r="F50">
        <v>3276</v>
      </c>
      <c r="G50">
        <v>0</v>
      </c>
      <c r="H50">
        <v>0</v>
      </c>
      <c r="I50">
        <v>1</v>
      </c>
      <c r="J50">
        <v>27.70000076293945</v>
      </c>
      <c r="K50">
        <v>1</v>
      </c>
      <c r="L50">
        <f>Résultats!G$32+Résultats!G$33*Données!C50+Résultats!G$34*Données!D50+Résultats!G$35*Données!E50+Résultats!G$36*Données!F50+Résultats!G$37*Données!G50+Résultats!G$38*Données!H50+Résultats!G$39*Données!I50</f>
        <v>110414.08951908478</v>
      </c>
      <c r="M50">
        <f t="shared" si="0"/>
        <v>-32414.08951908478</v>
      </c>
      <c r="Q50">
        <v>112000</v>
      </c>
      <c r="R50">
        <v>1</v>
      </c>
      <c r="S50">
        <v>30</v>
      </c>
      <c r="T50">
        <v>0</v>
      </c>
      <c r="U50">
        <f t="shared" si="1"/>
        <v>11.678439903447801</v>
      </c>
      <c r="V50">
        <f t="shared" si="2"/>
        <v>8.1211832420788284</v>
      </c>
      <c r="W50">
        <v>1</v>
      </c>
      <c r="X50">
        <v>0</v>
      </c>
      <c r="Y50">
        <v>0</v>
      </c>
      <c r="Z50">
        <f>'Résultat (Ln)'!F$30+'Résultat (Ln)'!F$31*Données!S50+'Résultat (Ln)'!F$32*Données!T50+'Résultat (Ln)'!F$33*Données!U50+'Résultat (Ln)'!F$34*Données!V50+'Résultat (Ln)'!F$35*Données!W50+'Résultat (Ln)'!F$36*Données!X50+'Résultat (Ln)'!F$37*Données!Y50</f>
        <v>90987.237141947888</v>
      </c>
      <c r="AA50">
        <f t="shared" si="3"/>
        <v>21012.762858052112</v>
      </c>
    </row>
    <row r="51" spans="1:27" x14ac:dyDescent="0.25">
      <c r="A51">
        <v>151000</v>
      </c>
      <c r="B51">
        <v>1</v>
      </c>
      <c r="C51">
        <v>35</v>
      </c>
      <c r="D51">
        <v>0</v>
      </c>
      <c r="E51">
        <v>158000</v>
      </c>
      <c r="F51">
        <v>3717</v>
      </c>
      <c r="G51">
        <v>1</v>
      </c>
      <c r="H51">
        <v>0</v>
      </c>
      <c r="I51">
        <v>0</v>
      </c>
      <c r="J51">
        <v>23</v>
      </c>
      <c r="K51">
        <v>1</v>
      </c>
      <c r="L51">
        <f>Résultats!G$32+Résultats!G$33*Données!C51+Résultats!G$34*Données!D51+Résultats!G$35*Données!E51+Résultats!G$36*Données!F51+Résultats!G$37*Données!G51+Résultats!G$38*Données!H51+Résultats!G$39*Données!I51</f>
        <v>124763.0598348429</v>
      </c>
      <c r="M51">
        <f t="shared" si="0"/>
        <v>26236.940165157095</v>
      </c>
      <c r="Q51">
        <v>78000</v>
      </c>
      <c r="R51">
        <v>1</v>
      </c>
      <c r="S51">
        <v>38.200000762939453</v>
      </c>
      <c r="T51">
        <v>0</v>
      </c>
      <c r="U51">
        <f t="shared" si="1"/>
        <v>11.652687407345388</v>
      </c>
      <c r="V51">
        <f t="shared" si="2"/>
        <v>8.0943784449729606</v>
      </c>
      <c r="W51">
        <v>0</v>
      </c>
      <c r="X51">
        <v>0</v>
      </c>
      <c r="Y51">
        <v>1</v>
      </c>
      <c r="Z51">
        <f>'Résultat (Ln)'!F$30+'Résultat (Ln)'!F$31*Données!S51+'Résultat (Ln)'!F$32*Données!T51+'Résultat (Ln)'!F$33*Données!U51+'Résultat (Ln)'!F$34*Données!V51+'Résultat (Ln)'!F$35*Données!W51+'Résultat (Ln)'!F$36*Données!X51+'Résultat (Ln)'!F$37*Données!Y51</f>
        <v>107068.55888737275</v>
      </c>
      <c r="AA51">
        <f t="shared" si="3"/>
        <v>-29068.558887372754</v>
      </c>
    </row>
    <row r="52" spans="1:27" x14ac:dyDescent="0.25">
      <c r="A52">
        <v>115000</v>
      </c>
      <c r="B52">
        <v>1</v>
      </c>
      <c r="C52">
        <v>34</v>
      </c>
      <c r="D52">
        <v>0</v>
      </c>
      <c r="E52">
        <v>150000</v>
      </c>
      <c r="F52">
        <v>3900</v>
      </c>
      <c r="G52">
        <v>1</v>
      </c>
      <c r="H52">
        <v>0</v>
      </c>
      <c r="I52">
        <v>0</v>
      </c>
      <c r="J52">
        <v>26</v>
      </c>
      <c r="K52">
        <v>1</v>
      </c>
      <c r="L52">
        <f>Résultats!G$32+Résultats!G$33*Données!C52+Résultats!G$34*Données!D52+Résultats!G$35*Données!E52+Résultats!G$36*Données!F52+Résultats!G$37*Données!G52+Résultats!G$38*Données!H52+Résultats!G$39*Données!I52</f>
        <v>120233.37839427753</v>
      </c>
      <c r="M52">
        <f t="shared" si="0"/>
        <v>-5233.3783942775335</v>
      </c>
      <c r="Q52">
        <v>151000</v>
      </c>
      <c r="R52">
        <v>1</v>
      </c>
      <c r="S52">
        <v>35</v>
      </c>
      <c r="T52">
        <v>0</v>
      </c>
      <c r="U52">
        <f t="shared" si="1"/>
        <v>11.970350312009105</v>
      </c>
      <c r="V52">
        <f t="shared" si="2"/>
        <v>8.2206721702972523</v>
      </c>
      <c r="W52">
        <v>1</v>
      </c>
      <c r="X52">
        <v>0</v>
      </c>
      <c r="Y52">
        <v>0</v>
      </c>
      <c r="Z52">
        <f>'Résultat (Ln)'!F$30+'Résultat (Ln)'!F$31*Données!S52+'Résultat (Ln)'!F$32*Données!T52+'Résultat (Ln)'!F$33*Données!U52+'Résultat (Ln)'!F$34*Données!V52+'Résultat (Ln)'!F$35*Données!W52+'Résultat (Ln)'!F$36*Données!X52+'Résultat (Ln)'!F$37*Données!Y52</f>
        <v>131179.1894447018</v>
      </c>
      <c r="AA52">
        <f t="shared" si="3"/>
        <v>19820.810555298202</v>
      </c>
    </row>
    <row r="53" spans="1:27" x14ac:dyDescent="0.25">
      <c r="A53">
        <v>152000</v>
      </c>
      <c r="B53">
        <v>1</v>
      </c>
      <c r="C53">
        <v>38</v>
      </c>
      <c r="D53">
        <v>0</v>
      </c>
      <c r="E53">
        <v>140000</v>
      </c>
      <c r="F53">
        <v>2165</v>
      </c>
      <c r="G53">
        <v>1</v>
      </c>
      <c r="H53">
        <v>0</v>
      </c>
      <c r="I53">
        <v>0</v>
      </c>
      <c r="J53">
        <v>27</v>
      </c>
      <c r="K53">
        <v>1</v>
      </c>
      <c r="L53">
        <f>Résultats!G$32+Résultats!G$33*Données!C53+Résultats!G$34*Données!D53+Résultats!G$35*Données!E53+Résultats!G$36*Données!F53+Résultats!G$37*Données!G53+Résultats!G$38*Données!H53+Résultats!G$39*Données!I53</f>
        <v>116796.46614443591</v>
      </c>
      <c r="M53">
        <f t="shared" si="0"/>
        <v>35203.533855564092</v>
      </c>
      <c r="Q53">
        <v>115000</v>
      </c>
      <c r="R53">
        <v>1</v>
      </c>
      <c r="S53">
        <v>34</v>
      </c>
      <c r="T53">
        <v>0</v>
      </c>
      <c r="U53">
        <f t="shared" si="1"/>
        <v>11.918390573078392</v>
      </c>
      <c r="V53">
        <f t="shared" si="2"/>
        <v>8.2687318321177372</v>
      </c>
      <c r="W53">
        <v>1</v>
      </c>
      <c r="X53">
        <v>0</v>
      </c>
      <c r="Y53">
        <v>0</v>
      </c>
      <c r="Z53">
        <f>'Résultat (Ln)'!F$30+'Résultat (Ln)'!F$31*Données!S53+'Résultat (Ln)'!F$32*Données!T53+'Résultat (Ln)'!F$33*Données!U53+'Résultat (Ln)'!F$34*Données!V53+'Résultat (Ln)'!F$35*Données!W53+'Résultat (Ln)'!F$36*Données!X53+'Résultat (Ln)'!F$37*Données!Y53</f>
        <v>125735.16615256936</v>
      </c>
      <c r="AA53">
        <f t="shared" si="3"/>
        <v>-10735.166152569363</v>
      </c>
    </row>
    <row r="54" spans="1:27" x14ac:dyDescent="0.25">
      <c r="A54">
        <v>59000</v>
      </c>
      <c r="B54">
        <v>1</v>
      </c>
      <c r="C54">
        <v>38</v>
      </c>
      <c r="D54">
        <v>0</v>
      </c>
      <c r="E54">
        <v>66000</v>
      </c>
      <c r="F54">
        <v>2226</v>
      </c>
      <c r="G54">
        <v>0</v>
      </c>
      <c r="H54">
        <v>0</v>
      </c>
      <c r="I54">
        <v>0</v>
      </c>
      <c r="J54">
        <v>35</v>
      </c>
      <c r="K54">
        <v>0</v>
      </c>
      <c r="L54">
        <f>Résultats!G$32+Résultats!G$33*Données!C54+Résultats!G$34*Données!D54+Résultats!G$35*Données!E54+Résultats!G$36*Données!F54+Résultats!G$37*Données!G54+Résultats!G$38*Données!H54+Résultats!G$39*Données!I54</f>
        <v>75343.51081092449</v>
      </c>
      <c r="M54">
        <f t="shared" si="0"/>
        <v>-16343.51081092449</v>
      </c>
      <c r="Q54">
        <v>152000</v>
      </c>
      <c r="R54">
        <v>1</v>
      </c>
      <c r="S54">
        <v>38</v>
      </c>
      <c r="T54">
        <v>0</v>
      </c>
      <c r="U54">
        <f t="shared" si="1"/>
        <v>11.849397701591441</v>
      </c>
      <c r="V54">
        <f t="shared" si="2"/>
        <v>7.6801756404365902</v>
      </c>
      <c r="W54">
        <v>1</v>
      </c>
      <c r="X54">
        <v>0</v>
      </c>
      <c r="Y54">
        <v>0</v>
      </c>
      <c r="Z54">
        <f>'Résultat (Ln)'!F$30+'Résultat (Ln)'!F$31*Données!S54+'Résultat (Ln)'!F$32*Données!T54+'Résultat (Ln)'!F$33*Données!U54+'Résultat (Ln)'!F$34*Données!V54+'Résultat (Ln)'!F$35*Données!W54+'Résultat (Ln)'!F$36*Données!X54+'Résultat (Ln)'!F$37*Données!Y54</f>
        <v>106721.07504306598</v>
      </c>
      <c r="AA54">
        <f t="shared" si="3"/>
        <v>45278.924956934017</v>
      </c>
    </row>
    <row r="55" spans="1:27" x14ac:dyDescent="0.25">
      <c r="A55">
        <v>147000</v>
      </c>
      <c r="B55">
        <v>1</v>
      </c>
      <c r="C55">
        <v>34</v>
      </c>
      <c r="D55">
        <v>0</v>
      </c>
      <c r="E55">
        <v>165000</v>
      </c>
      <c r="F55">
        <v>3881</v>
      </c>
      <c r="G55">
        <v>1</v>
      </c>
      <c r="H55">
        <v>0</v>
      </c>
      <c r="I55">
        <v>0</v>
      </c>
      <c r="J55">
        <v>34</v>
      </c>
      <c r="K55">
        <v>1</v>
      </c>
      <c r="L55">
        <f>Résultats!G$32+Résultats!G$33*Données!C55+Résultats!G$34*Données!D55+Résultats!G$35*Données!E55+Résultats!G$36*Données!F55+Résultats!G$37*Données!G55+Résultats!G$38*Données!H55+Résultats!G$39*Données!I55</f>
        <v>127200.85946441746</v>
      </c>
      <c r="M55">
        <f t="shared" si="0"/>
        <v>19799.140535582541</v>
      </c>
      <c r="Q55">
        <v>59000</v>
      </c>
      <c r="R55">
        <v>1</v>
      </c>
      <c r="S55">
        <v>38</v>
      </c>
      <c r="T55">
        <v>0</v>
      </c>
      <c r="U55">
        <f t="shared" si="1"/>
        <v>11.097410021008562</v>
      </c>
      <c r="V55">
        <f t="shared" si="2"/>
        <v>7.7079615318354904</v>
      </c>
      <c r="W55">
        <v>0</v>
      </c>
      <c r="X55">
        <v>0</v>
      </c>
      <c r="Y55">
        <v>0</v>
      </c>
      <c r="Z55">
        <f>'Résultat (Ln)'!F$30+'Résultat (Ln)'!F$31*Données!S55+'Résultat (Ln)'!F$32*Données!T55+'Résultat (Ln)'!F$33*Données!U55+'Résultat (Ln)'!F$34*Données!V55+'Résultat (Ln)'!F$35*Données!W55+'Résultat (Ln)'!F$36*Données!X55+'Résultat (Ln)'!F$37*Données!Y55</f>
        <v>22376.576197593531</v>
      </c>
      <c r="AA55">
        <f t="shared" si="3"/>
        <v>36623.423802406469</v>
      </c>
    </row>
    <row r="56" spans="1:27" x14ac:dyDescent="0.25">
      <c r="A56">
        <v>80000</v>
      </c>
      <c r="B56">
        <v>1</v>
      </c>
      <c r="C56">
        <v>25</v>
      </c>
      <c r="D56">
        <v>0</v>
      </c>
      <c r="E56">
        <v>101000</v>
      </c>
      <c r="F56">
        <v>3685</v>
      </c>
      <c r="G56">
        <v>0</v>
      </c>
      <c r="H56">
        <v>0</v>
      </c>
      <c r="I56">
        <v>1</v>
      </c>
      <c r="J56">
        <v>25</v>
      </c>
      <c r="K56">
        <v>1</v>
      </c>
      <c r="L56">
        <f>Résultats!G$32+Résultats!G$33*Données!C56+Résultats!G$34*Données!D56+Résultats!G$35*Données!E56+Résultats!G$36*Données!F56+Résultats!G$37*Données!G56+Résultats!G$38*Données!H56+Résultats!G$39*Données!I56</f>
        <v>89506.848909542212</v>
      </c>
      <c r="M56">
        <f t="shared" si="0"/>
        <v>-9506.8489095422119</v>
      </c>
      <c r="Q56">
        <v>147000</v>
      </c>
      <c r="R56">
        <v>1</v>
      </c>
      <c r="S56">
        <v>34</v>
      </c>
      <c r="T56">
        <v>0</v>
      </c>
      <c r="U56">
        <f t="shared" si="1"/>
        <v>12.013700752882718</v>
      </c>
      <c r="V56">
        <f t="shared" si="2"/>
        <v>8.2638481313689063</v>
      </c>
      <c r="W56">
        <v>1</v>
      </c>
      <c r="X56">
        <v>0</v>
      </c>
      <c r="Y56">
        <v>0</v>
      </c>
      <c r="Z56">
        <f>'Résultat (Ln)'!F$30+'Résultat (Ln)'!F$31*Données!S56+'Résultat (Ln)'!F$32*Données!T56+'Résultat (Ln)'!F$33*Données!U56+'Résultat (Ln)'!F$34*Données!V56+'Résultat (Ln)'!F$35*Données!W56+'Résultat (Ln)'!F$36*Données!X56+'Résultat (Ln)'!F$37*Données!Y56</f>
        <v>135815.0275995658</v>
      </c>
      <c r="AA56">
        <f t="shared" si="3"/>
        <v>11184.972400434199</v>
      </c>
    </row>
    <row r="57" spans="1:27" x14ac:dyDescent="0.25">
      <c r="A57">
        <v>130000</v>
      </c>
      <c r="B57">
        <v>1</v>
      </c>
      <c r="C57">
        <v>34</v>
      </c>
      <c r="D57">
        <v>0</v>
      </c>
      <c r="E57">
        <v>144000</v>
      </c>
      <c r="F57">
        <v>2824</v>
      </c>
      <c r="G57">
        <v>1</v>
      </c>
      <c r="H57">
        <v>0</v>
      </c>
      <c r="I57">
        <v>0</v>
      </c>
      <c r="J57">
        <v>28</v>
      </c>
      <c r="K57">
        <v>1</v>
      </c>
      <c r="L57">
        <f>Résultats!G$32+Résultats!G$33*Données!C57+Résultats!G$34*Données!D57+Résultats!G$35*Données!E57+Résultats!G$36*Données!F57+Résultats!G$37*Données!G57+Résultats!G$38*Données!H57+Résultats!G$39*Données!I57</f>
        <v>115346.59957668855</v>
      </c>
      <c r="M57">
        <f t="shared" si="0"/>
        <v>14653.400423311454</v>
      </c>
      <c r="Q57">
        <v>80000</v>
      </c>
      <c r="R57">
        <v>1</v>
      </c>
      <c r="S57">
        <v>25</v>
      </c>
      <c r="T57">
        <v>0</v>
      </c>
      <c r="U57">
        <f t="shared" si="1"/>
        <v>11.522875795823397</v>
      </c>
      <c r="V57">
        <f t="shared" si="2"/>
        <v>8.2120258046234369</v>
      </c>
      <c r="W57">
        <v>0</v>
      </c>
      <c r="X57">
        <v>0</v>
      </c>
      <c r="Y57">
        <v>1</v>
      </c>
      <c r="Z57">
        <f>'Résultat (Ln)'!F$30+'Résultat (Ln)'!F$31*Données!S57+'Résultat (Ln)'!F$32*Données!T57+'Résultat (Ln)'!F$33*Données!U57+'Résultat (Ln)'!F$34*Données!V57+'Résultat (Ln)'!F$35*Données!W57+'Résultat (Ln)'!F$36*Données!X57+'Résultat (Ln)'!F$37*Données!Y57</f>
        <v>80321.901418823953</v>
      </c>
      <c r="AA57">
        <f t="shared" si="3"/>
        <v>-321.90141882395255</v>
      </c>
    </row>
    <row r="58" spans="1:27" x14ac:dyDescent="0.25">
      <c r="A58">
        <v>280000</v>
      </c>
      <c r="B58">
        <v>1</v>
      </c>
      <c r="C58">
        <v>24</v>
      </c>
      <c r="D58">
        <v>0</v>
      </c>
      <c r="E58">
        <v>350000</v>
      </c>
      <c r="F58">
        <v>13633</v>
      </c>
      <c r="G58">
        <v>1</v>
      </c>
      <c r="H58">
        <v>0</v>
      </c>
      <c r="I58">
        <v>0</v>
      </c>
      <c r="J58">
        <v>22</v>
      </c>
      <c r="K58">
        <v>1</v>
      </c>
      <c r="L58">
        <f>Résultats!G$32+Résultats!G$33*Données!C58+Résultats!G$34*Données!D58+Résultats!G$35*Données!E58+Résultats!G$36*Données!F58+Résultats!G$37*Données!G58+Résultats!G$38*Données!H58+Résultats!G$39*Données!I58</f>
        <v>220997.81276852559</v>
      </c>
      <c r="M58">
        <f t="shared" si="0"/>
        <v>59002.187231474411</v>
      </c>
      <c r="Q58">
        <v>130000</v>
      </c>
      <c r="R58">
        <v>1</v>
      </c>
      <c r="S58">
        <v>34</v>
      </c>
      <c r="T58">
        <v>0</v>
      </c>
      <c r="U58">
        <f t="shared" si="1"/>
        <v>11.877568578558138</v>
      </c>
      <c r="V58">
        <f t="shared" si="2"/>
        <v>7.9459095986131327</v>
      </c>
      <c r="W58">
        <v>1</v>
      </c>
      <c r="X58">
        <v>0</v>
      </c>
      <c r="Y58">
        <v>0</v>
      </c>
      <c r="Z58">
        <f>'Résultat (Ln)'!F$30+'Résultat (Ln)'!F$31*Données!S58+'Résultat (Ln)'!F$32*Données!T58+'Résultat (Ln)'!F$33*Données!U58+'Résultat (Ln)'!F$34*Données!V58+'Résultat (Ln)'!F$35*Données!W58+'Résultat (Ln)'!F$36*Données!X58+'Résultat (Ln)'!F$37*Données!Y58</f>
        <v>112305.42383010079</v>
      </c>
      <c r="AA58">
        <f t="shared" si="3"/>
        <v>17694.576169899214</v>
      </c>
    </row>
    <row r="59" spans="1:27" x14ac:dyDescent="0.25">
      <c r="A59">
        <v>175000</v>
      </c>
      <c r="B59">
        <v>1</v>
      </c>
      <c r="C59">
        <v>35.5</v>
      </c>
      <c r="D59">
        <v>0</v>
      </c>
      <c r="E59">
        <v>345000</v>
      </c>
      <c r="F59">
        <v>5000</v>
      </c>
      <c r="G59">
        <v>1</v>
      </c>
      <c r="H59">
        <v>0</v>
      </c>
      <c r="I59">
        <v>1</v>
      </c>
      <c r="J59">
        <v>19.979999542236332</v>
      </c>
      <c r="K59">
        <v>1</v>
      </c>
      <c r="L59">
        <f>Résultats!G$32+Résultats!G$33*Données!C59+Résultats!G$34*Données!D59+Résultats!G$35*Données!E59+Résultats!G$36*Données!F59+Résultats!G$37*Données!G59+Résultats!G$38*Données!H59+Résultats!G$39*Données!I59</f>
        <v>225069.29431341522</v>
      </c>
      <c r="M59">
        <f t="shared" si="0"/>
        <v>-50069.294313415216</v>
      </c>
      <c r="Q59">
        <v>280000</v>
      </c>
      <c r="R59">
        <v>1</v>
      </c>
      <c r="S59">
        <v>24</v>
      </c>
      <c r="T59">
        <v>0</v>
      </c>
      <c r="U59">
        <f t="shared" si="1"/>
        <v>12.765688433465597</v>
      </c>
      <c r="V59">
        <f t="shared" si="2"/>
        <v>9.5202486031861291</v>
      </c>
      <c r="W59">
        <v>1</v>
      </c>
      <c r="X59">
        <v>0</v>
      </c>
      <c r="Y59">
        <v>0</v>
      </c>
      <c r="Z59">
        <f>'Résultat (Ln)'!F$30+'Résultat (Ln)'!F$31*Données!S59+'Résultat (Ln)'!F$32*Données!T59+'Résultat (Ln)'!F$33*Données!U59+'Résultat (Ln)'!F$34*Données!V59+'Résultat (Ln)'!F$35*Données!W59+'Résultat (Ln)'!F$36*Données!X59+'Résultat (Ln)'!F$37*Données!Y59</f>
        <v>239441.11065198717</v>
      </c>
      <c r="AA59">
        <f t="shared" si="3"/>
        <v>40558.889348012832</v>
      </c>
    </row>
    <row r="60" spans="1:27" x14ac:dyDescent="0.25">
      <c r="A60">
        <v>187000</v>
      </c>
      <c r="B60">
        <v>1</v>
      </c>
      <c r="C60">
        <v>24</v>
      </c>
      <c r="D60">
        <v>0</v>
      </c>
      <c r="E60">
        <v>330000</v>
      </c>
      <c r="F60">
        <v>4042</v>
      </c>
      <c r="G60">
        <v>1</v>
      </c>
      <c r="H60">
        <v>0</v>
      </c>
      <c r="I60">
        <v>0</v>
      </c>
      <c r="J60">
        <v>23</v>
      </c>
      <c r="K60">
        <v>1</v>
      </c>
      <c r="L60">
        <f>Résultats!G$32+Résultats!G$33*Données!C60+Résultats!G$34*Données!D60+Résultats!G$35*Données!E60+Résultats!G$36*Données!F60+Résultats!G$37*Données!G60+Résultats!G$38*Données!H60+Résultats!G$39*Données!I60</f>
        <v>193073.42877010914</v>
      </c>
      <c r="M60">
        <f t="shared" si="0"/>
        <v>-6073.428770109138</v>
      </c>
      <c r="Q60">
        <v>175000</v>
      </c>
      <c r="R60">
        <v>1</v>
      </c>
      <c r="S60">
        <v>35.5</v>
      </c>
      <c r="T60">
        <v>0</v>
      </c>
      <c r="U60">
        <f t="shared" si="1"/>
        <v>12.751299696013497</v>
      </c>
      <c r="V60">
        <f t="shared" si="2"/>
        <v>8.5171931914162382</v>
      </c>
      <c r="W60">
        <v>1</v>
      </c>
      <c r="X60">
        <v>0</v>
      </c>
      <c r="Y60">
        <v>1</v>
      </c>
      <c r="Z60">
        <f>'Résultat (Ln)'!F$30+'Résultat (Ln)'!F$31*Données!S60+'Résultat (Ln)'!F$32*Données!T60+'Résultat (Ln)'!F$33*Données!U60+'Résultat (Ln)'!F$34*Données!V60+'Résultat (Ln)'!F$35*Données!W60+'Résultat (Ln)'!F$36*Données!X60+'Résultat (Ln)'!F$37*Données!Y60</f>
        <v>237907.61953239993</v>
      </c>
      <c r="AA60">
        <f t="shared" si="3"/>
        <v>-62907.619532399927</v>
      </c>
    </row>
    <row r="61" spans="1:27" x14ac:dyDescent="0.25">
      <c r="A61">
        <v>310000</v>
      </c>
      <c r="B61">
        <v>1</v>
      </c>
      <c r="C61">
        <v>23.5</v>
      </c>
      <c r="D61">
        <v>0</v>
      </c>
      <c r="E61">
        <v>457000</v>
      </c>
      <c r="F61">
        <v>13567</v>
      </c>
      <c r="G61">
        <v>1</v>
      </c>
      <c r="H61">
        <v>0</v>
      </c>
      <c r="I61">
        <v>1</v>
      </c>
      <c r="J61">
        <v>22.60000038146973</v>
      </c>
      <c r="K61">
        <v>1</v>
      </c>
      <c r="L61">
        <f>Résultats!G$32+Résultats!G$33*Données!C61+Résultats!G$34*Données!D61+Résultats!G$35*Données!E61+Résultats!G$36*Données!F61+Résultats!G$37*Données!G61+Résultats!G$38*Données!H61+Résultats!G$39*Données!I61</f>
        <v>280185.04021776596</v>
      </c>
      <c r="M61">
        <f t="shared" si="0"/>
        <v>29814.959782234044</v>
      </c>
      <c r="Q61">
        <v>187000</v>
      </c>
      <c r="R61">
        <v>1</v>
      </c>
      <c r="S61">
        <v>24</v>
      </c>
      <c r="T61">
        <v>0</v>
      </c>
      <c r="U61">
        <f t="shared" si="1"/>
        <v>12.706847933442663</v>
      </c>
      <c r="V61">
        <f t="shared" si="2"/>
        <v>8.3044948979635667</v>
      </c>
      <c r="W61">
        <v>1</v>
      </c>
      <c r="X61">
        <v>0</v>
      </c>
      <c r="Y61">
        <v>0</v>
      </c>
      <c r="Z61">
        <f>'Résultat (Ln)'!F$30+'Résultat (Ln)'!F$31*Données!S61+'Résultat (Ln)'!F$32*Données!T61+'Résultat (Ln)'!F$33*Données!U61+'Résultat (Ln)'!F$34*Données!V61+'Résultat (Ln)'!F$35*Données!W61+'Résultat (Ln)'!F$36*Données!X61+'Résultat (Ln)'!F$37*Données!Y61</f>
        <v>199036.89331253117</v>
      </c>
      <c r="AA61">
        <f t="shared" si="3"/>
        <v>-12036.893312531174</v>
      </c>
    </row>
    <row r="62" spans="1:27" x14ac:dyDescent="0.25">
      <c r="A62">
        <v>345000</v>
      </c>
      <c r="B62">
        <v>1</v>
      </c>
      <c r="C62">
        <v>23</v>
      </c>
      <c r="D62">
        <v>0</v>
      </c>
      <c r="E62">
        <v>388000</v>
      </c>
      <c r="F62">
        <v>12579</v>
      </c>
      <c r="G62">
        <v>1</v>
      </c>
      <c r="H62">
        <v>0</v>
      </c>
      <c r="I62">
        <v>0</v>
      </c>
      <c r="J62">
        <v>19</v>
      </c>
      <c r="K62">
        <v>0</v>
      </c>
      <c r="L62">
        <f>Résultats!G$32+Résultats!G$33*Données!C62+Résultats!G$34*Données!D62+Résultats!G$35*Données!E62+Résultats!G$36*Données!F62+Résultats!G$37*Données!G62+Résultats!G$38*Données!H62+Résultats!G$39*Données!I62</f>
        <v>235550.9387154608</v>
      </c>
      <c r="M62">
        <f t="shared" si="0"/>
        <v>109449.0612845392</v>
      </c>
      <c r="Q62">
        <v>310000</v>
      </c>
      <c r="R62">
        <v>1</v>
      </c>
      <c r="S62">
        <v>23.5</v>
      </c>
      <c r="T62">
        <v>0</v>
      </c>
      <c r="U62">
        <f t="shared" si="1"/>
        <v>13.032438669876342</v>
      </c>
      <c r="V62">
        <f t="shared" si="2"/>
        <v>9.5153956524853083</v>
      </c>
      <c r="W62">
        <v>1</v>
      </c>
      <c r="X62">
        <v>0</v>
      </c>
      <c r="Y62">
        <v>1</v>
      </c>
      <c r="Z62">
        <f>'Résultat (Ln)'!F$30+'Résultat (Ln)'!F$31*Données!S62+'Résultat (Ln)'!F$32*Données!T62+'Résultat (Ln)'!F$33*Données!U62+'Résultat (Ln)'!F$34*Données!V62+'Résultat (Ln)'!F$35*Données!W62+'Résultat (Ln)'!F$36*Données!X62+'Résultat (Ln)'!F$37*Données!Y62</f>
        <v>281375.35891363013</v>
      </c>
      <c r="AA62">
        <f t="shared" si="3"/>
        <v>28624.641086369869</v>
      </c>
    </row>
    <row r="63" spans="1:27" x14ac:dyDescent="0.25">
      <c r="A63">
        <v>90000</v>
      </c>
      <c r="B63">
        <v>1</v>
      </c>
      <c r="C63">
        <v>28</v>
      </c>
      <c r="D63">
        <v>0</v>
      </c>
      <c r="E63">
        <v>145000</v>
      </c>
      <c r="F63">
        <v>3333</v>
      </c>
      <c r="G63">
        <v>0</v>
      </c>
      <c r="H63">
        <v>0</v>
      </c>
      <c r="I63">
        <v>1</v>
      </c>
      <c r="J63">
        <v>28</v>
      </c>
      <c r="K63">
        <v>1</v>
      </c>
      <c r="L63">
        <f>Résultats!G$32+Résultats!G$33*Données!C63+Résultats!G$34*Données!D63+Résultats!G$35*Données!E63+Résultats!G$36*Données!F63+Résultats!G$37*Données!G63+Résultats!G$38*Données!H63+Résultats!G$39*Données!I63</f>
        <v>112816.70271574463</v>
      </c>
      <c r="M63">
        <f t="shared" si="0"/>
        <v>-22816.702715744628</v>
      </c>
      <c r="Q63">
        <v>345000</v>
      </c>
      <c r="R63">
        <v>1</v>
      </c>
      <c r="S63">
        <v>23</v>
      </c>
      <c r="T63">
        <v>0</v>
      </c>
      <c r="U63">
        <f t="shared" si="1"/>
        <v>12.86876061860541</v>
      </c>
      <c r="V63">
        <f t="shared" si="2"/>
        <v>9.4397840358388727</v>
      </c>
      <c r="W63">
        <v>1</v>
      </c>
      <c r="X63">
        <v>0</v>
      </c>
      <c r="Y63">
        <v>0</v>
      </c>
      <c r="Z63">
        <f>'Résultat (Ln)'!F$30+'Résultat (Ln)'!F$31*Données!S63+'Résultat (Ln)'!F$32*Données!T63+'Résultat (Ln)'!F$33*Données!U63+'Résultat (Ln)'!F$34*Données!V63+'Résultat (Ln)'!F$35*Données!W63+'Résultat (Ln)'!F$36*Données!X63+'Résultat (Ln)'!F$37*Données!Y63</f>
        <v>247011.25835723415</v>
      </c>
      <c r="AA63">
        <f t="shared" si="3"/>
        <v>97988.741642765846</v>
      </c>
    </row>
    <row r="64" spans="1:27" x14ac:dyDescent="0.25">
      <c r="A64">
        <v>115000</v>
      </c>
      <c r="B64">
        <v>1</v>
      </c>
      <c r="C64">
        <v>29</v>
      </c>
      <c r="D64">
        <v>0</v>
      </c>
      <c r="E64">
        <v>165000</v>
      </c>
      <c r="F64">
        <v>4333</v>
      </c>
      <c r="G64">
        <v>0</v>
      </c>
      <c r="H64">
        <v>0</v>
      </c>
      <c r="I64">
        <v>0</v>
      </c>
      <c r="J64">
        <v>28</v>
      </c>
      <c r="K64">
        <v>1</v>
      </c>
      <c r="L64">
        <f>Résultats!G$32+Résultats!G$33*Données!C64+Résultats!G$34*Données!D64+Résultats!G$35*Données!E64+Résultats!G$36*Données!F64+Résultats!G$37*Données!G64+Résultats!G$38*Données!H64+Résultats!G$39*Données!I64</f>
        <v>115316.76897710179</v>
      </c>
      <c r="M64">
        <f t="shared" si="0"/>
        <v>-316.76897710179037</v>
      </c>
      <c r="Q64">
        <v>90000</v>
      </c>
      <c r="R64">
        <v>1</v>
      </c>
      <c r="S64">
        <v>28</v>
      </c>
      <c r="T64">
        <v>0</v>
      </c>
      <c r="U64">
        <f t="shared" si="1"/>
        <v>11.884489021402711</v>
      </c>
      <c r="V64">
        <f t="shared" si="2"/>
        <v>8.1116280783077404</v>
      </c>
      <c r="W64">
        <v>0</v>
      </c>
      <c r="X64">
        <v>0</v>
      </c>
      <c r="Y64">
        <v>1</v>
      </c>
      <c r="Z64">
        <f>'Résultat (Ln)'!F$30+'Résultat (Ln)'!F$31*Données!S64+'Résultat (Ln)'!F$32*Données!T64+'Résultat (Ln)'!F$33*Données!U64+'Résultat (Ln)'!F$34*Données!V64+'Résultat (Ln)'!F$35*Données!W64+'Résultat (Ln)'!F$36*Données!X64+'Résultat (Ln)'!F$37*Données!Y64</f>
        <v>119935.62501864697</v>
      </c>
      <c r="AA64">
        <f t="shared" si="3"/>
        <v>-29935.62501864697</v>
      </c>
    </row>
    <row r="65" spans="1:27" x14ac:dyDescent="0.25">
      <c r="A65">
        <v>191000</v>
      </c>
      <c r="B65">
        <v>1</v>
      </c>
      <c r="C65">
        <v>37</v>
      </c>
      <c r="D65">
        <v>0</v>
      </c>
      <c r="E65">
        <v>410000</v>
      </c>
      <c r="F65">
        <v>9560</v>
      </c>
      <c r="G65">
        <v>1</v>
      </c>
      <c r="H65">
        <v>0</v>
      </c>
      <c r="I65">
        <v>0</v>
      </c>
      <c r="J65">
        <v>30</v>
      </c>
      <c r="K65">
        <v>1</v>
      </c>
      <c r="L65">
        <f>Résultats!G$32+Résultats!G$33*Données!C65+Résultats!G$34*Données!D65+Résultats!G$35*Données!E65+Résultats!G$36*Données!F65+Résultats!G$37*Données!G65+Résultats!G$38*Données!H65+Résultats!G$39*Données!I65</f>
        <v>256055.11587668987</v>
      </c>
      <c r="M65">
        <f t="shared" si="0"/>
        <v>-65055.115876689873</v>
      </c>
      <c r="Q65">
        <v>115000</v>
      </c>
      <c r="R65">
        <v>1</v>
      </c>
      <c r="S65">
        <v>29</v>
      </c>
      <c r="T65">
        <v>0</v>
      </c>
      <c r="U65">
        <f t="shared" si="1"/>
        <v>12.013700752882718</v>
      </c>
      <c r="V65">
        <f t="shared" si="2"/>
        <v>8.3740154217399088</v>
      </c>
      <c r="W65">
        <v>0</v>
      </c>
      <c r="X65">
        <v>0</v>
      </c>
      <c r="Y65">
        <v>0</v>
      </c>
      <c r="Z65">
        <f>'Résultat (Ln)'!F$30+'Résultat (Ln)'!F$31*Données!S65+'Résultat (Ln)'!F$32*Données!T65+'Résultat (Ln)'!F$33*Données!U65+'Résultat (Ln)'!F$34*Données!V65+'Résultat (Ln)'!F$35*Données!W65+'Résultat (Ln)'!F$36*Données!X65+'Résultat (Ln)'!F$37*Données!Y65</f>
        <v>128280.5208967278</v>
      </c>
      <c r="AA65">
        <f t="shared" si="3"/>
        <v>-13280.520896727801</v>
      </c>
    </row>
    <row r="66" spans="1:27" x14ac:dyDescent="0.25">
      <c r="A66">
        <v>123000</v>
      </c>
      <c r="B66">
        <v>1</v>
      </c>
      <c r="C66">
        <v>42</v>
      </c>
      <c r="D66">
        <v>1</v>
      </c>
      <c r="E66">
        <v>136000</v>
      </c>
      <c r="F66">
        <v>2400</v>
      </c>
      <c r="G66">
        <v>0</v>
      </c>
      <c r="H66">
        <v>0</v>
      </c>
      <c r="I66">
        <v>1</v>
      </c>
      <c r="J66">
        <v>30</v>
      </c>
      <c r="K66">
        <v>1</v>
      </c>
      <c r="L66">
        <f>Résultats!G$32+Résultats!G$33*Données!C66+Résultats!G$34*Données!D66+Résultats!G$35*Données!E66+Résultats!G$36*Données!F66+Résultats!G$37*Données!G66+Résultats!G$38*Données!H66+Résultats!G$39*Données!I66</f>
        <v>127735.80170837969</v>
      </c>
      <c r="M66">
        <f t="shared" si="0"/>
        <v>-4735.8017083796876</v>
      </c>
      <c r="Q66">
        <v>191000</v>
      </c>
      <c r="R66">
        <v>1</v>
      </c>
      <c r="S66">
        <v>37</v>
      </c>
      <c r="T66">
        <v>0</v>
      </c>
      <c r="U66">
        <f t="shared" si="1"/>
        <v>12.923912438680491</v>
      </c>
      <c r="V66">
        <f t="shared" si="2"/>
        <v>9.1653430060454468</v>
      </c>
      <c r="W66">
        <v>1</v>
      </c>
      <c r="X66">
        <v>0</v>
      </c>
      <c r="Y66">
        <v>0</v>
      </c>
      <c r="Z66">
        <f>'Résultat (Ln)'!F$30+'Résultat (Ln)'!F$31*Données!S66+'Résultat (Ln)'!F$32*Données!T66+'Résultat (Ln)'!F$33*Données!U66+'Résultat (Ln)'!F$34*Données!V66+'Résultat (Ln)'!F$35*Données!W66+'Résultat (Ln)'!F$36*Données!X66+'Résultat (Ln)'!F$37*Données!Y66</f>
        <v>262334.94624031329</v>
      </c>
      <c r="AA66">
        <f t="shared" si="3"/>
        <v>-71334.946240313293</v>
      </c>
    </row>
    <row r="67" spans="1:27" x14ac:dyDescent="0.25">
      <c r="A67">
        <v>122000</v>
      </c>
      <c r="B67">
        <v>1</v>
      </c>
      <c r="C67">
        <v>40</v>
      </c>
      <c r="D67">
        <v>0</v>
      </c>
      <c r="E67">
        <v>138000</v>
      </c>
      <c r="F67">
        <v>2799</v>
      </c>
      <c r="G67">
        <v>1</v>
      </c>
      <c r="H67">
        <v>0</v>
      </c>
      <c r="I67">
        <v>0</v>
      </c>
      <c r="J67">
        <v>27</v>
      </c>
      <c r="K67">
        <v>1</v>
      </c>
      <c r="L67">
        <f>Résultats!G$32+Résultats!G$33*Données!C67+Résultats!G$34*Données!D67+Résultats!G$35*Données!E67+Résultats!G$36*Données!F67+Résultats!G$37*Données!G67+Résultats!G$38*Données!H67+Résultats!G$39*Données!I67</f>
        <v>119388.45755521533</v>
      </c>
      <c r="M67">
        <f t="shared" ref="M67:M130" si="4">A67-L67</f>
        <v>2611.5424447846744</v>
      </c>
      <c r="Q67">
        <v>123000</v>
      </c>
      <c r="R67">
        <v>1</v>
      </c>
      <c r="S67">
        <v>42</v>
      </c>
      <c r="T67">
        <v>1</v>
      </c>
      <c r="U67">
        <f t="shared" si="1"/>
        <v>11.820410164718188</v>
      </c>
      <c r="V67">
        <f t="shared" si="2"/>
        <v>7.7832240163360371</v>
      </c>
      <c r="W67">
        <v>0</v>
      </c>
      <c r="X67">
        <v>0</v>
      </c>
      <c r="Y67">
        <v>1</v>
      </c>
      <c r="Z67">
        <f>'Résultat (Ln)'!F$30+'Résultat (Ln)'!F$31*Données!S67+'Résultat (Ln)'!F$32*Données!T67+'Résultat (Ln)'!F$33*Données!U67+'Résultat (Ln)'!F$34*Données!V67+'Résultat (Ln)'!F$35*Données!W67+'Résultat (Ln)'!F$36*Données!X67+'Résultat (Ln)'!F$37*Données!Y67</f>
        <v>125313.68894857925</v>
      </c>
      <c r="AA67">
        <f t="shared" si="3"/>
        <v>-2313.688948579249</v>
      </c>
    </row>
    <row r="68" spans="1:27" x14ac:dyDescent="0.25">
      <c r="A68">
        <v>68000</v>
      </c>
      <c r="B68">
        <v>1</v>
      </c>
      <c r="C68">
        <v>25</v>
      </c>
      <c r="D68">
        <v>0</v>
      </c>
      <c r="E68">
        <v>135000</v>
      </c>
      <c r="F68">
        <v>2887</v>
      </c>
      <c r="G68">
        <v>0</v>
      </c>
      <c r="H68">
        <v>0</v>
      </c>
      <c r="I68">
        <v>0</v>
      </c>
      <c r="J68">
        <v>25</v>
      </c>
      <c r="K68">
        <v>1</v>
      </c>
      <c r="L68">
        <f>Résultats!G$32+Résultats!G$33*Données!C68+Résultats!G$34*Données!D68+Résultats!G$35*Données!E68+Résultats!G$36*Données!F68+Résultats!G$37*Données!G68+Résultats!G$38*Données!H68+Résultats!G$39*Données!I68</f>
        <v>93911.448869569329</v>
      </c>
      <c r="M68">
        <f t="shared" si="4"/>
        <v>-25911.448869569329</v>
      </c>
      <c r="Q68">
        <v>122000</v>
      </c>
      <c r="R68">
        <v>1</v>
      </c>
      <c r="S68">
        <v>40</v>
      </c>
      <c r="T68">
        <v>0</v>
      </c>
      <c r="U68">
        <f t="shared" ref="U68:U131" si="5">LN(E67)</f>
        <v>11.835008964139341</v>
      </c>
      <c r="V68">
        <f t="shared" ref="V68:V131" si="6">LN(F67)</f>
        <v>7.9370174895154539</v>
      </c>
      <c r="W68">
        <v>1</v>
      </c>
      <c r="X68">
        <v>0</v>
      </c>
      <c r="Y68">
        <v>0</v>
      </c>
      <c r="Z68">
        <f>'Résultat (Ln)'!F$30+'Résultat (Ln)'!F$31*Données!S68+'Résultat (Ln)'!F$32*Données!T68+'Résultat (Ln)'!F$33*Données!U68+'Résultat (Ln)'!F$34*Données!V68+'Résultat (Ln)'!F$35*Données!W68+'Résultat (Ln)'!F$36*Données!X68+'Résultat (Ln)'!F$37*Données!Y68</f>
        <v>114826.08142410456</v>
      </c>
      <c r="AA68">
        <f t="shared" ref="AA68:AA131" si="7">Q68-Z68</f>
        <v>7173.9185758954409</v>
      </c>
    </row>
    <row r="69" spans="1:27" x14ac:dyDescent="0.25">
      <c r="A69">
        <v>128000</v>
      </c>
      <c r="B69">
        <v>1</v>
      </c>
      <c r="C69">
        <v>22</v>
      </c>
      <c r="D69">
        <v>1</v>
      </c>
      <c r="E69">
        <v>160000</v>
      </c>
      <c r="F69">
        <v>2202</v>
      </c>
      <c r="G69">
        <v>1</v>
      </c>
      <c r="H69">
        <v>0</v>
      </c>
      <c r="I69">
        <v>0</v>
      </c>
      <c r="J69">
        <v>19</v>
      </c>
      <c r="K69">
        <v>1</v>
      </c>
      <c r="L69">
        <f>Résultats!G$32+Résultats!G$33*Données!C69+Résultats!G$34*Données!D69+Résultats!G$35*Données!E69+Résultats!G$36*Données!F69+Résultats!G$37*Données!G69+Résultats!G$38*Données!H69+Résultats!G$39*Données!I69</f>
        <v>112676.75229982809</v>
      </c>
      <c r="M69">
        <f t="shared" si="4"/>
        <v>15323.247700171909</v>
      </c>
      <c r="Q69">
        <v>68000</v>
      </c>
      <c r="R69">
        <v>1</v>
      </c>
      <c r="S69">
        <v>25</v>
      </c>
      <c r="T69">
        <v>0</v>
      </c>
      <c r="U69">
        <f t="shared" si="5"/>
        <v>11.813030057420567</v>
      </c>
      <c r="V69">
        <f t="shared" si="6"/>
        <v>7.9679731796629349</v>
      </c>
      <c r="W69">
        <v>0</v>
      </c>
      <c r="X69">
        <v>0</v>
      </c>
      <c r="Y69">
        <v>0</v>
      </c>
      <c r="Z69">
        <f>'Résultat (Ln)'!F$30+'Résultat (Ln)'!F$31*Données!S69+'Résultat (Ln)'!F$32*Données!T69+'Résultat (Ln)'!F$33*Données!U69+'Résultat (Ln)'!F$34*Données!V69+'Résultat (Ln)'!F$35*Données!W69+'Résultat (Ln)'!F$36*Données!X69+'Résultat (Ln)'!F$37*Données!Y69</f>
        <v>90493.571538285119</v>
      </c>
      <c r="AA69">
        <f t="shared" si="7"/>
        <v>-22493.571538285119</v>
      </c>
    </row>
    <row r="70" spans="1:27" x14ac:dyDescent="0.25">
      <c r="A70">
        <v>134000</v>
      </c>
      <c r="B70">
        <v>1</v>
      </c>
      <c r="C70">
        <v>36</v>
      </c>
      <c r="D70">
        <v>0</v>
      </c>
      <c r="E70">
        <v>154000</v>
      </c>
      <c r="F70">
        <v>2773</v>
      </c>
      <c r="G70">
        <v>0</v>
      </c>
      <c r="H70">
        <v>0</v>
      </c>
      <c r="I70">
        <v>0</v>
      </c>
      <c r="J70">
        <v>31</v>
      </c>
      <c r="K70">
        <v>1</v>
      </c>
      <c r="L70">
        <f>Résultats!G$32+Résultats!G$33*Données!C70+Résultats!G$34*Données!D70+Résultats!G$35*Données!E70+Résultats!G$36*Données!F70+Résultats!G$37*Données!G70+Résultats!G$38*Données!H70+Résultats!G$39*Données!I70</f>
        <v>115198.02738494803</v>
      </c>
      <c r="M70">
        <f t="shared" si="4"/>
        <v>18801.972615051971</v>
      </c>
      <c r="Q70">
        <v>128000</v>
      </c>
      <c r="R70">
        <v>1</v>
      </c>
      <c r="S70">
        <v>22</v>
      </c>
      <c r="T70">
        <v>1</v>
      </c>
      <c r="U70">
        <f t="shared" si="5"/>
        <v>11.982929094215963</v>
      </c>
      <c r="V70">
        <f t="shared" si="6"/>
        <v>7.6971213172826252</v>
      </c>
      <c r="W70">
        <v>1</v>
      </c>
      <c r="X70">
        <v>0</v>
      </c>
      <c r="Y70">
        <v>0</v>
      </c>
      <c r="Z70">
        <f>'Résultat (Ln)'!F$30+'Résultat (Ln)'!F$31*Données!S70+'Résultat (Ln)'!F$32*Données!T70+'Résultat (Ln)'!F$33*Données!U70+'Résultat (Ln)'!F$34*Données!V70+'Résultat (Ln)'!F$35*Données!W70+'Résultat (Ln)'!F$36*Données!X70+'Résultat (Ln)'!F$37*Données!Y70</f>
        <v>106306.45973407068</v>
      </c>
      <c r="AA70">
        <f t="shared" si="7"/>
        <v>21693.540265929318</v>
      </c>
    </row>
    <row r="71" spans="1:27" x14ac:dyDescent="0.25">
      <c r="A71">
        <v>72000</v>
      </c>
      <c r="B71">
        <v>1</v>
      </c>
      <c r="C71">
        <v>28</v>
      </c>
      <c r="D71">
        <v>0</v>
      </c>
      <c r="E71">
        <v>96000</v>
      </c>
      <c r="F71">
        <v>2925</v>
      </c>
      <c r="G71">
        <v>1</v>
      </c>
      <c r="H71">
        <v>0</v>
      </c>
      <c r="I71">
        <v>0</v>
      </c>
      <c r="J71">
        <v>27</v>
      </c>
      <c r="K71">
        <v>0</v>
      </c>
      <c r="L71">
        <f>Résultats!G$32+Résultats!G$33*Données!C71+Résultats!G$34*Données!D71+Résultats!G$35*Données!E71+Résultats!G$36*Données!F71+Résultats!G$37*Données!G71+Résultats!G$38*Données!H71+Résultats!G$39*Données!I71</f>
        <v>86236.536929637718</v>
      </c>
      <c r="M71">
        <f t="shared" si="4"/>
        <v>-14236.536929637718</v>
      </c>
      <c r="Q71">
        <v>134000</v>
      </c>
      <c r="R71">
        <v>1</v>
      </c>
      <c r="S71">
        <v>36</v>
      </c>
      <c r="T71">
        <v>0</v>
      </c>
      <c r="U71">
        <f t="shared" si="5"/>
        <v>11.944707881395766</v>
      </c>
      <c r="V71">
        <f t="shared" si="6"/>
        <v>7.9276850456157781</v>
      </c>
      <c r="W71">
        <v>0</v>
      </c>
      <c r="X71">
        <v>0</v>
      </c>
      <c r="Y71">
        <v>0</v>
      </c>
      <c r="Z71">
        <f>'Résultat (Ln)'!F$30+'Résultat (Ln)'!F$31*Données!S71+'Résultat (Ln)'!F$32*Données!T71+'Résultat (Ln)'!F$33*Données!U71+'Résultat (Ln)'!F$34*Données!V71+'Résultat (Ln)'!F$35*Données!W71+'Résultat (Ln)'!F$36*Données!X71+'Résultat (Ln)'!F$37*Données!Y71</f>
        <v>116921.38846136481</v>
      </c>
      <c r="AA71">
        <f t="shared" si="7"/>
        <v>17078.611538635188</v>
      </c>
    </row>
    <row r="72" spans="1:27" x14ac:dyDescent="0.25">
      <c r="A72">
        <v>110000</v>
      </c>
      <c r="B72">
        <v>1</v>
      </c>
      <c r="C72">
        <v>21.89999961853027</v>
      </c>
      <c r="D72">
        <v>0</v>
      </c>
      <c r="E72">
        <v>141000</v>
      </c>
      <c r="F72">
        <v>4226</v>
      </c>
      <c r="G72">
        <v>1</v>
      </c>
      <c r="H72">
        <v>0</v>
      </c>
      <c r="I72">
        <v>0</v>
      </c>
      <c r="J72">
        <v>21</v>
      </c>
      <c r="K72">
        <v>1</v>
      </c>
      <c r="L72">
        <f>Résultats!G$32+Résultats!G$33*Données!C72+Résultats!G$34*Données!D72+Résultats!G$35*Données!E72+Résultats!G$36*Données!F72+Résultats!G$37*Données!G72+Résultats!G$38*Données!H72+Résultats!G$39*Données!I72</f>
        <v>102763.60563195279</v>
      </c>
      <c r="M72">
        <f t="shared" si="4"/>
        <v>7236.3943680472148</v>
      </c>
      <c r="Q72">
        <v>72000</v>
      </c>
      <c r="R72">
        <v>1</v>
      </c>
      <c r="S72">
        <v>28</v>
      </c>
      <c r="T72">
        <v>0</v>
      </c>
      <c r="U72">
        <f t="shared" si="5"/>
        <v>11.472103470449973</v>
      </c>
      <c r="V72">
        <f t="shared" si="6"/>
        <v>7.9810497596659573</v>
      </c>
      <c r="W72">
        <v>1</v>
      </c>
      <c r="X72">
        <v>0</v>
      </c>
      <c r="Y72">
        <v>0</v>
      </c>
      <c r="Z72">
        <f>'Résultat (Ln)'!F$30+'Résultat (Ln)'!F$31*Données!S72+'Résultat (Ln)'!F$32*Données!T72+'Résultat (Ln)'!F$33*Données!U72+'Résultat (Ln)'!F$34*Données!V72+'Résultat (Ln)'!F$35*Données!W72+'Résultat (Ln)'!F$36*Données!X72+'Résultat (Ln)'!F$37*Données!Y72</f>
        <v>62494.649777548206</v>
      </c>
      <c r="AA72">
        <f t="shared" si="7"/>
        <v>9505.3502224517943</v>
      </c>
    </row>
    <row r="73" spans="1:27" x14ac:dyDescent="0.25">
      <c r="A73">
        <v>138000</v>
      </c>
      <c r="B73">
        <v>1</v>
      </c>
      <c r="C73">
        <v>29.39999961853027</v>
      </c>
      <c r="D73">
        <v>0</v>
      </c>
      <c r="E73">
        <v>153000</v>
      </c>
      <c r="F73">
        <v>2988</v>
      </c>
      <c r="G73">
        <v>1</v>
      </c>
      <c r="H73">
        <v>0</v>
      </c>
      <c r="I73">
        <v>0</v>
      </c>
      <c r="J73">
        <v>25.29999923706055</v>
      </c>
      <c r="K73">
        <v>0</v>
      </c>
      <c r="L73">
        <f>Résultats!G$32+Résultats!G$33*Données!C73+Résultats!G$34*Données!D73+Résultats!G$35*Données!E73+Résultats!G$36*Données!F73+Résultats!G$37*Données!G73+Résultats!G$38*Données!H73+Résultats!G$39*Données!I73</f>
        <v>114583.09194060152</v>
      </c>
      <c r="M73">
        <f t="shared" si="4"/>
        <v>23416.908059398484</v>
      </c>
      <c r="Q73">
        <v>110000</v>
      </c>
      <c r="R73">
        <v>1</v>
      </c>
      <c r="S73">
        <v>21.89999961853027</v>
      </c>
      <c r="T73">
        <v>0</v>
      </c>
      <c r="U73">
        <f t="shared" si="5"/>
        <v>11.856515169360305</v>
      </c>
      <c r="V73">
        <f t="shared" si="6"/>
        <v>8.3490111981760027</v>
      </c>
      <c r="W73">
        <v>1</v>
      </c>
      <c r="X73">
        <v>0</v>
      </c>
      <c r="Y73">
        <v>0</v>
      </c>
      <c r="Z73">
        <f>'Résultat (Ln)'!F$30+'Résultat (Ln)'!F$31*Données!S73+'Résultat (Ln)'!F$32*Données!T73+'Résultat (Ln)'!F$33*Données!U73+'Résultat (Ln)'!F$34*Données!V73+'Résultat (Ln)'!F$35*Données!W73+'Résultat (Ln)'!F$36*Données!X73+'Résultat (Ln)'!F$37*Données!Y73</f>
        <v>106567.19948172067</v>
      </c>
      <c r="AA73">
        <f t="shared" si="7"/>
        <v>3432.8005182793277</v>
      </c>
    </row>
    <row r="74" spans="1:27" x14ac:dyDescent="0.25">
      <c r="A74">
        <v>248000</v>
      </c>
      <c r="B74">
        <v>1</v>
      </c>
      <c r="C74">
        <v>39.700000762939453</v>
      </c>
      <c r="D74">
        <v>0</v>
      </c>
      <c r="E74">
        <v>295000</v>
      </c>
      <c r="F74">
        <v>5399</v>
      </c>
      <c r="G74">
        <v>1</v>
      </c>
      <c r="H74">
        <v>0</v>
      </c>
      <c r="I74">
        <v>1</v>
      </c>
      <c r="J74">
        <v>27.739999771118161</v>
      </c>
      <c r="K74">
        <v>1</v>
      </c>
      <c r="L74">
        <f>Résultats!G$32+Résultats!G$33*Données!C74+Résultats!G$34*Données!D74+Résultats!G$35*Données!E74+Résultats!G$36*Données!F74+Résultats!G$37*Données!G74+Résultats!G$38*Données!H74+Résultats!G$39*Données!I74</f>
        <v>207319.22450738124</v>
      </c>
      <c r="M74">
        <f t="shared" si="4"/>
        <v>40680.775492618763</v>
      </c>
      <c r="Q74">
        <v>138000</v>
      </c>
      <c r="R74">
        <v>1</v>
      </c>
      <c r="S74">
        <v>29.39999961853027</v>
      </c>
      <c r="T74">
        <v>0</v>
      </c>
      <c r="U74">
        <f t="shared" si="5"/>
        <v>11.938193200374572</v>
      </c>
      <c r="V74">
        <f t="shared" si="6"/>
        <v>8.0023595462527073</v>
      </c>
      <c r="W74">
        <v>1</v>
      </c>
      <c r="X74">
        <v>0</v>
      </c>
      <c r="Y74">
        <v>0</v>
      </c>
      <c r="Z74">
        <f>'Résultat (Ln)'!F$30+'Résultat (Ln)'!F$31*Données!S74+'Résultat (Ln)'!F$32*Données!T74+'Résultat (Ln)'!F$33*Données!U74+'Résultat (Ln)'!F$34*Données!V74+'Résultat (Ln)'!F$35*Données!W74+'Résultat (Ln)'!F$36*Données!X74+'Résultat (Ln)'!F$37*Données!Y74</f>
        <v>114765.90911670077</v>
      </c>
      <c r="AA74">
        <f t="shared" si="7"/>
        <v>23234.090883299228</v>
      </c>
    </row>
    <row r="75" spans="1:27" x14ac:dyDescent="0.25">
      <c r="A75">
        <v>99000</v>
      </c>
      <c r="B75">
        <v>1</v>
      </c>
      <c r="C75">
        <v>29.79999923706055</v>
      </c>
      <c r="D75">
        <v>0</v>
      </c>
      <c r="E75">
        <v>110000</v>
      </c>
      <c r="F75">
        <v>4194</v>
      </c>
      <c r="G75">
        <v>1</v>
      </c>
      <c r="H75">
        <v>0</v>
      </c>
      <c r="I75">
        <v>0</v>
      </c>
      <c r="J75">
        <v>19.89999961853027</v>
      </c>
      <c r="K75">
        <v>1</v>
      </c>
      <c r="L75">
        <f>Résultats!G$32+Résultats!G$33*Données!C75+Résultats!G$34*Données!D75+Résultats!G$35*Données!E75+Résultats!G$36*Données!F75+Résultats!G$37*Données!G75+Résultats!G$38*Données!H75+Résultats!G$39*Données!I75</f>
        <v>97300.540664244516</v>
      </c>
      <c r="M75">
        <f t="shared" si="4"/>
        <v>1699.4593357554841</v>
      </c>
      <c r="Q75">
        <v>248000</v>
      </c>
      <c r="R75">
        <v>1</v>
      </c>
      <c r="S75">
        <v>39.700000762939453</v>
      </c>
      <c r="T75">
        <v>0</v>
      </c>
      <c r="U75">
        <f t="shared" si="5"/>
        <v>12.594730635321957</v>
      </c>
      <c r="V75">
        <f t="shared" si="6"/>
        <v>8.5939690302182878</v>
      </c>
      <c r="W75">
        <v>1</v>
      </c>
      <c r="X75">
        <v>0</v>
      </c>
      <c r="Y75">
        <v>1</v>
      </c>
      <c r="Z75">
        <f>'Résultat (Ln)'!F$30+'Résultat (Ln)'!F$31*Données!S75+'Résultat (Ln)'!F$32*Données!T75+'Résultat (Ln)'!F$33*Données!U75+'Résultat (Ln)'!F$34*Données!V75+'Résultat (Ln)'!F$35*Données!W75+'Résultat (Ln)'!F$36*Données!X75+'Résultat (Ln)'!F$37*Données!Y75</f>
        <v>228409.92267031097</v>
      </c>
      <c r="AA75">
        <f t="shared" si="7"/>
        <v>19590.077329689026</v>
      </c>
    </row>
    <row r="76" spans="1:27" x14ac:dyDescent="0.25">
      <c r="A76">
        <v>187000</v>
      </c>
      <c r="B76">
        <v>1</v>
      </c>
      <c r="C76">
        <v>35.700000762939453</v>
      </c>
      <c r="D76">
        <v>0</v>
      </c>
      <c r="E76">
        <v>268000</v>
      </c>
      <c r="F76">
        <v>5850</v>
      </c>
      <c r="G76">
        <v>1</v>
      </c>
      <c r="H76">
        <v>0</v>
      </c>
      <c r="I76">
        <v>0</v>
      </c>
      <c r="J76">
        <v>27.89999961853027</v>
      </c>
      <c r="K76">
        <v>1</v>
      </c>
      <c r="L76">
        <f>Résultats!G$32+Résultats!G$33*Données!C76+Résultats!G$34*Données!D76+Résultats!G$35*Données!E76+Résultats!G$36*Données!F76+Résultats!G$37*Données!G76+Résultats!G$38*Données!H76+Résultats!G$39*Données!I76</f>
        <v>181065.28998173666</v>
      </c>
      <c r="M76">
        <f t="shared" si="4"/>
        <v>5934.710018263344</v>
      </c>
      <c r="Q76">
        <v>99000</v>
      </c>
      <c r="R76">
        <v>1</v>
      </c>
      <c r="S76">
        <v>29.79999923706055</v>
      </c>
      <c r="T76">
        <v>0</v>
      </c>
      <c r="U76">
        <f t="shared" si="5"/>
        <v>11.608235644774552</v>
      </c>
      <c r="V76">
        <f t="shared" si="6"/>
        <v>8.3414102114618647</v>
      </c>
      <c r="W76">
        <v>1</v>
      </c>
      <c r="X76">
        <v>0</v>
      </c>
      <c r="Y76">
        <v>0</v>
      </c>
      <c r="Z76">
        <f>'Résultat (Ln)'!F$30+'Résultat (Ln)'!F$31*Données!S76+'Résultat (Ln)'!F$32*Données!T76+'Résultat (Ln)'!F$33*Données!U76+'Résultat (Ln)'!F$34*Données!V76+'Résultat (Ln)'!F$35*Données!W76+'Résultat (Ln)'!F$36*Données!X76+'Résultat (Ln)'!F$37*Données!Y76</f>
        <v>89393.68271483366</v>
      </c>
      <c r="AA76">
        <f t="shared" si="7"/>
        <v>9606.3172851663403</v>
      </c>
    </row>
    <row r="77" spans="1:27" x14ac:dyDescent="0.25">
      <c r="A77">
        <v>90000</v>
      </c>
      <c r="B77">
        <v>1</v>
      </c>
      <c r="C77">
        <v>31.5</v>
      </c>
      <c r="D77">
        <v>0</v>
      </c>
      <c r="E77">
        <v>145000</v>
      </c>
      <c r="F77">
        <v>3091</v>
      </c>
      <c r="G77">
        <v>0</v>
      </c>
      <c r="H77">
        <v>0</v>
      </c>
      <c r="I77">
        <v>0</v>
      </c>
      <c r="J77">
        <v>31.510000228881839</v>
      </c>
      <c r="K77">
        <v>1</v>
      </c>
      <c r="L77">
        <f>Résultats!G$32+Résultats!G$33*Données!C77+Résultats!G$34*Données!D77+Résultats!G$35*Données!E77+Résultats!G$36*Données!F77+Résultats!G$37*Données!G77+Résultats!G$38*Données!H77+Résultats!G$39*Données!I77</f>
        <v>106442.64764317499</v>
      </c>
      <c r="M77">
        <f t="shared" si="4"/>
        <v>-16442.647643174991</v>
      </c>
      <c r="Q77">
        <v>187000</v>
      </c>
      <c r="R77">
        <v>1</v>
      </c>
      <c r="S77">
        <v>35.700000762939453</v>
      </c>
      <c r="T77">
        <v>0</v>
      </c>
      <c r="U77">
        <f t="shared" si="5"/>
        <v>12.498742259492994</v>
      </c>
      <c r="V77">
        <f t="shared" si="6"/>
        <v>8.6741969402259027</v>
      </c>
      <c r="W77">
        <v>1</v>
      </c>
      <c r="X77">
        <v>0</v>
      </c>
      <c r="Y77">
        <v>0</v>
      </c>
      <c r="Z77">
        <f>'Résultat (Ln)'!F$30+'Résultat (Ln)'!F$31*Données!S77+'Résultat (Ln)'!F$32*Données!T77+'Résultat (Ln)'!F$33*Données!U77+'Résultat (Ln)'!F$34*Données!V77+'Résultat (Ln)'!F$35*Données!W77+'Résultat (Ln)'!F$36*Données!X77+'Résultat (Ln)'!F$37*Données!Y77</f>
        <v>201395.35490580706</v>
      </c>
      <c r="AA77">
        <f t="shared" si="7"/>
        <v>-14395.354905807064</v>
      </c>
    </row>
    <row r="78" spans="1:27" x14ac:dyDescent="0.25">
      <c r="A78">
        <v>130000</v>
      </c>
      <c r="B78">
        <v>1</v>
      </c>
      <c r="C78">
        <v>45</v>
      </c>
      <c r="D78">
        <v>0</v>
      </c>
      <c r="E78">
        <v>155000</v>
      </c>
      <c r="F78">
        <v>3125</v>
      </c>
      <c r="G78">
        <v>0</v>
      </c>
      <c r="H78">
        <v>1</v>
      </c>
      <c r="I78">
        <v>1</v>
      </c>
      <c r="J78">
        <v>37</v>
      </c>
      <c r="K78">
        <v>1</v>
      </c>
      <c r="L78">
        <f>Résultats!G$32+Résultats!G$33*Données!C78+Résultats!G$34*Données!D78+Résultats!G$35*Données!E78+Résultats!G$36*Données!F78+Résultats!G$37*Données!G78+Résultats!G$38*Données!H78+Résultats!G$39*Données!I78</f>
        <v>134985.29559621774</v>
      </c>
      <c r="M78">
        <f t="shared" si="4"/>
        <v>-4985.2955962177366</v>
      </c>
      <c r="Q78">
        <v>90000</v>
      </c>
      <c r="R78">
        <v>1</v>
      </c>
      <c r="S78">
        <v>31.5</v>
      </c>
      <c r="T78">
        <v>0</v>
      </c>
      <c r="U78">
        <f t="shared" si="5"/>
        <v>11.884489021402711</v>
      </c>
      <c r="V78">
        <f t="shared" si="6"/>
        <v>8.0362499421321161</v>
      </c>
      <c r="W78">
        <v>0</v>
      </c>
      <c r="X78">
        <v>0</v>
      </c>
      <c r="Y78">
        <v>0</v>
      </c>
      <c r="Z78">
        <f>'Résultat (Ln)'!F$30+'Résultat (Ln)'!F$31*Données!S78+'Résultat (Ln)'!F$32*Données!T78+'Résultat (Ln)'!F$33*Données!U78+'Résultat (Ln)'!F$34*Données!V78+'Résultat (Ln)'!F$35*Données!W78+'Résultat (Ln)'!F$36*Données!X78+'Résultat (Ln)'!F$37*Données!Y78</f>
        <v>108011.79789646337</v>
      </c>
      <c r="AA78">
        <f t="shared" si="7"/>
        <v>-18011.797896463366</v>
      </c>
    </row>
    <row r="79" spans="1:27" x14ac:dyDescent="0.25">
      <c r="A79">
        <v>2000</v>
      </c>
      <c r="B79">
        <v>1</v>
      </c>
      <c r="C79">
        <v>33</v>
      </c>
      <c r="D79">
        <v>0</v>
      </c>
      <c r="E79">
        <v>95000</v>
      </c>
      <c r="F79">
        <v>2963</v>
      </c>
      <c r="G79">
        <v>0</v>
      </c>
      <c r="H79">
        <v>0</v>
      </c>
      <c r="I79">
        <v>0</v>
      </c>
      <c r="J79">
        <v>28</v>
      </c>
      <c r="K79">
        <v>1</v>
      </c>
      <c r="L79">
        <f>Résultats!G$32+Résultats!G$33*Données!C79+Résultats!G$34*Données!D79+Résultats!G$35*Données!E79+Résultats!G$36*Données!F79+Résultats!G$37*Données!G79+Résultats!G$38*Données!H79+Résultats!G$39*Données!I79</f>
        <v>84569.952995403844</v>
      </c>
      <c r="M79">
        <f t="shared" si="4"/>
        <v>-82569.952995403844</v>
      </c>
      <c r="Q79">
        <v>130000</v>
      </c>
      <c r="R79">
        <v>1</v>
      </c>
      <c r="S79">
        <v>45</v>
      </c>
      <c r="T79">
        <v>0</v>
      </c>
      <c r="U79">
        <f t="shared" si="5"/>
        <v>11.951180395901384</v>
      </c>
      <c r="V79">
        <f t="shared" si="6"/>
        <v>8.0471895621705016</v>
      </c>
      <c r="W79">
        <v>0</v>
      </c>
      <c r="X79">
        <v>1</v>
      </c>
      <c r="Y79">
        <v>1</v>
      </c>
      <c r="Z79">
        <f>'Résultat (Ln)'!F$30+'Résultat (Ln)'!F$31*Données!S79+'Résultat (Ln)'!F$32*Données!T79+'Résultat (Ln)'!F$33*Données!U79+'Résultat (Ln)'!F$34*Données!V79+'Résultat (Ln)'!F$35*Données!W79+'Résultat (Ln)'!F$36*Données!X79+'Résultat (Ln)'!F$37*Données!Y79</f>
        <v>145874.57281274634</v>
      </c>
      <c r="AA79">
        <f t="shared" si="7"/>
        <v>-15874.572812746337</v>
      </c>
    </row>
    <row r="80" spans="1:27" x14ac:dyDescent="0.25">
      <c r="A80">
        <v>132000</v>
      </c>
      <c r="B80">
        <v>1</v>
      </c>
      <c r="C80">
        <v>34</v>
      </c>
      <c r="D80">
        <v>0</v>
      </c>
      <c r="E80">
        <v>149000</v>
      </c>
      <c r="F80">
        <v>4020</v>
      </c>
      <c r="G80">
        <v>0</v>
      </c>
      <c r="H80">
        <v>0</v>
      </c>
      <c r="I80">
        <v>0</v>
      </c>
      <c r="J80">
        <v>28</v>
      </c>
      <c r="K80">
        <v>0</v>
      </c>
      <c r="L80">
        <f>Résultats!G$32+Résultats!G$33*Données!C80+Résultats!G$34*Données!D80+Résultats!G$35*Données!E80+Résultats!G$36*Données!F80+Résultats!G$37*Données!G80+Résultats!G$38*Données!H80+Résultats!G$39*Données!I80</f>
        <v>112982.34112844696</v>
      </c>
      <c r="M80">
        <f t="shared" si="4"/>
        <v>19017.658871553038</v>
      </c>
      <c r="Q80">
        <v>2000</v>
      </c>
      <c r="R80">
        <v>1</v>
      </c>
      <c r="S80">
        <v>33</v>
      </c>
      <c r="T80">
        <v>0</v>
      </c>
      <c r="U80">
        <f t="shared" si="5"/>
        <v>11.461632170582678</v>
      </c>
      <c r="V80">
        <f t="shared" si="6"/>
        <v>7.9939575475735651</v>
      </c>
      <c r="W80">
        <v>0</v>
      </c>
      <c r="X80">
        <v>0</v>
      </c>
      <c r="Y80">
        <v>0</v>
      </c>
      <c r="Z80">
        <f>'Résultat (Ln)'!F$30+'Résultat (Ln)'!F$31*Données!S80+'Résultat (Ln)'!F$32*Données!T80+'Résultat (Ln)'!F$33*Données!U80+'Résultat (Ln)'!F$34*Données!V80+'Résultat (Ln)'!F$35*Données!W80+'Résultat (Ln)'!F$36*Données!X80+'Résultat (Ln)'!F$37*Données!Y80</f>
        <v>63330.3559875582</v>
      </c>
      <c r="AA80">
        <f t="shared" si="7"/>
        <v>-61330.3559875582</v>
      </c>
    </row>
    <row r="81" spans="1:27" x14ac:dyDescent="0.25">
      <c r="A81">
        <v>162000</v>
      </c>
      <c r="B81">
        <v>1</v>
      </c>
      <c r="C81">
        <v>38.900001525878913</v>
      </c>
      <c r="D81">
        <v>0</v>
      </c>
      <c r="E81">
        <v>170000</v>
      </c>
      <c r="F81">
        <v>2185</v>
      </c>
      <c r="G81">
        <v>1</v>
      </c>
      <c r="H81">
        <v>0</v>
      </c>
      <c r="I81">
        <v>0</v>
      </c>
      <c r="J81">
        <v>21.89999961853027</v>
      </c>
      <c r="K81">
        <v>1</v>
      </c>
      <c r="L81">
        <f>Résultats!G$32+Résultats!G$33*Données!C81+Résultats!G$34*Données!D81+Résultats!G$35*Données!E81+Résultats!G$36*Données!F81+Résultats!G$37*Données!G81+Résultats!G$38*Données!H81+Résultats!G$39*Données!I81</f>
        <v>131877.62504586749</v>
      </c>
      <c r="M81">
        <f t="shared" si="4"/>
        <v>30122.374954132509</v>
      </c>
      <c r="Q81">
        <v>132000</v>
      </c>
      <c r="R81">
        <v>1</v>
      </c>
      <c r="S81">
        <v>34</v>
      </c>
      <c r="T81">
        <v>0</v>
      </c>
      <c r="U81">
        <f t="shared" si="5"/>
        <v>11.911701584927597</v>
      </c>
      <c r="V81">
        <f t="shared" si="6"/>
        <v>8.2990371816130661</v>
      </c>
      <c r="W81">
        <v>0</v>
      </c>
      <c r="X81">
        <v>0</v>
      </c>
      <c r="Y81">
        <v>0</v>
      </c>
      <c r="Z81">
        <f>'Résultat (Ln)'!F$30+'Résultat (Ln)'!F$31*Données!S81+'Résultat (Ln)'!F$32*Données!T81+'Résultat (Ln)'!F$33*Données!U81+'Résultat (Ln)'!F$34*Données!V81+'Résultat (Ln)'!F$35*Données!W81+'Résultat (Ln)'!F$36*Données!X81+'Résultat (Ln)'!F$37*Données!Y81</f>
        <v>121354.04297078907</v>
      </c>
      <c r="AA81">
        <f t="shared" si="7"/>
        <v>10645.957029210927</v>
      </c>
    </row>
    <row r="82" spans="1:27" x14ac:dyDescent="0.25">
      <c r="A82">
        <v>40000</v>
      </c>
      <c r="B82">
        <v>1</v>
      </c>
      <c r="C82">
        <v>47</v>
      </c>
      <c r="D82">
        <v>1</v>
      </c>
      <c r="E82">
        <v>50000</v>
      </c>
      <c r="F82">
        <v>4166</v>
      </c>
      <c r="G82">
        <v>0</v>
      </c>
      <c r="H82">
        <v>0</v>
      </c>
      <c r="I82">
        <v>0</v>
      </c>
      <c r="J82">
        <v>13</v>
      </c>
      <c r="K82">
        <v>1</v>
      </c>
      <c r="L82">
        <f>Résultats!G$32+Résultats!G$33*Données!C82+Résultats!G$34*Données!D82+Résultats!G$35*Données!E82+Résultats!G$36*Données!F82+Résultats!G$37*Données!G82+Résultats!G$38*Données!H82+Résultats!G$39*Données!I82</f>
        <v>86817.848129078993</v>
      </c>
      <c r="M82">
        <f t="shared" si="4"/>
        <v>-46817.848129078993</v>
      </c>
      <c r="Q82">
        <v>162000</v>
      </c>
      <c r="R82">
        <v>1</v>
      </c>
      <c r="S82">
        <v>38.900001525878913</v>
      </c>
      <c r="T82">
        <v>0</v>
      </c>
      <c r="U82">
        <f t="shared" si="5"/>
        <v>12.043553716032399</v>
      </c>
      <c r="V82">
        <f t="shared" si="6"/>
        <v>7.6893711075296904</v>
      </c>
      <c r="W82">
        <v>1</v>
      </c>
      <c r="X82">
        <v>0</v>
      </c>
      <c r="Y82">
        <v>0</v>
      </c>
      <c r="Z82">
        <f>'Résultat (Ln)'!F$30+'Résultat (Ln)'!F$31*Données!S82+'Résultat (Ln)'!F$32*Données!T82+'Résultat (Ln)'!F$33*Données!U82+'Résultat (Ln)'!F$34*Données!V82+'Résultat (Ln)'!F$35*Données!W82+'Résultat (Ln)'!F$36*Données!X82+'Résultat (Ln)'!F$37*Données!Y82</f>
        <v>128891.47188154601</v>
      </c>
      <c r="AA82">
        <f t="shared" si="7"/>
        <v>33108.528118453993</v>
      </c>
    </row>
    <row r="83" spans="1:27" x14ac:dyDescent="0.25">
      <c r="A83">
        <v>150000</v>
      </c>
      <c r="B83">
        <v>1</v>
      </c>
      <c r="C83">
        <v>42</v>
      </c>
      <c r="D83">
        <v>0</v>
      </c>
      <c r="E83">
        <v>167000</v>
      </c>
      <c r="F83">
        <v>3000</v>
      </c>
      <c r="G83">
        <v>1</v>
      </c>
      <c r="H83">
        <v>0</v>
      </c>
      <c r="I83">
        <v>0</v>
      </c>
      <c r="J83">
        <v>32</v>
      </c>
      <c r="K83">
        <v>1</v>
      </c>
      <c r="L83">
        <f>Résultats!G$32+Résultats!G$33*Données!C83+Résultats!G$34*Données!D83+Résultats!G$35*Données!E83+Résultats!G$36*Données!F83+Résultats!G$37*Données!G83+Résultats!G$38*Données!H83+Résultats!G$39*Données!I83</f>
        <v>135616.93836547367</v>
      </c>
      <c r="M83">
        <f t="shared" si="4"/>
        <v>14383.061634526326</v>
      </c>
      <c r="Q83">
        <v>40000</v>
      </c>
      <c r="R83">
        <v>1</v>
      </c>
      <c r="S83">
        <v>47</v>
      </c>
      <c r="T83">
        <v>1</v>
      </c>
      <c r="U83">
        <f t="shared" si="5"/>
        <v>10.819778284410283</v>
      </c>
      <c r="V83">
        <f t="shared" si="6"/>
        <v>8.334711621820917</v>
      </c>
      <c r="W83">
        <v>0</v>
      </c>
      <c r="X83">
        <v>0</v>
      </c>
      <c r="Y83">
        <v>0</v>
      </c>
      <c r="Z83">
        <f>'Résultat (Ln)'!F$30+'Résultat (Ln)'!F$31*Données!S83+'Résultat (Ln)'!F$32*Données!T83+'Résultat (Ln)'!F$33*Données!U83+'Résultat (Ln)'!F$34*Données!V83+'Résultat (Ln)'!F$35*Données!W83+'Résultat (Ln)'!F$36*Données!X83+'Résultat (Ln)'!F$37*Données!Y83</f>
        <v>25540.568880606181</v>
      </c>
      <c r="AA83">
        <f t="shared" si="7"/>
        <v>14459.431119393819</v>
      </c>
    </row>
    <row r="84" spans="1:27" x14ac:dyDescent="0.25">
      <c r="A84">
        <v>94000</v>
      </c>
      <c r="B84">
        <v>1</v>
      </c>
      <c r="C84">
        <v>36</v>
      </c>
      <c r="D84">
        <v>0</v>
      </c>
      <c r="E84">
        <v>99000</v>
      </c>
      <c r="F84">
        <v>2374</v>
      </c>
      <c r="G84">
        <v>0</v>
      </c>
      <c r="H84">
        <v>0</v>
      </c>
      <c r="I84">
        <v>0</v>
      </c>
      <c r="J84">
        <v>28</v>
      </c>
      <c r="K84">
        <v>1</v>
      </c>
      <c r="L84">
        <f>Résultats!G$32+Résultats!G$33*Données!C84+Résultats!G$34*Données!D84+Résultats!G$35*Données!E84+Résultats!G$36*Données!F84+Résultats!G$37*Données!G84+Résultats!G$38*Données!H84+Résultats!G$39*Données!I84</f>
        <v>88742.420449017358</v>
      </c>
      <c r="M84">
        <f t="shared" si="4"/>
        <v>5257.5795509826421</v>
      </c>
      <c r="Q84">
        <v>150000</v>
      </c>
      <c r="R84">
        <v>1</v>
      </c>
      <c r="S84">
        <v>42</v>
      </c>
      <c r="T84">
        <v>0</v>
      </c>
      <c r="U84">
        <f t="shared" si="5"/>
        <v>12.025749091398891</v>
      </c>
      <c r="V84">
        <f t="shared" si="6"/>
        <v>8.0063675676502459</v>
      </c>
      <c r="W84">
        <v>1</v>
      </c>
      <c r="X84">
        <v>0</v>
      </c>
      <c r="Y84">
        <v>0</v>
      </c>
      <c r="Z84">
        <f>'Résultat (Ln)'!F$30+'Résultat (Ln)'!F$31*Données!S84+'Résultat (Ln)'!F$32*Données!T84+'Résultat (Ln)'!F$33*Données!U84+'Résultat (Ln)'!F$34*Données!V84+'Résultat (Ln)'!F$35*Données!W84+'Résultat (Ln)'!F$36*Données!X84+'Résultat (Ln)'!F$37*Données!Y84</f>
        <v>139661.63726541525</v>
      </c>
      <c r="AA84">
        <f t="shared" si="7"/>
        <v>10338.362734584749</v>
      </c>
    </row>
    <row r="85" spans="1:27" x14ac:dyDescent="0.25">
      <c r="A85">
        <v>35000</v>
      </c>
      <c r="B85">
        <v>1</v>
      </c>
      <c r="C85">
        <v>75</v>
      </c>
      <c r="D85">
        <v>0</v>
      </c>
      <c r="E85">
        <v>35000</v>
      </c>
      <c r="F85">
        <v>1442</v>
      </c>
      <c r="G85">
        <v>0</v>
      </c>
      <c r="H85">
        <v>0</v>
      </c>
      <c r="I85">
        <v>1</v>
      </c>
      <c r="J85">
        <v>29</v>
      </c>
      <c r="K85">
        <v>1</v>
      </c>
      <c r="L85">
        <f>Résultats!G$32+Résultats!G$33*Données!C85+Résultats!G$34*Données!D85+Résultats!G$35*Données!E85+Résultats!G$36*Données!F85+Résultats!G$37*Données!G85+Résultats!G$38*Données!H85+Résultats!G$39*Données!I85</f>
        <v>111774.99507164562</v>
      </c>
      <c r="M85">
        <f t="shared" si="4"/>
        <v>-76774.995071645622</v>
      </c>
      <c r="Q85">
        <v>94000</v>
      </c>
      <c r="R85">
        <v>1</v>
      </c>
      <c r="S85">
        <v>36</v>
      </c>
      <c r="T85">
        <v>0</v>
      </c>
      <c r="U85">
        <f t="shared" si="5"/>
        <v>11.502875129116727</v>
      </c>
      <c r="V85">
        <f t="shared" si="6"/>
        <v>7.7723315751696136</v>
      </c>
      <c r="W85">
        <v>0</v>
      </c>
      <c r="X85">
        <v>0</v>
      </c>
      <c r="Y85">
        <v>0</v>
      </c>
      <c r="Z85">
        <f>'Résultat (Ln)'!F$30+'Résultat (Ln)'!F$31*Données!S85+'Résultat (Ln)'!F$32*Données!T85+'Résultat (Ln)'!F$33*Données!U85+'Résultat (Ln)'!F$34*Données!V85+'Résultat (Ln)'!F$35*Données!W85+'Résultat (Ln)'!F$36*Données!X85+'Résultat (Ln)'!F$37*Données!Y85</f>
        <v>65201.865076169575</v>
      </c>
      <c r="AA85">
        <f t="shared" si="7"/>
        <v>28798.134923830425</v>
      </c>
    </row>
    <row r="86" spans="1:27" x14ac:dyDescent="0.25">
      <c r="A86">
        <v>120000</v>
      </c>
      <c r="B86">
        <v>1</v>
      </c>
      <c r="C86">
        <v>25</v>
      </c>
      <c r="D86">
        <v>0</v>
      </c>
      <c r="E86">
        <v>150000</v>
      </c>
      <c r="F86">
        <v>3750</v>
      </c>
      <c r="G86">
        <v>0</v>
      </c>
      <c r="H86">
        <v>0</v>
      </c>
      <c r="I86">
        <v>0</v>
      </c>
      <c r="J86">
        <v>20</v>
      </c>
      <c r="K86">
        <v>0</v>
      </c>
      <c r="L86">
        <f>Résultats!G$32+Résultats!G$33*Données!C86+Résultats!G$34*Données!D86+Résultats!G$35*Données!E86+Résultats!G$36*Données!F86+Résultats!G$37*Données!G86+Résultats!G$38*Données!H86+Résultats!G$39*Données!I86</f>
        <v>102588.05839630592</v>
      </c>
      <c r="M86">
        <f t="shared" si="4"/>
        <v>17411.941603694082</v>
      </c>
      <c r="Q86">
        <v>35000</v>
      </c>
      <c r="R86">
        <v>1</v>
      </c>
      <c r="S86">
        <v>75</v>
      </c>
      <c r="T86">
        <v>0</v>
      </c>
      <c r="U86">
        <f t="shared" si="5"/>
        <v>10.46310334047155</v>
      </c>
      <c r="V86">
        <f t="shared" si="6"/>
        <v>7.2737863178448947</v>
      </c>
      <c r="W86">
        <v>0</v>
      </c>
      <c r="X86">
        <v>0</v>
      </c>
      <c r="Y86">
        <v>1</v>
      </c>
      <c r="Z86">
        <f>'Résultat (Ln)'!F$30+'Résultat (Ln)'!F$31*Données!S86+'Résultat (Ln)'!F$32*Données!T86+'Résultat (Ln)'!F$33*Données!U86+'Résultat (Ln)'!F$34*Données!V86+'Résultat (Ln)'!F$35*Données!W86+'Résultat (Ln)'!F$36*Données!X86+'Résultat (Ln)'!F$37*Données!Y86</f>
        <v>1507.370978646155</v>
      </c>
      <c r="AA86">
        <f t="shared" si="7"/>
        <v>33492.629021353845</v>
      </c>
    </row>
    <row r="87" spans="1:27" x14ac:dyDescent="0.25">
      <c r="A87">
        <v>50000</v>
      </c>
      <c r="B87">
        <v>1</v>
      </c>
      <c r="C87">
        <v>21</v>
      </c>
      <c r="D87">
        <v>0</v>
      </c>
      <c r="E87">
        <v>165000</v>
      </c>
      <c r="F87">
        <v>3517</v>
      </c>
      <c r="G87">
        <v>1</v>
      </c>
      <c r="H87">
        <v>6</v>
      </c>
      <c r="I87">
        <v>0</v>
      </c>
      <c r="J87">
        <v>19</v>
      </c>
      <c r="K87">
        <v>1</v>
      </c>
      <c r="L87">
        <f>Résultats!G$32+Résultats!G$33*Données!C87+Résultats!G$34*Données!D87+Résultats!G$35*Données!E87+Résultats!G$36*Données!F87+Résultats!G$37*Données!G87+Résultats!G$38*Données!H87+Résultats!G$39*Données!I87</f>
        <v>101811.13105968761</v>
      </c>
      <c r="M87">
        <f t="shared" si="4"/>
        <v>-51811.131059687614</v>
      </c>
      <c r="Q87">
        <v>120000</v>
      </c>
      <c r="R87">
        <v>1</v>
      </c>
      <c r="S87">
        <v>25</v>
      </c>
      <c r="T87">
        <v>0</v>
      </c>
      <c r="U87">
        <f t="shared" si="5"/>
        <v>11.918390573078392</v>
      </c>
      <c r="V87">
        <f t="shared" si="6"/>
        <v>8.2295111189644565</v>
      </c>
      <c r="W87">
        <v>0</v>
      </c>
      <c r="X87">
        <v>0</v>
      </c>
      <c r="Y87">
        <v>0</v>
      </c>
      <c r="Z87">
        <f>'Résultat (Ln)'!F$30+'Résultat (Ln)'!F$31*Données!S87+'Résultat (Ln)'!F$32*Données!T87+'Résultat (Ln)'!F$33*Données!U87+'Résultat (Ln)'!F$34*Données!V87+'Résultat (Ln)'!F$35*Données!W87+'Résultat (Ln)'!F$36*Données!X87+'Résultat (Ln)'!F$37*Données!Y87</f>
        <v>109122.79056578517</v>
      </c>
      <c r="AA87">
        <f t="shared" si="7"/>
        <v>10877.209434214834</v>
      </c>
    </row>
    <row r="88" spans="1:27" x14ac:dyDescent="0.25">
      <c r="A88">
        <v>180000</v>
      </c>
      <c r="B88">
        <v>1</v>
      </c>
      <c r="C88">
        <v>28</v>
      </c>
      <c r="D88">
        <v>0</v>
      </c>
      <c r="E88">
        <v>225000</v>
      </c>
      <c r="F88">
        <v>4442</v>
      </c>
      <c r="G88">
        <v>0</v>
      </c>
      <c r="H88">
        <v>0</v>
      </c>
      <c r="I88">
        <v>0</v>
      </c>
      <c r="J88">
        <v>15</v>
      </c>
      <c r="K88">
        <v>1</v>
      </c>
      <c r="L88">
        <f>Résultats!G$32+Résultats!G$33*Données!C88+Résultats!G$34*Données!D88+Résultats!G$35*Données!E88+Résultats!G$36*Données!F88+Résultats!G$37*Données!G88+Résultats!G$38*Données!H88+Résultats!G$39*Données!I88</f>
        <v>142396.51354120864</v>
      </c>
      <c r="M88">
        <f t="shared" si="4"/>
        <v>37603.486458791362</v>
      </c>
      <c r="Q88">
        <v>50000</v>
      </c>
      <c r="R88">
        <v>1</v>
      </c>
      <c r="S88">
        <v>21</v>
      </c>
      <c r="T88">
        <v>0</v>
      </c>
      <c r="U88">
        <f t="shared" si="5"/>
        <v>12.013700752882718</v>
      </c>
      <c r="V88">
        <f t="shared" si="6"/>
        <v>8.1653636324739818</v>
      </c>
      <c r="W88">
        <v>1</v>
      </c>
      <c r="X88">
        <v>6</v>
      </c>
      <c r="Y88">
        <v>0</v>
      </c>
      <c r="Z88">
        <f>'Résultat (Ln)'!F$30+'Résultat (Ln)'!F$31*Données!S88+'Résultat (Ln)'!F$32*Données!T88+'Résultat (Ln)'!F$33*Données!U88+'Résultat (Ln)'!F$34*Données!V88+'Résultat (Ln)'!F$35*Données!W88+'Résultat (Ln)'!F$36*Données!X88+'Résultat (Ln)'!F$37*Données!Y88</f>
        <v>116101.18470255562</v>
      </c>
      <c r="AA88">
        <f t="shared" si="7"/>
        <v>-66101.18470255562</v>
      </c>
    </row>
    <row r="89" spans="1:27" x14ac:dyDescent="0.25">
      <c r="A89">
        <v>732000</v>
      </c>
      <c r="B89">
        <v>1</v>
      </c>
      <c r="C89">
        <v>34</v>
      </c>
      <c r="D89">
        <v>0</v>
      </c>
      <c r="E89">
        <v>975000</v>
      </c>
      <c r="F89">
        <v>23917</v>
      </c>
      <c r="G89">
        <v>1</v>
      </c>
      <c r="H89">
        <v>0</v>
      </c>
      <c r="I89">
        <v>1</v>
      </c>
      <c r="J89">
        <v>32</v>
      </c>
      <c r="K89">
        <v>1</v>
      </c>
      <c r="L89">
        <f>Résultats!G$32+Résultats!G$33*Données!C89+Résultats!G$34*Données!D89+Résultats!G$35*Données!E89+Résultats!G$36*Données!F89+Résultats!G$37*Données!G89+Résultats!G$38*Données!H89+Résultats!G$39*Données!I89</f>
        <v>554183.97160649206</v>
      </c>
      <c r="M89">
        <f t="shared" si="4"/>
        <v>177816.02839350794</v>
      </c>
      <c r="Q89">
        <v>180000</v>
      </c>
      <c r="R89">
        <v>1</v>
      </c>
      <c r="S89">
        <v>28</v>
      </c>
      <c r="T89">
        <v>0</v>
      </c>
      <c r="U89">
        <f t="shared" si="5"/>
        <v>12.323855681186558</v>
      </c>
      <c r="V89">
        <f t="shared" si="6"/>
        <v>8.398860004454372</v>
      </c>
      <c r="W89">
        <v>0</v>
      </c>
      <c r="X89">
        <v>0</v>
      </c>
      <c r="Y89">
        <v>0</v>
      </c>
      <c r="Z89">
        <f>'Résultat (Ln)'!F$30+'Résultat (Ln)'!F$31*Données!S89+'Résultat (Ln)'!F$32*Données!T89+'Résultat (Ln)'!F$33*Données!U89+'Résultat (Ln)'!F$34*Données!V89+'Résultat (Ln)'!F$35*Données!W89+'Résultat (Ln)'!F$36*Données!X89+'Résultat (Ln)'!F$37*Données!Y89</f>
        <v>161002.49915596639</v>
      </c>
      <c r="AA89">
        <f t="shared" si="7"/>
        <v>18997.50084403361</v>
      </c>
    </row>
    <row r="90" spans="1:27" x14ac:dyDescent="0.25">
      <c r="A90">
        <v>201000</v>
      </c>
      <c r="B90">
        <v>1</v>
      </c>
      <c r="C90">
        <v>34</v>
      </c>
      <c r="D90">
        <v>0</v>
      </c>
      <c r="E90">
        <v>223000</v>
      </c>
      <c r="F90">
        <v>4166</v>
      </c>
      <c r="G90">
        <v>1</v>
      </c>
      <c r="H90">
        <v>0</v>
      </c>
      <c r="I90">
        <v>1</v>
      </c>
      <c r="J90">
        <v>25</v>
      </c>
      <c r="K90">
        <v>1</v>
      </c>
      <c r="L90">
        <f>Résultats!G$32+Résultats!G$33*Données!C90+Résultats!G$34*Données!D90+Résultats!G$35*Données!E90+Résultats!G$36*Données!F90+Résultats!G$37*Données!G90+Résultats!G$38*Données!H90+Résultats!G$39*Données!I90</f>
        <v>164761.87530363863</v>
      </c>
      <c r="M90">
        <f t="shared" si="4"/>
        <v>36238.124696361367</v>
      </c>
      <c r="Q90">
        <v>732000</v>
      </c>
      <c r="R90">
        <v>1</v>
      </c>
      <c r="S90">
        <v>34</v>
      </c>
      <c r="T90">
        <v>0</v>
      </c>
      <c r="U90">
        <f t="shared" si="5"/>
        <v>13.790192749979985</v>
      </c>
      <c r="V90">
        <f t="shared" si="6"/>
        <v>10.082344782138865</v>
      </c>
      <c r="W90">
        <v>1</v>
      </c>
      <c r="X90">
        <v>0</v>
      </c>
      <c r="Y90">
        <v>1</v>
      </c>
      <c r="Z90">
        <f>'Résultat (Ln)'!F$30+'Résultat (Ln)'!F$31*Données!S90+'Résultat (Ln)'!F$32*Données!T90+'Résultat (Ln)'!F$33*Données!U90+'Résultat (Ln)'!F$34*Données!V90+'Résultat (Ln)'!F$35*Données!W90+'Résultat (Ln)'!F$36*Données!X90+'Résultat (Ln)'!F$37*Données!Y90</f>
        <v>391335.20475828892</v>
      </c>
      <c r="AA90">
        <f t="shared" si="7"/>
        <v>340664.79524171108</v>
      </c>
    </row>
    <row r="91" spans="1:27" x14ac:dyDescent="0.25">
      <c r="A91">
        <v>183000</v>
      </c>
      <c r="B91">
        <v>1</v>
      </c>
      <c r="C91">
        <v>32</v>
      </c>
      <c r="D91">
        <v>0</v>
      </c>
      <c r="E91">
        <v>192000</v>
      </c>
      <c r="F91">
        <v>3734</v>
      </c>
      <c r="G91">
        <v>1</v>
      </c>
      <c r="H91">
        <v>0</v>
      </c>
      <c r="I91">
        <v>0</v>
      </c>
      <c r="J91">
        <v>22</v>
      </c>
      <c r="K91">
        <v>0</v>
      </c>
      <c r="L91">
        <f>Résultats!G$32+Résultats!G$33*Données!C91+Résultats!G$34*Données!D91+Résultats!G$35*Données!E91+Résultats!G$36*Données!F91+Résultats!G$37*Données!G91+Résultats!G$38*Données!H91+Résultats!G$39*Données!I91</f>
        <v>137226.40221757663</v>
      </c>
      <c r="M91">
        <f t="shared" si="4"/>
        <v>45773.597782423371</v>
      </c>
      <c r="Q91">
        <v>201000</v>
      </c>
      <c r="R91">
        <v>1</v>
      </c>
      <c r="S91">
        <v>34</v>
      </c>
      <c r="T91">
        <v>0</v>
      </c>
      <c r="U91">
        <f t="shared" si="5"/>
        <v>12.314927050442256</v>
      </c>
      <c r="V91">
        <f t="shared" si="6"/>
        <v>8.334711621820917</v>
      </c>
      <c r="W91">
        <v>1</v>
      </c>
      <c r="X91">
        <v>0</v>
      </c>
      <c r="Y91">
        <v>1</v>
      </c>
      <c r="Z91">
        <f>'Résultat (Ln)'!F$30+'Résultat (Ln)'!F$31*Données!S91+'Résultat (Ln)'!F$32*Données!T91+'Résultat (Ln)'!F$33*Données!U91+'Résultat (Ln)'!F$34*Données!V91+'Résultat (Ln)'!F$35*Données!W91+'Résultat (Ln)'!F$36*Données!X91+'Résultat (Ln)'!F$37*Données!Y91</f>
        <v>184179.50487401732</v>
      </c>
      <c r="AA91">
        <f t="shared" si="7"/>
        <v>16820.495125982678</v>
      </c>
    </row>
    <row r="92" spans="1:27" x14ac:dyDescent="0.25">
      <c r="A92">
        <v>170000</v>
      </c>
      <c r="B92">
        <v>1</v>
      </c>
      <c r="C92">
        <v>36</v>
      </c>
      <c r="D92">
        <v>0</v>
      </c>
      <c r="E92">
        <v>231000</v>
      </c>
      <c r="F92">
        <v>3500</v>
      </c>
      <c r="G92">
        <v>1</v>
      </c>
      <c r="H92">
        <v>0</v>
      </c>
      <c r="I92">
        <v>1</v>
      </c>
      <c r="J92">
        <v>28</v>
      </c>
      <c r="K92">
        <v>1</v>
      </c>
      <c r="L92">
        <f>Résultats!G$32+Résultats!G$33*Données!C92+Résultats!G$34*Données!D92+Résultats!G$35*Données!E92+Résultats!G$36*Données!F92+Résultats!G$37*Données!G92+Résultats!G$38*Données!H92+Résultats!G$39*Données!I92</f>
        <v>169504.27582566172</v>
      </c>
      <c r="M92">
        <f t="shared" si="4"/>
        <v>495.7241743382765</v>
      </c>
      <c r="Q92">
        <v>183000</v>
      </c>
      <c r="R92">
        <v>1</v>
      </c>
      <c r="S92">
        <v>32</v>
      </c>
      <c r="T92">
        <v>0</v>
      </c>
      <c r="U92">
        <f t="shared" si="5"/>
        <v>12.165250651009918</v>
      </c>
      <c r="V92">
        <f t="shared" si="6"/>
        <v>8.2252353241016678</v>
      </c>
      <c r="W92">
        <v>1</v>
      </c>
      <c r="X92">
        <v>0</v>
      </c>
      <c r="Y92">
        <v>0</v>
      </c>
      <c r="Z92">
        <f>'Résultat (Ln)'!F$30+'Résultat (Ln)'!F$31*Données!S92+'Résultat (Ln)'!F$32*Données!T92+'Résultat (Ln)'!F$33*Données!U92+'Résultat (Ln)'!F$34*Données!V92+'Résultat (Ln)'!F$35*Données!W92+'Résultat (Ln)'!F$36*Données!X92+'Résultat (Ln)'!F$37*Données!Y92</f>
        <v>148533.49603119376</v>
      </c>
      <c r="AA92">
        <f t="shared" si="7"/>
        <v>34466.503968806239</v>
      </c>
    </row>
    <row r="93" spans="1:27" x14ac:dyDescent="0.25">
      <c r="A93">
        <v>166000</v>
      </c>
      <c r="B93">
        <v>1</v>
      </c>
      <c r="C93">
        <v>39</v>
      </c>
      <c r="D93">
        <v>0</v>
      </c>
      <c r="E93">
        <v>208000</v>
      </c>
      <c r="F93">
        <v>12173</v>
      </c>
      <c r="G93">
        <v>1</v>
      </c>
      <c r="H93">
        <v>0</v>
      </c>
      <c r="I93">
        <v>0</v>
      </c>
      <c r="J93">
        <v>16</v>
      </c>
      <c r="K93">
        <v>1</v>
      </c>
      <c r="L93">
        <f>Résultats!G$32+Résultats!G$33*Données!C93+Résultats!G$34*Données!D93+Résultats!G$35*Données!E93+Résultats!G$36*Données!F93+Résultats!G$37*Données!G93+Résultats!G$38*Données!H93+Résultats!G$39*Données!I93</f>
        <v>169091.33474977606</v>
      </c>
      <c r="M93">
        <f t="shared" si="4"/>
        <v>-3091.3347497760551</v>
      </c>
      <c r="Q93">
        <v>170000</v>
      </c>
      <c r="R93">
        <v>1</v>
      </c>
      <c r="S93">
        <v>36</v>
      </c>
      <c r="T93">
        <v>0</v>
      </c>
      <c r="U93">
        <f t="shared" si="5"/>
        <v>12.35017298950393</v>
      </c>
      <c r="V93">
        <f t="shared" si="6"/>
        <v>8.1605182474775049</v>
      </c>
      <c r="W93">
        <v>1</v>
      </c>
      <c r="X93">
        <v>0</v>
      </c>
      <c r="Y93">
        <v>1</v>
      </c>
      <c r="Z93">
        <f>'Résultat (Ln)'!F$30+'Résultat (Ln)'!F$31*Données!S93+'Résultat (Ln)'!F$32*Données!T93+'Résultat (Ln)'!F$33*Données!U93+'Résultat (Ln)'!F$34*Données!V93+'Résultat (Ln)'!F$35*Données!W93+'Résultat (Ln)'!F$36*Données!X93+'Résultat (Ln)'!F$37*Données!Y93</f>
        <v>185516.40391524532</v>
      </c>
      <c r="AA93">
        <f t="shared" si="7"/>
        <v>-15516.403915245319</v>
      </c>
    </row>
    <row r="94" spans="1:27" x14ac:dyDescent="0.25">
      <c r="A94">
        <v>74000</v>
      </c>
      <c r="B94">
        <v>1</v>
      </c>
      <c r="C94">
        <v>42</v>
      </c>
      <c r="D94">
        <v>0</v>
      </c>
      <c r="E94">
        <v>81000</v>
      </c>
      <c r="F94">
        <v>3167</v>
      </c>
      <c r="G94">
        <v>0</v>
      </c>
      <c r="H94">
        <v>0</v>
      </c>
      <c r="I94">
        <v>0</v>
      </c>
      <c r="J94">
        <v>28</v>
      </c>
      <c r="K94">
        <v>1</v>
      </c>
      <c r="L94">
        <f>Résultats!G$32+Résultats!G$33*Données!C94+Résultats!G$34*Données!D94+Résultats!G$35*Données!E94+Résultats!G$36*Données!F94+Résultats!G$37*Données!G94+Résultats!G$38*Données!H94+Résultats!G$39*Données!I94</f>
        <v>88765.949268660945</v>
      </c>
      <c r="M94">
        <f t="shared" si="4"/>
        <v>-14765.949268660945</v>
      </c>
      <c r="Q94">
        <v>166000</v>
      </c>
      <c r="R94">
        <v>1</v>
      </c>
      <c r="S94">
        <v>39</v>
      </c>
      <c r="T94">
        <v>0</v>
      </c>
      <c r="U94">
        <f t="shared" si="5"/>
        <v>12.245293358683455</v>
      </c>
      <c r="V94">
        <f t="shared" si="6"/>
        <v>9.4069756634095967</v>
      </c>
      <c r="W94">
        <v>1</v>
      </c>
      <c r="X94">
        <v>0</v>
      </c>
      <c r="Y94">
        <v>0</v>
      </c>
      <c r="Z94">
        <f>'Résultat (Ln)'!F$30+'Résultat (Ln)'!F$31*Données!S94+'Résultat (Ln)'!F$32*Données!T94+'Résultat (Ln)'!F$33*Données!U94+'Résultat (Ln)'!F$34*Données!V94+'Résultat (Ln)'!F$35*Données!W94+'Résultat (Ln)'!F$36*Données!X94+'Résultat (Ln)'!F$37*Données!Y94</f>
        <v>198810.85099918584</v>
      </c>
      <c r="AA94">
        <f t="shared" si="7"/>
        <v>-32810.850999185845</v>
      </c>
    </row>
    <row r="95" spans="1:27" x14ac:dyDescent="0.25">
      <c r="A95">
        <v>124000</v>
      </c>
      <c r="B95">
        <v>1</v>
      </c>
      <c r="C95">
        <v>39</v>
      </c>
      <c r="D95">
        <v>0</v>
      </c>
      <c r="E95">
        <v>162000</v>
      </c>
      <c r="F95">
        <v>4666</v>
      </c>
      <c r="G95">
        <v>0</v>
      </c>
      <c r="H95">
        <v>0</v>
      </c>
      <c r="I95">
        <v>0</v>
      </c>
      <c r="J95">
        <v>28</v>
      </c>
      <c r="K95">
        <v>0</v>
      </c>
      <c r="L95">
        <f>Résultats!G$32+Résultats!G$33*Données!C95+Résultats!G$34*Données!D95+Résultats!G$35*Données!E95+Résultats!G$36*Données!F95+Résultats!G$37*Données!G95+Résultats!G$38*Données!H95+Résultats!G$39*Données!I95</f>
        <v>126047.89615505796</v>
      </c>
      <c r="M95">
        <f t="shared" si="4"/>
        <v>-2047.8961550579552</v>
      </c>
      <c r="Q95">
        <v>74000</v>
      </c>
      <c r="R95">
        <v>1</v>
      </c>
      <c r="S95">
        <v>42</v>
      </c>
      <c r="T95">
        <v>0</v>
      </c>
      <c r="U95">
        <f t="shared" si="5"/>
        <v>11.302204433654575</v>
      </c>
      <c r="V95">
        <f t="shared" si="6"/>
        <v>8.0605400465386392</v>
      </c>
      <c r="W95">
        <v>0</v>
      </c>
      <c r="X95">
        <v>0</v>
      </c>
      <c r="Y95">
        <v>0</v>
      </c>
      <c r="Z95">
        <f>'Résultat (Ln)'!F$30+'Résultat (Ln)'!F$31*Données!S95+'Résultat (Ln)'!F$32*Données!T95+'Résultat (Ln)'!F$33*Données!U95+'Résultat (Ln)'!F$34*Données!V95+'Résultat (Ln)'!F$35*Données!W95+'Résultat (Ln)'!F$36*Données!X95+'Résultat (Ln)'!F$37*Données!Y95</f>
        <v>59106.137130527757</v>
      </c>
      <c r="AA95">
        <f t="shared" si="7"/>
        <v>14893.862869472243</v>
      </c>
    </row>
    <row r="96" spans="1:27" x14ac:dyDescent="0.25">
      <c r="A96">
        <v>106000</v>
      </c>
      <c r="B96">
        <v>1</v>
      </c>
      <c r="C96">
        <v>31</v>
      </c>
      <c r="D96">
        <v>0</v>
      </c>
      <c r="E96">
        <v>132000</v>
      </c>
      <c r="F96">
        <v>4692</v>
      </c>
      <c r="G96">
        <v>0</v>
      </c>
      <c r="H96">
        <v>1</v>
      </c>
      <c r="I96">
        <v>0</v>
      </c>
      <c r="J96">
        <v>24</v>
      </c>
      <c r="K96">
        <v>1</v>
      </c>
      <c r="L96">
        <f>Résultats!G$32+Résultats!G$33*Données!C96+Résultats!G$34*Données!D96+Résultats!G$35*Données!E96+Résultats!G$36*Données!F96+Résultats!G$37*Données!G96+Résultats!G$38*Données!H96+Résultats!G$39*Données!I96</f>
        <v>101275.04105426975</v>
      </c>
      <c r="M96">
        <f t="shared" si="4"/>
        <v>4724.95894573025</v>
      </c>
      <c r="Q96">
        <v>124000</v>
      </c>
      <c r="R96">
        <v>1</v>
      </c>
      <c r="S96">
        <v>39</v>
      </c>
      <c r="T96">
        <v>0</v>
      </c>
      <c r="U96">
        <f t="shared" si="5"/>
        <v>11.99535161421452</v>
      </c>
      <c r="V96">
        <f t="shared" si="6"/>
        <v>8.4480574525813754</v>
      </c>
      <c r="W96">
        <v>0</v>
      </c>
      <c r="X96">
        <v>0</v>
      </c>
      <c r="Y96">
        <v>0</v>
      </c>
      <c r="Z96">
        <f>'Résultat (Ln)'!F$30+'Résultat (Ln)'!F$31*Données!S96+'Résultat (Ln)'!F$32*Données!T96+'Résultat (Ln)'!F$33*Données!U96+'Résultat (Ln)'!F$34*Données!V96+'Résultat (Ln)'!F$35*Données!W96+'Résultat (Ln)'!F$36*Données!X96+'Résultat (Ln)'!F$37*Données!Y96</f>
        <v>140610.55174093685</v>
      </c>
      <c r="AA96">
        <f t="shared" si="7"/>
        <v>-16610.551740936848</v>
      </c>
    </row>
    <row r="97" spans="1:27" x14ac:dyDescent="0.25">
      <c r="A97">
        <v>114000</v>
      </c>
      <c r="B97">
        <v>1</v>
      </c>
      <c r="C97">
        <v>23.10000038146973</v>
      </c>
      <c r="D97">
        <v>0</v>
      </c>
      <c r="E97">
        <v>131000</v>
      </c>
      <c r="F97">
        <v>3500</v>
      </c>
      <c r="G97">
        <v>1</v>
      </c>
      <c r="H97">
        <v>0</v>
      </c>
      <c r="I97">
        <v>1</v>
      </c>
      <c r="J97">
        <v>20.719999313354489</v>
      </c>
      <c r="K97">
        <v>1</v>
      </c>
      <c r="L97">
        <f>Résultats!G$32+Résultats!G$33*Données!C97+Résultats!G$34*Données!D97+Résultats!G$35*Données!E97+Résultats!G$36*Données!F97+Résultats!G$37*Données!G97+Résultats!G$38*Données!H97+Résultats!G$39*Données!I97</f>
        <v>107991.10150596392</v>
      </c>
      <c r="M97">
        <f t="shared" si="4"/>
        <v>6008.8984940360824</v>
      </c>
      <c r="Q97">
        <v>106000</v>
      </c>
      <c r="R97">
        <v>1</v>
      </c>
      <c r="S97">
        <v>31</v>
      </c>
      <c r="T97">
        <v>0</v>
      </c>
      <c r="U97">
        <f t="shared" si="5"/>
        <v>11.790557201568507</v>
      </c>
      <c r="V97">
        <f t="shared" si="6"/>
        <v>8.4536142097733666</v>
      </c>
      <c r="W97">
        <v>0</v>
      </c>
      <c r="X97">
        <v>1</v>
      </c>
      <c r="Y97">
        <v>0</v>
      </c>
      <c r="Z97">
        <f>'Résultat (Ln)'!F$30+'Résultat (Ln)'!F$31*Données!S97+'Résultat (Ln)'!F$32*Données!T97+'Résultat (Ln)'!F$33*Données!U97+'Résultat (Ln)'!F$34*Données!V97+'Résultat (Ln)'!F$35*Données!W97+'Résultat (Ln)'!F$36*Données!X97+'Résultat (Ln)'!F$37*Données!Y97</f>
        <v>108859.47551698644</v>
      </c>
      <c r="AA97">
        <f t="shared" si="7"/>
        <v>-2859.4755169864366</v>
      </c>
    </row>
    <row r="98" spans="1:27" x14ac:dyDescent="0.25">
      <c r="A98">
        <v>131000</v>
      </c>
      <c r="B98">
        <v>1</v>
      </c>
      <c r="C98">
        <v>38</v>
      </c>
      <c r="D98">
        <v>0</v>
      </c>
      <c r="E98">
        <v>145000</v>
      </c>
      <c r="F98">
        <v>5667</v>
      </c>
      <c r="G98">
        <v>0</v>
      </c>
      <c r="H98">
        <v>0</v>
      </c>
      <c r="I98">
        <v>0</v>
      </c>
      <c r="J98">
        <v>29</v>
      </c>
      <c r="K98">
        <v>1</v>
      </c>
      <c r="L98">
        <f>Résultats!G$32+Résultats!G$33*Données!C98+Résultats!G$34*Données!D98+Résultats!G$35*Données!E98+Résultats!G$36*Données!F98+Résultats!G$37*Données!G98+Résultats!G$38*Données!H98+Résultats!G$39*Données!I98</f>
        <v>118900.74536162724</v>
      </c>
      <c r="M98">
        <f t="shared" si="4"/>
        <v>12099.25463837276</v>
      </c>
      <c r="Q98">
        <v>114000</v>
      </c>
      <c r="R98">
        <v>1</v>
      </c>
      <c r="S98">
        <v>23.10000038146973</v>
      </c>
      <c r="T98">
        <v>0</v>
      </c>
      <c r="U98">
        <f t="shared" si="5"/>
        <v>11.782952602183288</v>
      </c>
      <c r="V98">
        <f t="shared" si="6"/>
        <v>8.1605182474775049</v>
      </c>
      <c r="W98">
        <v>1</v>
      </c>
      <c r="X98">
        <v>0</v>
      </c>
      <c r="Y98">
        <v>1</v>
      </c>
      <c r="Z98">
        <f>'Résultat (Ln)'!F$30+'Résultat (Ln)'!F$31*Données!S98+'Résultat (Ln)'!F$32*Données!T98+'Résultat (Ln)'!F$33*Données!U98+'Résultat (Ln)'!F$34*Données!V98+'Résultat (Ln)'!F$35*Données!W98+'Résultat (Ln)'!F$36*Données!X98+'Résultat (Ln)'!F$37*Données!Y98</f>
        <v>108948.56518915131</v>
      </c>
      <c r="AA98">
        <f t="shared" si="7"/>
        <v>5051.4348108486884</v>
      </c>
    </row>
    <row r="99" spans="1:27" x14ac:dyDescent="0.25">
      <c r="A99">
        <v>320000</v>
      </c>
      <c r="B99">
        <v>1</v>
      </c>
      <c r="C99">
        <v>50</v>
      </c>
      <c r="D99">
        <v>1</v>
      </c>
      <c r="E99">
        <v>630000</v>
      </c>
      <c r="F99">
        <v>12500</v>
      </c>
      <c r="G99">
        <v>0</v>
      </c>
      <c r="H99">
        <v>0</v>
      </c>
      <c r="I99">
        <v>0</v>
      </c>
      <c r="J99">
        <v>23</v>
      </c>
      <c r="K99">
        <v>1</v>
      </c>
      <c r="L99">
        <f>Résultats!G$32+Résultats!G$33*Données!C99+Résultats!G$34*Données!D99+Résultats!G$35*Données!E99+Résultats!G$36*Données!F99+Résultats!G$37*Données!G99+Résultats!G$38*Données!H99+Résultats!G$39*Données!I99</f>
        <v>377246.27500276081</v>
      </c>
      <c r="M99">
        <f t="shared" si="4"/>
        <v>-57246.275002760813</v>
      </c>
      <c r="Q99">
        <v>131000</v>
      </c>
      <c r="R99">
        <v>1</v>
      </c>
      <c r="S99">
        <v>38</v>
      </c>
      <c r="T99">
        <v>0</v>
      </c>
      <c r="U99">
        <f t="shared" si="5"/>
        <v>11.884489021402711</v>
      </c>
      <c r="V99">
        <f t="shared" si="6"/>
        <v>8.6424151561696192</v>
      </c>
      <c r="W99">
        <v>0</v>
      </c>
      <c r="X99">
        <v>0</v>
      </c>
      <c r="Y99">
        <v>0</v>
      </c>
      <c r="Z99">
        <f>'Résultat (Ln)'!F$30+'Résultat (Ln)'!F$31*Données!S99+'Résultat (Ln)'!F$32*Données!T99+'Résultat (Ln)'!F$33*Données!U99+'Résultat (Ln)'!F$34*Données!V99+'Résultat (Ln)'!F$35*Données!W99+'Résultat (Ln)'!F$36*Données!X99+'Résultat (Ln)'!F$37*Données!Y99</f>
        <v>132955.4482436791</v>
      </c>
      <c r="AA99">
        <f t="shared" si="7"/>
        <v>-1955.4482436791004</v>
      </c>
    </row>
    <row r="100" spans="1:27" x14ac:dyDescent="0.25">
      <c r="A100">
        <v>192000</v>
      </c>
      <c r="B100">
        <v>1</v>
      </c>
      <c r="C100">
        <v>22</v>
      </c>
      <c r="D100">
        <v>0</v>
      </c>
      <c r="E100">
        <v>225000</v>
      </c>
      <c r="F100">
        <v>8750</v>
      </c>
      <c r="G100">
        <v>1</v>
      </c>
      <c r="H100">
        <v>0</v>
      </c>
      <c r="I100">
        <v>1</v>
      </c>
      <c r="J100">
        <v>17</v>
      </c>
      <c r="K100">
        <v>0</v>
      </c>
      <c r="L100">
        <f>Résultats!G$32+Résultats!G$33*Données!C100+Résultats!G$34*Données!D100+Résultats!G$35*Données!E100+Résultats!G$36*Données!F100+Résultats!G$37*Données!G100+Résultats!G$38*Données!H100+Résultats!G$39*Données!I100</f>
        <v>160794.55457619578</v>
      </c>
      <c r="M100">
        <f t="shared" si="4"/>
        <v>31205.445423804224</v>
      </c>
      <c r="Q100">
        <v>320000</v>
      </c>
      <c r="R100">
        <v>1</v>
      </c>
      <c r="S100">
        <v>50</v>
      </c>
      <c r="T100">
        <v>1</v>
      </c>
      <c r="U100">
        <f t="shared" si="5"/>
        <v>13.353475098367715</v>
      </c>
      <c r="V100">
        <f t="shared" si="6"/>
        <v>9.4334839232903924</v>
      </c>
      <c r="W100">
        <v>0</v>
      </c>
      <c r="X100">
        <v>0</v>
      </c>
      <c r="Y100">
        <v>0</v>
      </c>
      <c r="Z100">
        <f>'Résultat (Ln)'!F$30+'Résultat (Ln)'!F$31*Données!S100+'Résultat (Ln)'!F$32*Données!T100+'Résultat (Ln)'!F$33*Données!U100+'Résultat (Ln)'!F$34*Données!V100+'Résultat (Ln)'!F$35*Données!W100+'Résultat (Ln)'!F$36*Données!X100+'Résultat (Ln)'!F$37*Données!Y100</f>
        <v>331623.69720971549</v>
      </c>
      <c r="AA100">
        <f t="shared" si="7"/>
        <v>-11623.697209715494</v>
      </c>
    </row>
    <row r="101" spans="1:27" x14ac:dyDescent="0.25">
      <c r="A101">
        <v>101000</v>
      </c>
      <c r="B101">
        <v>1</v>
      </c>
      <c r="C101">
        <v>35.299999237060547</v>
      </c>
      <c r="D101">
        <v>0</v>
      </c>
      <c r="E101">
        <v>107000</v>
      </c>
      <c r="F101">
        <v>2493</v>
      </c>
      <c r="G101">
        <v>0</v>
      </c>
      <c r="H101">
        <v>1</v>
      </c>
      <c r="I101">
        <v>0</v>
      </c>
      <c r="J101">
        <v>27.670000076293949</v>
      </c>
      <c r="K101">
        <v>1</v>
      </c>
      <c r="L101">
        <f>Résultats!G$32+Résultats!G$33*Données!C101+Résultats!G$34*Données!D101+Résultats!G$35*Données!E101+Résultats!G$36*Données!F101+Résultats!G$37*Données!G101+Résultats!G$38*Données!H101+Résultats!G$39*Données!I101</f>
        <v>90279.296673997509</v>
      </c>
      <c r="M101">
        <f t="shared" si="4"/>
        <v>10720.703326002491</v>
      </c>
      <c r="Q101">
        <v>192000</v>
      </c>
      <c r="R101">
        <v>1</v>
      </c>
      <c r="S101">
        <v>22</v>
      </c>
      <c r="T101">
        <v>0</v>
      </c>
      <c r="U101">
        <f t="shared" si="5"/>
        <v>12.323855681186558</v>
      </c>
      <c r="V101">
        <f t="shared" si="6"/>
        <v>9.0768089793516609</v>
      </c>
      <c r="W101">
        <v>1</v>
      </c>
      <c r="X101">
        <v>0</v>
      </c>
      <c r="Y101">
        <v>1</v>
      </c>
      <c r="Z101">
        <f>'Résultat (Ln)'!F$30+'Résultat (Ln)'!F$31*Données!S101+'Résultat (Ln)'!F$32*Données!T101+'Résultat (Ln)'!F$33*Données!U101+'Résultat (Ln)'!F$34*Données!V101+'Résultat (Ln)'!F$35*Données!W101+'Résultat (Ln)'!F$36*Données!X101+'Résultat (Ln)'!F$37*Données!Y101</f>
        <v>191284.83165787935</v>
      </c>
      <c r="AA101">
        <f t="shared" si="7"/>
        <v>715.16834212065442</v>
      </c>
    </row>
    <row r="102" spans="1:27" x14ac:dyDescent="0.25">
      <c r="A102">
        <v>68000</v>
      </c>
      <c r="B102">
        <v>1</v>
      </c>
      <c r="C102">
        <v>36.5</v>
      </c>
      <c r="D102">
        <v>0</v>
      </c>
      <c r="E102">
        <v>85000</v>
      </c>
      <c r="F102">
        <v>3045</v>
      </c>
      <c r="G102">
        <v>0</v>
      </c>
      <c r="H102">
        <v>0</v>
      </c>
      <c r="I102">
        <v>0</v>
      </c>
      <c r="J102">
        <v>26.20000076293945</v>
      </c>
      <c r="K102">
        <v>0</v>
      </c>
      <c r="L102">
        <f>Résultats!G$32+Résultats!G$33*Données!C102+Résultats!G$34*Données!D102+Résultats!G$35*Données!E102+Résultats!G$36*Données!F102+Résultats!G$37*Données!G102+Résultats!G$38*Données!H102+Résultats!G$39*Données!I102</f>
        <v>84079.665199581679</v>
      </c>
      <c r="M102">
        <f t="shared" si="4"/>
        <v>-16079.665199581679</v>
      </c>
      <c r="Q102">
        <v>101000</v>
      </c>
      <c r="R102">
        <v>1</v>
      </c>
      <c r="S102">
        <v>35.299999237060547</v>
      </c>
      <c r="T102">
        <v>0</v>
      </c>
      <c r="U102">
        <f t="shared" si="5"/>
        <v>11.580584113444043</v>
      </c>
      <c r="V102">
        <f t="shared" si="6"/>
        <v>7.8212420835235577</v>
      </c>
      <c r="W102">
        <v>0</v>
      </c>
      <c r="X102">
        <v>1</v>
      </c>
      <c r="Y102">
        <v>0</v>
      </c>
      <c r="Z102">
        <f>'Résultat (Ln)'!F$30+'Résultat (Ln)'!F$31*Données!S102+'Résultat (Ln)'!F$32*Données!T102+'Résultat (Ln)'!F$33*Données!U102+'Résultat (Ln)'!F$34*Données!V102+'Résultat (Ln)'!F$35*Données!W102+'Résultat (Ln)'!F$36*Données!X102+'Résultat (Ln)'!F$37*Données!Y102</f>
        <v>73870.688968108225</v>
      </c>
      <c r="AA102">
        <f t="shared" si="7"/>
        <v>27129.311031891775</v>
      </c>
    </row>
    <row r="103" spans="1:27" x14ac:dyDescent="0.25">
      <c r="A103">
        <v>155000</v>
      </c>
      <c r="B103">
        <v>1</v>
      </c>
      <c r="C103">
        <v>31</v>
      </c>
      <c r="D103">
        <v>0</v>
      </c>
      <c r="E103">
        <v>172000</v>
      </c>
      <c r="F103">
        <v>2541</v>
      </c>
      <c r="G103">
        <v>0</v>
      </c>
      <c r="H103">
        <v>0</v>
      </c>
      <c r="I103">
        <v>0</v>
      </c>
      <c r="J103">
        <v>31</v>
      </c>
      <c r="K103">
        <v>0</v>
      </c>
      <c r="L103">
        <f>Résultats!G$32+Résultats!G$33*Données!C103+Résultats!G$34*Données!D103+Résultats!G$35*Données!E103+Résultats!G$36*Données!F103+Résultats!G$37*Données!G103+Résultats!G$38*Données!H103+Résultats!G$39*Données!I103</f>
        <v>117410.26765661118</v>
      </c>
      <c r="M103">
        <f t="shared" si="4"/>
        <v>37589.732343388823</v>
      </c>
      <c r="Q103">
        <v>68000</v>
      </c>
      <c r="R103">
        <v>1</v>
      </c>
      <c r="S103">
        <v>36.5</v>
      </c>
      <c r="T103">
        <v>0</v>
      </c>
      <c r="U103">
        <f t="shared" si="5"/>
        <v>11.350406535472453</v>
      </c>
      <c r="V103">
        <f t="shared" si="6"/>
        <v>8.0212561801439968</v>
      </c>
      <c r="W103">
        <v>0</v>
      </c>
      <c r="X103">
        <v>0</v>
      </c>
      <c r="Y103">
        <v>0</v>
      </c>
      <c r="Z103">
        <f>'Résultat (Ln)'!F$30+'Résultat (Ln)'!F$31*Données!S103+'Résultat (Ln)'!F$32*Données!T103+'Résultat (Ln)'!F$33*Données!U103+'Résultat (Ln)'!F$34*Données!V103+'Résultat (Ln)'!F$35*Données!W103+'Résultat (Ln)'!F$36*Données!X103+'Résultat (Ln)'!F$37*Données!Y103</f>
        <v>56450.216223277734</v>
      </c>
      <c r="AA103">
        <f t="shared" si="7"/>
        <v>11549.783776722266</v>
      </c>
    </row>
    <row r="104" spans="1:27" x14ac:dyDescent="0.25">
      <c r="A104">
        <v>200000</v>
      </c>
      <c r="B104">
        <v>1</v>
      </c>
      <c r="C104">
        <v>29</v>
      </c>
      <c r="D104">
        <v>0</v>
      </c>
      <c r="E104">
        <v>300000</v>
      </c>
      <c r="F104">
        <v>4583</v>
      </c>
      <c r="G104">
        <v>1</v>
      </c>
      <c r="H104">
        <v>0</v>
      </c>
      <c r="I104">
        <v>0</v>
      </c>
      <c r="J104">
        <v>29</v>
      </c>
      <c r="K104">
        <v>1</v>
      </c>
      <c r="L104">
        <f>Résultats!G$32+Résultats!G$33*Données!C104+Résultats!G$34*Données!D104+Résultats!G$35*Données!E104+Résultats!G$36*Données!F104+Résultats!G$37*Données!G104+Résultats!G$38*Données!H104+Résultats!G$39*Données!I104</f>
        <v>185856.5255703931</v>
      </c>
      <c r="M104">
        <f t="shared" si="4"/>
        <v>14143.474429606897</v>
      </c>
      <c r="Q104">
        <v>155000</v>
      </c>
      <c r="R104">
        <v>1</v>
      </c>
      <c r="S104">
        <v>31</v>
      </c>
      <c r="T104">
        <v>0</v>
      </c>
      <c r="U104">
        <f t="shared" si="5"/>
        <v>12.05524975579559</v>
      </c>
      <c r="V104">
        <f t="shared" si="6"/>
        <v>7.8403129833201639</v>
      </c>
      <c r="W104">
        <v>0</v>
      </c>
      <c r="X104">
        <v>0</v>
      </c>
      <c r="Y104">
        <v>0</v>
      </c>
      <c r="Z104">
        <f>'Résultat (Ln)'!F$30+'Résultat (Ln)'!F$31*Données!S104+'Résultat (Ln)'!F$32*Données!T104+'Résultat (Ln)'!F$33*Données!U104+'Résultat (Ln)'!F$34*Données!V104+'Résultat (Ln)'!F$35*Données!W104+'Résultat (Ln)'!F$36*Données!X104+'Résultat (Ln)'!F$37*Données!Y104</f>
        <v>120210.36368696491</v>
      </c>
      <c r="AA104">
        <f t="shared" si="7"/>
        <v>34789.636313035095</v>
      </c>
    </row>
    <row r="105" spans="1:27" x14ac:dyDescent="0.25">
      <c r="A105">
        <v>115000</v>
      </c>
      <c r="B105">
        <v>1</v>
      </c>
      <c r="C105">
        <v>36</v>
      </c>
      <c r="D105">
        <v>0</v>
      </c>
      <c r="E105">
        <v>137000</v>
      </c>
      <c r="F105">
        <v>2275</v>
      </c>
      <c r="G105">
        <v>1</v>
      </c>
      <c r="H105">
        <v>0</v>
      </c>
      <c r="I105">
        <v>0</v>
      </c>
      <c r="J105">
        <v>28</v>
      </c>
      <c r="K105">
        <v>1</v>
      </c>
      <c r="L105">
        <f>Résultats!G$32+Résultats!G$33*Données!C105+Résultats!G$34*Données!D105+Résultats!G$35*Données!E105+Résultats!G$36*Données!F105+Résultats!G$37*Données!G105+Résultats!G$38*Données!H105+Résultats!G$39*Données!I105</f>
        <v>113311.42219041573</v>
      </c>
      <c r="M105">
        <f t="shared" si="4"/>
        <v>1688.5778095842688</v>
      </c>
      <c r="Q105">
        <v>200000</v>
      </c>
      <c r="R105">
        <v>1</v>
      </c>
      <c r="S105">
        <v>29</v>
      </c>
      <c r="T105">
        <v>0</v>
      </c>
      <c r="U105">
        <f t="shared" si="5"/>
        <v>12.611537753638338</v>
      </c>
      <c r="V105">
        <f t="shared" si="6"/>
        <v>8.4301090845091249</v>
      </c>
      <c r="W105">
        <v>1</v>
      </c>
      <c r="X105">
        <v>0</v>
      </c>
      <c r="Y105">
        <v>0</v>
      </c>
      <c r="Z105">
        <f>'Résultat (Ln)'!F$30+'Résultat (Ln)'!F$31*Données!S105+'Résultat (Ln)'!F$32*Données!T105+'Résultat (Ln)'!F$33*Données!U105+'Résultat (Ln)'!F$34*Données!V105+'Résultat (Ln)'!F$35*Données!W105+'Résultat (Ln)'!F$36*Données!X105+'Résultat (Ln)'!F$37*Données!Y105</f>
        <v>198453.21891225412</v>
      </c>
      <c r="AA105">
        <f t="shared" si="7"/>
        <v>1546.7810877458833</v>
      </c>
    </row>
    <row r="106" spans="1:27" x14ac:dyDescent="0.25">
      <c r="A106">
        <v>126000</v>
      </c>
      <c r="B106">
        <v>1</v>
      </c>
      <c r="C106">
        <v>34</v>
      </c>
      <c r="D106">
        <v>1</v>
      </c>
      <c r="E106">
        <v>171000</v>
      </c>
      <c r="F106">
        <v>3786</v>
      </c>
      <c r="G106">
        <v>1</v>
      </c>
      <c r="H106">
        <v>0</v>
      </c>
      <c r="I106">
        <v>0</v>
      </c>
      <c r="J106">
        <v>32</v>
      </c>
      <c r="K106">
        <v>1</v>
      </c>
      <c r="L106">
        <f>Résultats!G$32+Résultats!G$33*Données!C106+Résultats!G$34*Données!D106+Résultats!G$35*Données!E106+Résultats!G$36*Données!F106+Résultats!G$37*Données!G106+Résultats!G$38*Données!H106+Résultats!G$39*Données!I106</f>
        <v>134666.73799199692</v>
      </c>
      <c r="M106">
        <f t="shared" si="4"/>
        <v>-8666.7379919969244</v>
      </c>
      <c r="Q106">
        <v>115000</v>
      </c>
      <c r="R106">
        <v>1</v>
      </c>
      <c r="S106">
        <v>36</v>
      </c>
      <c r="T106">
        <v>0</v>
      </c>
      <c r="U106">
        <f t="shared" si="5"/>
        <v>11.827736204810263</v>
      </c>
      <c r="V106">
        <f t="shared" si="6"/>
        <v>7.7297353313850508</v>
      </c>
      <c r="W106">
        <v>1</v>
      </c>
      <c r="X106">
        <v>0</v>
      </c>
      <c r="Y106">
        <v>0</v>
      </c>
      <c r="Z106">
        <f>'Résultat (Ln)'!F$30+'Résultat (Ln)'!F$31*Données!S106+'Résultat (Ln)'!F$32*Données!T106+'Résultat (Ln)'!F$33*Données!U106+'Résultat (Ln)'!F$34*Données!V106+'Résultat (Ln)'!F$35*Données!W106+'Résultat (Ln)'!F$36*Données!X106+'Résultat (Ln)'!F$37*Données!Y106</f>
        <v>103344.9175154752</v>
      </c>
      <c r="AA106">
        <f t="shared" si="7"/>
        <v>11655.082484524799</v>
      </c>
    </row>
    <row r="107" spans="1:27" x14ac:dyDescent="0.25">
      <c r="A107">
        <v>300000</v>
      </c>
      <c r="B107">
        <v>1</v>
      </c>
      <c r="C107">
        <v>21</v>
      </c>
      <c r="D107">
        <v>0</v>
      </c>
      <c r="E107">
        <v>615000</v>
      </c>
      <c r="F107">
        <v>9226</v>
      </c>
      <c r="G107">
        <v>1</v>
      </c>
      <c r="H107">
        <v>0</v>
      </c>
      <c r="I107">
        <v>0</v>
      </c>
      <c r="J107">
        <v>21</v>
      </c>
      <c r="K107">
        <v>1</v>
      </c>
      <c r="L107">
        <f>Résultats!G$32+Résultats!G$33*Données!C107+Résultats!G$34*Données!D107+Résultats!G$35*Données!E107+Résultats!G$36*Données!F107+Résultats!G$37*Données!G107+Résultats!G$38*Données!H107+Résultats!G$39*Données!I107</f>
        <v>332754.58890853083</v>
      </c>
      <c r="M107">
        <f t="shared" si="4"/>
        <v>-32754.58890853083</v>
      </c>
      <c r="Q107">
        <v>126000</v>
      </c>
      <c r="R107">
        <v>1</v>
      </c>
      <c r="S107">
        <v>34</v>
      </c>
      <c r="T107">
        <v>1</v>
      </c>
      <c r="U107">
        <f t="shared" si="5"/>
        <v>12.049418835484797</v>
      </c>
      <c r="V107">
        <f t="shared" si="6"/>
        <v>8.2390653317692681</v>
      </c>
      <c r="W107">
        <v>1</v>
      </c>
      <c r="X107">
        <v>0</v>
      </c>
      <c r="Y107">
        <v>0</v>
      </c>
      <c r="Z107">
        <f>'Résultat (Ln)'!F$30+'Résultat (Ln)'!F$31*Données!S107+'Résultat (Ln)'!F$32*Données!T107+'Résultat (Ln)'!F$33*Données!U107+'Résultat (Ln)'!F$34*Données!V107+'Résultat (Ln)'!F$35*Données!W107+'Résultat (Ln)'!F$36*Données!X107+'Résultat (Ln)'!F$37*Données!Y107</f>
        <v>143297.60642653127</v>
      </c>
      <c r="AA107">
        <f t="shared" si="7"/>
        <v>-17297.606426531274</v>
      </c>
    </row>
    <row r="108" spans="1:27" x14ac:dyDescent="0.25">
      <c r="A108">
        <v>100000</v>
      </c>
      <c r="B108">
        <v>1</v>
      </c>
      <c r="C108">
        <v>37</v>
      </c>
      <c r="D108">
        <v>0</v>
      </c>
      <c r="E108">
        <v>122000</v>
      </c>
      <c r="F108">
        <v>1828</v>
      </c>
      <c r="G108">
        <v>1</v>
      </c>
      <c r="H108">
        <v>0</v>
      </c>
      <c r="I108">
        <v>0</v>
      </c>
      <c r="J108">
        <v>31</v>
      </c>
      <c r="K108">
        <v>1</v>
      </c>
      <c r="L108">
        <f>Résultats!G$32+Résultats!G$33*Données!C108+Résultats!G$34*Données!D108+Résultats!G$35*Données!E108+Résultats!G$36*Données!F108+Résultats!G$37*Données!G108+Résultats!G$38*Données!H108+Résultats!G$39*Données!I108</f>
        <v>106589.60258695131</v>
      </c>
      <c r="M108">
        <f t="shared" si="4"/>
        <v>-6589.6025869513105</v>
      </c>
      <c r="Q108">
        <v>300000</v>
      </c>
      <c r="R108">
        <v>1</v>
      </c>
      <c r="S108">
        <v>21</v>
      </c>
      <c r="T108">
        <v>0</v>
      </c>
      <c r="U108">
        <f t="shared" si="5"/>
        <v>13.329377546788654</v>
      </c>
      <c r="V108">
        <f t="shared" si="6"/>
        <v>9.129780864117766</v>
      </c>
      <c r="W108">
        <v>1</v>
      </c>
      <c r="X108">
        <v>0</v>
      </c>
      <c r="Y108">
        <v>0</v>
      </c>
      <c r="Z108">
        <f>'Résultat (Ln)'!F$30+'Résultat (Ln)'!F$31*Données!S108+'Résultat (Ln)'!F$32*Données!T108+'Résultat (Ln)'!F$33*Données!U108+'Résultat (Ln)'!F$34*Données!V108+'Résultat (Ln)'!F$35*Données!W108+'Résultat (Ln)'!F$36*Données!X108+'Résultat (Ln)'!F$37*Données!Y108</f>
        <v>285248.98417587392</v>
      </c>
      <c r="AA108">
        <f t="shared" si="7"/>
        <v>14751.01582412608</v>
      </c>
    </row>
    <row r="109" spans="1:27" x14ac:dyDescent="0.25">
      <c r="A109">
        <v>235000</v>
      </c>
      <c r="B109">
        <v>1</v>
      </c>
      <c r="C109">
        <v>35.700000762939453</v>
      </c>
      <c r="D109">
        <v>0</v>
      </c>
      <c r="E109">
        <v>255000</v>
      </c>
      <c r="F109">
        <v>8283</v>
      </c>
      <c r="G109">
        <v>0</v>
      </c>
      <c r="H109">
        <v>0</v>
      </c>
      <c r="I109">
        <v>0</v>
      </c>
      <c r="J109">
        <v>29.89999961853027</v>
      </c>
      <c r="K109">
        <v>1</v>
      </c>
      <c r="L109">
        <f>Résultats!G$32+Résultats!G$33*Données!C109+Résultats!G$34*Données!D109+Résultats!G$35*Données!E109+Résultats!G$36*Données!F109+Résultats!G$37*Données!G109+Résultats!G$38*Données!H109+Résultats!G$39*Données!I109</f>
        <v>172692.91566882783</v>
      </c>
      <c r="M109">
        <f t="shared" si="4"/>
        <v>62307.084331172169</v>
      </c>
      <c r="Q109">
        <v>100000</v>
      </c>
      <c r="R109">
        <v>1</v>
      </c>
      <c r="S109">
        <v>37</v>
      </c>
      <c r="T109">
        <v>0</v>
      </c>
      <c r="U109">
        <f t="shared" si="5"/>
        <v>11.711776323715394</v>
      </c>
      <c r="V109">
        <f t="shared" si="6"/>
        <v>7.510977752014095</v>
      </c>
      <c r="W109">
        <v>1</v>
      </c>
      <c r="X109">
        <v>0</v>
      </c>
      <c r="Y109">
        <v>0</v>
      </c>
      <c r="Z109">
        <f>'Résultat (Ln)'!F$30+'Résultat (Ln)'!F$31*Données!S109+'Résultat (Ln)'!F$32*Données!T109+'Résultat (Ln)'!F$33*Données!U109+'Résultat (Ln)'!F$34*Données!V109+'Résultat (Ln)'!F$35*Données!W109+'Résultat (Ln)'!F$36*Données!X109+'Résultat (Ln)'!F$37*Données!Y109</f>
        <v>86001.343590139862</v>
      </c>
      <c r="AA109">
        <f t="shared" si="7"/>
        <v>13998.656409860138</v>
      </c>
    </row>
    <row r="110" spans="1:27" x14ac:dyDescent="0.25">
      <c r="A110">
        <v>65000</v>
      </c>
      <c r="B110">
        <v>1</v>
      </c>
      <c r="C110">
        <v>36.799999237060547</v>
      </c>
      <c r="D110">
        <v>0</v>
      </c>
      <c r="E110">
        <v>72400.001525878906</v>
      </c>
      <c r="F110">
        <v>2766</v>
      </c>
      <c r="G110">
        <v>1</v>
      </c>
      <c r="H110">
        <v>0</v>
      </c>
      <c r="I110">
        <v>0</v>
      </c>
      <c r="J110">
        <v>26.60000038146973</v>
      </c>
      <c r="K110">
        <v>1</v>
      </c>
      <c r="L110">
        <f>Résultats!G$32+Résultats!G$33*Données!C110+Résultats!G$34*Données!D110+Résultats!G$35*Données!E110+Résultats!G$36*Données!F110+Résultats!G$37*Données!G110+Résultats!G$38*Données!H110+Résultats!G$39*Données!I110</f>
        <v>85016.630770192947</v>
      </c>
      <c r="M110">
        <f t="shared" si="4"/>
        <v>-20016.630770192947</v>
      </c>
      <c r="Q110">
        <v>235000</v>
      </c>
      <c r="R110">
        <v>1</v>
      </c>
      <c r="S110">
        <v>35.700000762939453</v>
      </c>
      <c r="T110">
        <v>0</v>
      </c>
      <c r="U110">
        <f t="shared" si="5"/>
        <v>12.449018824140563</v>
      </c>
      <c r="V110">
        <f t="shared" si="6"/>
        <v>9.0219605005982633</v>
      </c>
      <c r="W110">
        <v>0</v>
      </c>
      <c r="X110">
        <v>0</v>
      </c>
      <c r="Y110">
        <v>0</v>
      </c>
      <c r="Z110">
        <f>'Résultat (Ln)'!F$30+'Résultat (Ln)'!F$31*Données!S110+'Résultat (Ln)'!F$32*Données!T110+'Résultat (Ln)'!F$33*Données!U110+'Résultat (Ln)'!F$34*Données!V110+'Résultat (Ln)'!F$35*Données!W110+'Résultat (Ln)'!F$36*Données!X110+'Résultat (Ln)'!F$37*Données!Y110</f>
        <v>201304.49701317618</v>
      </c>
      <c r="AA110">
        <f t="shared" si="7"/>
        <v>33695.50298682382</v>
      </c>
    </row>
    <row r="111" spans="1:27" x14ac:dyDescent="0.25">
      <c r="A111">
        <v>144000</v>
      </c>
      <c r="B111">
        <v>1</v>
      </c>
      <c r="C111">
        <v>36</v>
      </c>
      <c r="D111">
        <v>0</v>
      </c>
      <c r="E111">
        <v>160000</v>
      </c>
      <c r="F111">
        <v>3667</v>
      </c>
      <c r="G111">
        <v>1</v>
      </c>
      <c r="H111">
        <v>0</v>
      </c>
      <c r="I111">
        <v>0</v>
      </c>
      <c r="J111">
        <v>31</v>
      </c>
      <c r="K111">
        <v>0</v>
      </c>
      <c r="L111">
        <f>Résultats!G$32+Résultats!G$33*Données!C111+Résultats!G$34*Données!D111+Résultats!G$35*Données!E111+Résultats!G$36*Données!F111+Résultats!G$37*Données!G111+Résultats!G$38*Données!H111+Résultats!G$39*Données!I111</f>
        <v>126748.74738301807</v>
      </c>
      <c r="M111">
        <f t="shared" si="4"/>
        <v>17251.252616981932</v>
      </c>
      <c r="Q111">
        <v>65000</v>
      </c>
      <c r="R111">
        <v>1</v>
      </c>
      <c r="S111">
        <v>36.799999237060547</v>
      </c>
      <c r="T111">
        <v>0</v>
      </c>
      <c r="U111">
        <f t="shared" si="5"/>
        <v>11.189961599449482</v>
      </c>
      <c r="V111">
        <f t="shared" si="6"/>
        <v>7.9251575122247031</v>
      </c>
      <c r="W111">
        <v>1</v>
      </c>
      <c r="X111">
        <v>0</v>
      </c>
      <c r="Y111">
        <v>0</v>
      </c>
      <c r="Z111">
        <f>'Résultat (Ln)'!F$30+'Résultat (Ln)'!F$31*Données!S111+'Résultat (Ln)'!F$32*Données!T111+'Résultat (Ln)'!F$33*Données!U111+'Résultat (Ln)'!F$34*Données!V111+'Résultat (Ln)'!F$35*Données!W111+'Résultat (Ln)'!F$36*Données!X111+'Résultat (Ln)'!F$37*Données!Y111</f>
        <v>41436.709317472145</v>
      </c>
      <c r="AA111">
        <f t="shared" si="7"/>
        <v>23563.290682527855</v>
      </c>
    </row>
    <row r="112" spans="1:27" x14ac:dyDescent="0.25">
      <c r="A112">
        <v>135000</v>
      </c>
      <c r="B112">
        <v>1</v>
      </c>
      <c r="C112">
        <v>35</v>
      </c>
      <c r="D112">
        <v>0</v>
      </c>
      <c r="E112">
        <v>180000</v>
      </c>
      <c r="F112">
        <v>5290</v>
      </c>
      <c r="G112">
        <v>0</v>
      </c>
      <c r="H112">
        <v>0</v>
      </c>
      <c r="I112">
        <v>0</v>
      </c>
      <c r="J112">
        <v>29</v>
      </c>
      <c r="K112">
        <v>0</v>
      </c>
      <c r="L112">
        <f>Résultats!G$32+Résultats!G$33*Données!C112+Résultats!G$34*Données!D112+Résultats!G$35*Données!E112+Résultats!G$36*Données!F112+Résultats!G$37*Données!G112+Résultats!G$38*Données!H112+Résultats!G$39*Données!I112</f>
        <v>131067.55279092581</v>
      </c>
      <c r="M112">
        <f t="shared" si="4"/>
        <v>3932.4472090741911</v>
      </c>
      <c r="Q112">
        <v>144000</v>
      </c>
      <c r="R112">
        <v>1</v>
      </c>
      <c r="S112">
        <v>36</v>
      </c>
      <c r="T112">
        <v>0</v>
      </c>
      <c r="U112">
        <f t="shared" si="5"/>
        <v>11.982929094215963</v>
      </c>
      <c r="V112">
        <f t="shared" si="6"/>
        <v>8.2071291680713259</v>
      </c>
      <c r="W112">
        <v>1</v>
      </c>
      <c r="X112">
        <v>0</v>
      </c>
      <c r="Y112">
        <v>0</v>
      </c>
      <c r="Z112">
        <f>'Résultat (Ln)'!F$30+'Résultat (Ln)'!F$31*Données!S112+'Résultat (Ln)'!F$32*Données!T112+'Résultat (Ln)'!F$33*Données!U112+'Résultat (Ln)'!F$34*Données!V112+'Résultat (Ln)'!F$35*Données!W112+'Résultat (Ln)'!F$36*Données!X112+'Résultat (Ln)'!F$37*Données!Y112</f>
        <v>133369.79586189447</v>
      </c>
      <c r="AA112">
        <f t="shared" si="7"/>
        <v>10630.204138105531</v>
      </c>
    </row>
    <row r="113" spans="1:27" x14ac:dyDescent="0.25">
      <c r="A113">
        <v>184000</v>
      </c>
      <c r="B113">
        <v>1</v>
      </c>
      <c r="C113">
        <v>26</v>
      </c>
      <c r="D113">
        <v>0</v>
      </c>
      <c r="E113">
        <v>230000</v>
      </c>
      <c r="F113">
        <v>4166</v>
      </c>
      <c r="G113">
        <v>0</v>
      </c>
      <c r="H113">
        <v>0</v>
      </c>
      <c r="I113">
        <v>1</v>
      </c>
      <c r="J113">
        <v>17</v>
      </c>
      <c r="K113">
        <v>1</v>
      </c>
      <c r="L113">
        <f>Résultats!G$32+Résultats!G$33*Données!C113+Résultats!G$34*Données!D113+Résultats!G$35*Données!E113+Résultats!G$36*Données!F113+Résultats!G$37*Données!G113+Résultats!G$38*Données!H113+Résultats!G$39*Données!I113</f>
        <v>151824.56667035646</v>
      </c>
      <c r="M113">
        <f t="shared" si="4"/>
        <v>32175.433329643536</v>
      </c>
      <c r="Q113">
        <v>135000</v>
      </c>
      <c r="R113">
        <v>1</v>
      </c>
      <c r="S113">
        <v>35</v>
      </c>
      <c r="T113">
        <v>0</v>
      </c>
      <c r="U113">
        <f t="shared" si="5"/>
        <v>12.100712129872347</v>
      </c>
      <c r="V113">
        <f t="shared" si="6"/>
        <v>8.5735735248523444</v>
      </c>
      <c r="W113">
        <v>0</v>
      </c>
      <c r="X113">
        <v>0</v>
      </c>
      <c r="Y113">
        <v>0</v>
      </c>
      <c r="Z113">
        <f>'Résultat (Ln)'!F$30+'Résultat (Ln)'!F$31*Données!S113+'Résultat (Ln)'!F$32*Données!T113+'Résultat (Ln)'!F$33*Données!U113+'Résultat (Ln)'!F$34*Données!V113+'Résultat (Ln)'!F$35*Données!W113+'Résultat (Ln)'!F$36*Données!X113+'Résultat (Ln)'!F$37*Données!Y113</f>
        <v>150536.76578023462</v>
      </c>
      <c r="AA113">
        <f t="shared" si="7"/>
        <v>-15536.765780234622</v>
      </c>
    </row>
    <row r="114" spans="1:27" x14ac:dyDescent="0.25">
      <c r="A114">
        <v>100000</v>
      </c>
      <c r="B114">
        <v>1</v>
      </c>
      <c r="C114">
        <v>29</v>
      </c>
      <c r="D114">
        <v>0</v>
      </c>
      <c r="E114">
        <v>295000</v>
      </c>
      <c r="F114">
        <v>1300</v>
      </c>
      <c r="G114">
        <v>0</v>
      </c>
      <c r="H114">
        <v>6</v>
      </c>
      <c r="I114">
        <v>0</v>
      </c>
      <c r="J114">
        <v>28</v>
      </c>
      <c r="K114">
        <v>1</v>
      </c>
      <c r="L114">
        <f>Résultats!G$32+Résultats!G$33*Données!C114+Résultats!G$34*Données!D114+Résultats!G$35*Données!E114+Résultats!G$36*Données!F114+Résultats!G$37*Données!G114+Résultats!G$38*Données!H114+Résultats!G$39*Données!I114</f>
        <v>160391.72594914079</v>
      </c>
      <c r="M114">
        <f t="shared" si="4"/>
        <v>-60391.725949140789</v>
      </c>
      <c r="Q114">
        <v>184000</v>
      </c>
      <c r="R114">
        <v>1</v>
      </c>
      <c r="S114">
        <v>26</v>
      </c>
      <c r="T114">
        <v>0</v>
      </c>
      <c r="U114">
        <f t="shared" si="5"/>
        <v>12.345834587905333</v>
      </c>
      <c r="V114">
        <f t="shared" si="6"/>
        <v>8.334711621820917</v>
      </c>
      <c r="W114">
        <v>0</v>
      </c>
      <c r="X114">
        <v>0</v>
      </c>
      <c r="Y114">
        <v>1</v>
      </c>
      <c r="Z114">
        <f>'Résultat (Ln)'!F$30+'Résultat (Ln)'!F$31*Données!S114+'Résultat (Ln)'!F$32*Données!T114+'Résultat (Ln)'!F$33*Données!U114+'Résultat (Ln)'!F$34*Données!V114+'Résultat (Ln)'!F$35*Données!W114+'Résultat (Ln)'!F$36*Données!X114+'Résultat (Ln)'!F$37*Données!Y114</f>
        <v>173202.29723855093</v>
      </c>
      <c r="AA114">
        <f t="shared" si="7"/>
        <v>10797.702761449065</v>
      </c>
    </row>
    <row r="115" spans="1:27" x14ac:dyDescent="0.25">
      <c r="A115">
        <v>110000</v>
      </c>
      <c r="B115">
        <v>1</v>
      </c>
      <c r="C115">
        <v>22.29999923706055</v>
      </c>
      <c r="D115">
        <v>0</v>
      </c>
      <c r="E115">
        <v>167000</v>
      </c>
      <c r="F115">
        <v>3748</v>
      </c>
      <c r="G115">
        <v>0</v>
      </c>
      <c r="H115">
        <v>0</v>
      </c>
      <c r="I115">
        <v>0</v>
      </c>
      <c r="J115">
        <v>22.29999923706055</v>
      </c>
      <c r="K115">
        <v>1</v>
      </c>
      <c r="L115">
        <f>Résultats!G$32+Résultats!G$33*Données!C115+Résultats!G$34*Données!D115+Résultats!G$35*Données!E115+Résultats!G$36*Données!F115+Résultats!G$37*Données!G115+Résultats!G$38*Données!H115+Résultats!G$39*Données!I115</f>
        <v>107420.9774890251</v>
      </c>
      <c r="M115">
        <f t="shared" si="4"/>
        <v>2579.0225109749008</v>
      </c>
      <c r="Q115">
        <v>100000</v>
      </c>
      <c r="R115">
        <v>1</v>
      </c>
      <c r="S115">
        <v>29</v>
      </c>
      <c r="T115">
        <v>0</v>
      </c>
      <c r="U115">
        <f t="shared" si="5"/>
        <v>12.594730635321957</v>
      </c>
      <c r="V115">
        <f t="shared" si="6"/>
        <v>7.1701195434496281</v>
      </c>
      <c r="W115">
        <v>0</v>
      </c>
      <c r="X115">
        <v>6</v>
      </c>
      <c r="Y115">
        <v>0</v>
      </c>
      <c r="Z115">
        <f>'Résultat (Ln)'!F$30+'Résultat (Ln)'!F$31*Données!S115+'Résultat (Ln)'!F$32*Données!T115+'Résultat (Ln)'!F$33*Données!U115+'Résultat (Ln)'!F$34*Données!V115+'Résultat (Ln)'!F$35*Données!W115+'Résultat (Ln)'!F$36*Données!X115+'Résultat (Ln)'!F$37*Données!Y115</f>
        <v>155734.89934311685</v>
      </c>
      <c r="AA115">
        <f t="shared" si="7"/>
        <v>-55734.899343116849</v>
      </c>
    </row>
    <row r="116" spans="1:27" x14ac:dyDescent="0.25">
      <c r="A116">
        <v>149000</v>
      </c>
      <c r="B116">
        <v>1</v>
      </c>
      <c r="C116">
        <v>32.200000762939453</v>
      </c>
      <c r="D116">
        <v>0</v>
      </c>
      <c r="E116">
        <v>165000</v>
      </c>
      <c r="F116">
        <v>4800</v>
      </c>
      <c r="G116">
        <v>0</v>
      </c>
      <c r="H116">
        <v>0</v>
      </c>
      <c r="I116">
        <v>1</v>
      </c>
      <c r="J116">
        <v>30.5</v>
      </c>
      <c r="K116">
        <v>0</v>
      </c>
      <c r="L116">
        <f>Résultats!G$32+Résultats!G$33*Données!C116+Résultats!G$34*Données!D116+Résultats!G$35*Données!E116+Résultats!G$36*Données!F116+Résultats!G$37*Données!G116+Résultats!G$38*Données!H116+Résultats!G$39*Données!I116</f>
        <v>129822.91862342127</v>
      </c>
      <c r="M116">
        <f t="shared" si="4"/>
        <v>19177.081376578732</v>
      </c>
      <c r="Q116">
        <v>110000</v>
      </c>
      <c r="R116">
        <v>1</v>
      </c>
      <c r="S116">
        <v>22.29999923706055</v>
      </c>
      <c r="T116">
        <v>0</v>
      </c>
      <c r="U116">
        <f t="shared" si="5"/>
        <v>12.025749091398891</v>
      </c>
      <c r="V116">
        <f t="shared" si="6"/>
        <v>8.2289776433583128</v>
      </c>
      <c r="W116">
        <v>0</v>
      </c>
      <c r="X116">
        <v>0</v>
      </c>
      <c r="Y116">
        <v>0</v>
      </c>
      <c r="Z116">
        <f>'Résultat (Ln)'!F$30+'Résultat (Ln)'!F$31*Données!S116+'Résultat (Ln)'!F$32*Données!T116+'Résultat (Ln)'!F$33*Données!U116+'Résultat (Ln)'!F$34*Données!V116+'Résultat (Ln)'!F$35*Données!W116+'Résultat (Ln)'!F$36*Données!X116+'Résultat (Ln)'!F$37*Données!Y116</f>
        <v>117316.67444744002</v>
      </c>
      <c r="AA116">
        <f t="shared" si="7"/>
        <v>-7316.6744474400184</v>
      </c>
    </row>
    <row r="117" spans="1:27" x14ac:dyDescent="0.25">
      <c r="A117">
        <v>450000</v>
      </c>
      <c r="B117">
        <v>1</v>
      </c>
      <c r="C117">
        <v>37</v>
      </c>
      <c r="D117">
        <v>0</v>
      </c>
      <c r="E117">
        <v>650000</v>
      </c>
      <c r="F117">
        <v>22108</v>
      </c>
      <c r="G117">
        <v>1</v>
      </c>
      <c r="H117">
        <v>0</v>
      </c>
      <c r="I117">
        <v>1</v>
      </c>
      <c r="J117">
        <v>24</v>
      </c>
      <c r="K117">
        <v>1</v>
      </c>
      <c r="L117">
        <f>Résultats!G$32+Résultats!G$33*Données!C117+Résultats!G$34*Données!D117+Résultats!G$35*Données!E117+Résultats!G$36*Données!F117+Résultats!G$37*Données!G117+Résultats!G$38*Données!H117+Résultats!G$39*Données!I117</f>
        <v>402364.71308059152</v>
      </c>
      <c r="M117">
        <f t="shared" si="4"/>
        <v>47635.286919408478</v>
      </c>
      <c r="Q117">
        <v>149000</v>
      </c>
      <c r="R117">
        <v>1</v>
      </c>
      <c r="S117">
        <v>32.200000762939453</v>
      </c>
      <c r="T117">
        <v>0</v>
      </c>
      <c r="U117">
        <f t="shared" si="5"/>
        <v>12.013700752882718</v>
      </c>
      <c r="V117">
        <f t="shared" si="6"/>
        <v>8.4763711968959825</v>
      </c>
      <c r="W117">
        <v>0</v>
      </c>
      <c r="X117">
        <v>0</v>
      </c>
      <c r="Y117">
        <v>1</v>
      </c>
      <c r="Z117">
        <f>'Résultat (Ln)'!F$30+'Résultat (Ln)'!F$31*Données!S117+'Résultat (Ln)'!F$32*Données!T117+'Résultat (Ln)'!F$33*Données!U117+'Résultat (Ln)'!F$34*Données!V117+'Résultat (Ln)'!F$35*Données!W117+'Résultat (Ln)'!F$36*Données!X117+'Résultat (Ln)'!F$37*Données!Y117</f>
        <v>149148.63272214349</v>
      </c>
      <c r="AA117">
        <f t="shared" si="7"/>
        <v>-148.63272214349126</v>
      </c>
    </row>
    <row r="118" spans="1:27" x14ac:dyDescent="0.25">
      <c r="A118">
        <v>80000</v>
      </c>
      <c r="B118">
        <v>1</v>
      </c>
      <c r="C118">
        <v>27</v>
      </c>
      <c r="D118">
        <v>0</v>
      </c>
      <c r="E118">
        <v>100000</v>
      </c>
      <c r="F118">
        <v>3600</v>
      </c>
      <c r="G118">
        <v>0</v>
      </c>
      <c r="H118">
        <v>0</v>
      </c>
      <c r="I118">
        <v>1</v>
      </c>
      <c r="J118">
        <v>23</v>
      </c>
      <c r="K118">
        <v>1</v>
      </c>
      <c r="L118">
        <f>Résultats!G$32+Résultats!G$33*Données!C118+Résultats!G$34*Données!D118+Résultats!G$35*Données!E118+Résultats!G$36*Données!F118+Résultats!G$37*Données!G118+Résultats!G$38*Données!H118+Résultats!G$39*Données!I118</f>
        <v>91172.524473015801</v>
      </c>
      <c r="M118">
        <f t="shared" si="4"/>
        <v>-11172.524473015801</v>
      </c>
      <c r="Q118">
        <v>450000</v>
      </c>
      <c r="R118">
        <v>1</v>
      </c>
      <c r="S118">
        <v>37</v>
      </c>
      <c r="T118">
        <v>0</v>
      </c>
      <c r="U118">
        <f t="shared" si="5"/>
        <v>13.38472764187182</v>
      </c>
      <c r="V118">
        <f t="shared" si="6"/>
        <v>10.003694812953153</v>
      </c>
      <c r="W118">
        <v>1</v>
      </c>
      <c r="X118">
        <v>0</v>
      </c>
      <c r="Y118">
        <v>1</v>
      </c>
      <c r="Z118">
        <f>'Résultat (Ln)'!F$30+'Résultat (Ln)'!F$31*Données!S118+'Résultat (Ln)'!F$32*Données!T118+'Résultat (Ln)'!F$33*Données!U118+'Résultat (Ln)'!F$34*Données!V118+'Résultat (Ln)'!F$35*Données!W118+'Résultat (Ln)'!F$36*Données!X118+'Résultat (Ln)'!F$37*Données!Y118</f>
        <v>349331.46500639047</v>
      </c>
      <c r="AA118">
        <f t="shared" si="7"/>
        <v>100668.53499360953</v>
      </c>
    </row>
    <row r="119" spans="1:27" x14ac:dyDescent="0.25">
      <c r="A119">
        <v>47000</v>
      </c>
      <c r="B119">
        <v>1</v>
      </c>
      <c r="C119">
        <v>32</v>
      </c>
      <c r="D119">
        <v>0</v>
      </c>
      <c r="E119">
        <v>67500</v>
      </c>
      <c r="F119">
        <v>1800</v>
      </c>
      <c r="G119">
        <v>0</v>
      </c>
      <c r="H119">
        <v>0</v>
      </c>
      <c r="I119">
        <v>1</v>
      </c>
      <c r="J119">
        <v>19</v>
      </c>
      <c r="K119">
        <v>1</v>
      </c>
      <c r="L119">
        <f>Résultats!G$32+Résultats!G$33*Données!C119+Résultats!G$34*Données!D119+Résultats!G$35*Données!E119+Résultats!G$36*Données!F119+Résultats!G$37*Données!G119+Résultats!G$38*Données!H119+Résultats!G$39*Données!I119</f>
        <v>78251.87787838385</v>
      </c>
      <c r="M119">
        <f t="shared" si="4"/>
        <v>-31251.87787838385</v>
      </c>
      <c r="Q119">
        <v>80000</v>
      </c>
      <c r="R119">
        <v>1</v>
      </c>
      <c r="S119">
        <v>27</v>
      </c>
      <c r="T119">
        <v>0</v>
      </c>
      <c r="U119">
        <f t="shared" si="5"/>
        <v>11.512925464970229</v>
      </c>
      <c r="V119">
        <f t="shared" si="6"/>
        <v>8.1886891244442008</v>
      </c>
      <c r="W119">
        <v>0</v>
      </c>
      <c r="X119">
        <v>0</v>
      </c>
      <c r="Y119">
        <v>1</v>
      </c>
      <c r="Z119">
        <f>'Résultat (Ln)'!F$30+'Résultat (Ln)'!F$31*Données!S119+'Résultat (Ln)'!F$32*Données!T119+'Résultat (Ln)'!F$33*Données!U119+'Résultat (Ln)'!F$34*Données!V119+'Résultat (Ln)'!F$35*Données!W119+'Résultat (Ln)'!F$36*Données!X119+'Résultat (Ln)'!F$37*Données!Y119</f>
        <v>81044.856307372218</v>
      </c>
      <c r="AA119">
        <f t="shared" si="7"/>
        <v>-1044.856307372218</v>
      </c>
    </row>
    <row r="120" spans="1:27" x14ac:dyDescent="0.25">
      <c r="A120">
        <v>48000</v>
      </c>
      <c r="B120">
        <v>1</v>
      </c>
      <c r="C120">
        <v>19</v>
      </c>
      <c r="D120">
        <v>0</v>
      </c>
      <c r="E120">
        <v>62900.001525878914</v>
      </c>
      <c r="F120">
        <v>1888</v>
      </c>
      <c r="G120">
        <v>1</v>
      </c>
      <c r="H120">
        <v>0</v>
      </c>
      <c r="I120">
        <v>0</v>
      </c>
      <c r="J120">
        <v>16</v>
      </c>
      <c r="K120">
        <v>1</v>
      </c>
      <c r="L120">
        <f>Résultats!G$32+Résultats!G$33*Données!C120+Résultats!G$34*Données!D120+Résultats!G$35*Données!E120+Résultats!G$36*Données!F120+Résultats!G$37*Données!G120+Résultats!G$38*Données!H120+Résultats!G$39*Données!I120</f>
        <v>58432.865538739759</v>
      </c>
      <c r="M120">
        <f t="shared" si="4"/>
        <v>-10432.865538739759</v>
      </c>
      <c r="Q120">
        <v>47000</v>
      </c>
      <c r="R120">
        <v>1</v>
      </c>
      <c r="S120">
        <v>32</v>
      </c>
      <c r="T120">
        <v>0</v>
      </c>
      <c r="U120">
        <f t="shared" si="5"/>
        <v>11.119882876860622</v>
      </c>
      <c r="V120">
        <f t="shared" si="6"/>
        <v>7.4955419438842563</v>
      </c>
      <c r="W120">
        <v>0</v>
      </c>
      <c r="X120">
        <v>0</v>
      </c>
      <c r="Y120">
        <v>1</v>
      </c>
      <c r="Z120">
        <f>'Résultat (Ln)'!F$30+'Résultat (Ln)'!F$31*Données!S120+'Résultat (Ln)'!F$32*Données!T120+'Résultat (Ln)'!F$33*Données!U120+'Résultat (Ln)'!F$34*Données!V120+'Résultat (Ln)'!F$35*Données!W120+'Résultat (Ln)'!F$36*Données!X120+'Résultat (Ln)'!F$37*Données!Y120</f>
        <v>25582.776044532395</v>
      </c>
      <c r="AA120">
        <f t="shared" si="7"/>
        <v>21417.223955467605</v>
      </c>
    </row>
    <row r="121" spans="1:27" x14ac:dyDescent="0.25">
      <c r="A121">
        <v>160000</v>
      </c>
      <c r="B121">
        <v>1</v>
      </c>
      <c r="C121">
        <v>21.20000076293945</v>
      </c>
      <c r="D121">
        <v>0</v>
      </c>
      <c r="E121">
        <v>300000</v>
      </c>
      <c r="F121">
        <v>7400</v>
      </c>
      <c r="G121">
        <v>1</v>
      </c>
      <c r="H121">
        <v>0</v>
      </c>
      <c r="I121">
        <v>0</v>
      </c>
      <c r="J121">
        <v>18.180000305175781</v>
      </c>
      <c r="K121">
        <v>1</v>
      </c>
      <c r="L121">
        <f>Résultats!G$32+Résultats!G$33*Données!C121+Résultats!G$34*Données!D121+Résultats!G$35*Données!E121+Résultats!G$36*Données!F121+Résultats!G$37*Données!G121+Résultats!G$38*Données!H121+Résultats!G$39*Données!I121</f>
        <v>182355.6444989749</v>
      </c>
      <c r="M121">
        <f t="shared" si="4"/>
        <v>-22355.6444989749</v>
      </c>
      <c r="Q121">
        <v>48000</v>
      </c>
      <c r="R121">
        <v>1</v>
      </c>
      <c r="S121">
        <v>19</v>
      </c>
      <c r="T121">
        <v>0</v>
      </c>
      <c r="U121">
        <f t="shared" si="5"/>
        <v>11.049301466947338</v>
      </c>
      <c r="V121">
        <f t="shared" si="6"/>
        <v>7.5432733467054458</v>
      </c>
      <c r="W121">
        <v>1</v>
      </c>
      <c r="X121">
        <v>0</v>
      </c>
      <c r="Y121">
        <v>0</v>
      </c>
      <c r="Z121">
        <f>'Résultat (Ln)'!F$30+'Résultat (Ln)'!F$31*Données!S121+'Résultat (Ln)'!F$32*Données!T121+'Résultat (Ln)'!F$33*Données!U121+'Résultat (Ln)'!F$34*Données!V121+'Résultat (Ln)'!F$35*Données!W121+'Résultat (Ln)'!F$36*Données!X121+'Résultat (Ln)'!F$37*Données!Y121</f>
        <v>-6104.0057902257622</v>
      </c>
      <c r="AA121">
        <f t="shared" si="7"/>
        <v>54104.005790225761</v>
      </c>
    </row>
    <row r="122" spans="1:27" x14ac:dyDescent="0.25">
      <c r="A122">
        <v>75000</v>
      </c>
      <c r="B122">
        <v>1</v>
      </c>
      <c r="C122">
        <v>32</v>
      </c>
      <c r="D122">
        <v>0</v>
      </c>
      <c r="E122">
        <v>100000</v>
      </c>
      <c r="F122">
        <v>2400</v>
      </c>
      <c r="G122">
        <v>1</v>
      </c>
      <c r="H122">
        <v>0</v>
      </c>
      <c r="I122">
        <v>0</v>
      </c>
      <c r="J122">
        <v>32</v>
      </c>
      <c r="K122">
        <v>1</v>
      </c>
      <c r="L122">
        <f>Résultats!G$32+Résultats!G$33*Données!C122+Résultats!G$34*Données!D122+Résultats!G$35*Données!E122+Résultats!G$36*Données!F122+Résultats!G$37*Données!G122+Résultats!G$38*Données!H122+Résultats!G$39*Données!I122</f>
        <v>91681.69315377732</v>
      </c>
      <c r="M122">
        <f t="shared" si="4"/>
        <v>-16681.69315377732</v>
      </c>
      <c r="Q122">
        <v>160000</v>
      </c>
      <c r="R122">
        <v>1</v>
      </c>
      <c r="S122">
        <v>21.20000076293945</v>
      </c>
      <c r="T122">
        <v>0</v>
      </c>
      <c r="U122">
        <f t="shared" si="5"/>
        <v>12.611537753638338</v>
      </c>
      <c r="V122">
        <f t="shared" si="6"/>
        <v>8.9092352791922611</v>
      </c>
      <c r="W122">
        <v>1</v>
      </c>
      <c r="X122">
        <v>0</v>
      </c>
      <c r="Y122">
        <v>0</v>
      </c>
      <c r="Z122">
        <f>'Résultat (Ln)'!F$30+'Résultat (Ln)'!F$31*Données!S122+'Résultat (Ln)'!F$32*Données!T122+'Résultat (Ln)'!F$33*Données!U122+'Résultat (Ln)'!F$34*Données!V122+'Résultat (Ln)'!F$35*Données!W122+'Résultat (Ln)'!F$36*Données!X122+'Résultat (Ln)'!F$37*Données!Y122</f>
        <v>202358.77430328832</v>
      </c>
      <c r="AA122">
        <f t="shared" si="7"/>
        <v>-42358.774303288315</v>
      </c>
    </row>
    <row r="123" spans="1:27" x14ac:dyDescent="0.25">
      <c r="A123">
        <v>28000</v>
      </c>
      <c r="B123">
        <v>1</v>
      </c>
      <c r="C123">
        <v>25</v>
      </c>
      <c r="D123">
        <v>0</v>
      </c>
      <c r="E123">
        <v>100000</v>
      </c>
      <c r="F123">
        <v>2083</v>
      </c>
      <c r="G123">
        <v>0</v>
      </c>
      <c r="H123">
        <v>0</v>
      </c>
      <c r="I123">
        <v>0</v>
      </c>
      <c r="J123">
        <v>24</v>
      </c>
      <c r="K123">
        <v>0</v>
      </c>
      <c r="L123">
        <f>Résultats!G$32+Résultats!G$33*Données!C123+Résultats!G$34*Données!D123+Résultats!G$35*Données!E123+Résultats!G$36*Données!F123+Résultats!G$37*Données!G123+Résultats!G$38*Données!H123+Résultats!G$39*Données!I123</f>
        <v>76010.103423959954</v>
      </c>
      <c r="M123">
        <f t="shared" si="4"/>
        <v>-48010.103423959954</v>
      </c>
      <c r="Q123">
        <v>75000</v>
      </c>
      <c r="R123">
        <v>1</v>
      </c>
      <c r="S123">
        <v>32</v>
      </c>
      <c r="T123">
        <v>0</v>
      </c>
      <c r="U123">
        <f t="shared" si="5"/>
        <v>11.512925464970229</v>
      </c>
      <c r="V123">
        <f t="shared" si="6"/>
        <v>7.7832240163360371</v>
      </c>
      <c r="W123">
        <v>1</v>
      </c>
      <c r="X123">
        <v>0</v>
      </c>
      <c r="Y123">
        <v>0</v>
      </c>
      <c r="Z123">
        <f>'Résultat (Ln)'!F$30+'Résultat (Ln)'!F$31*Données!S123+'Résultat (Ln)'!F$32*Données!T123+'Résultat (Ln)'!F$33*Données!U123+'Résultat (Ln)'!F$34*Données!V123+'Résultat (Ln)'!F$35*Données!W123+'Résultat (Ln)'!F$36*Données!X123+'Résultat (Ln)'!F$37*Données!Y123</f>
        <v>66210.570654930445</v>
      </c>
      <c r="AA123">
        <f t="shared" si="7"/>
        <v>8789.429345069555</v>
      </c>
    </row>
    <row r="124" spans="1:27" x14ac:dyDescent="0.25">
      <c r="A124">
        <v>187000</v>
      </c>
      <c r="B124">
        <v>1</v>
      </c>
      <c r="C124">
        <v>33</v>
      </c>
      <c r="D124">
        <v>0</v>
      </c>
      <c r="E124">
        <v>280000</v>
      </c>
      <c r="F124">
        <v>5142</v>
      </c>
      <c r="G124">
        <v>0</v>
      </c>
      <c r="H124">
        <v>0</v>
      </c>
      <c r="I124">
        <v>0</v>
      </c>
      <c r="J124">
        <v>32</v>
      </c>
      <c r="K124">
        <v>1</v>
      </c>
      <c r="L124">
        <f>Résultats!G$32+Résultats!G$33*Données!C124+Résultats!G$34*Données!D124+Résultats!G$35*Données!E124+Résultats!G$36*Données!F124+Résultats!G$37*Données!G124+Résultats!G$38*Données!H124+Résultats!G$39*Données!I124</f>
        <v>175178.7463698205</v>
      </c>
      <c r="M124">
        <f t="shared" si="4"/>
        <v>11821.253630179504</v>
      </c>
      <c r="Q124">
        <v>28000</v>
      </c>
      <c r="R124">
        <v>1</v>
      </c>
      <c r="S124">
        <v>25</v>
      </c>
      <c r="T124">
        <v>0</v>
      </c>
      <c r="U124">
        <f t="shared" si="5"/>
        <v>11.512925464970229</v>
      </c>
      <c r="V124">
        <f t="shared" si="6"/>
        <v>7.6415644412609716</v>
      </c>
      <c r="W124">
        <v>0</v>
      </c>
      <c r="X124">
        <v>0</v>
      </c>
      <c r="Y124">
        <v>0</v>
      </c>
      <c r="Z124">
        <f>'Résultat (Ln)'!F$30+'Résultat (Ln)'!F$31*Données!S124+'Résultat (Ln)'!F$32*Données!T124+'Résultat (Ln)'!F$33*Données!U124+'Résultat (Ln)'!F$34*Données!V124+'Résultat (Ln)'!F$35*Données!W124+'Résultat (Ln)'!F$36*Données!X124+'Résultat (Ln)'!F$37*Données!Y124</f>
        <v>49169.297902538092</v>
      </c>
      <c r="AA124">
        <f t="shared" si="7"/>
        <v>-21169.297902538092</v>
      </c>
    </row>
    <row r="125" spans="1:27" x14ac:dyDescent="0.25">
      <c r="A125">
        <v>180000</v>
      </c>
      <c r="B125">
        <v>1</v>
      </c>
      <c r="C125">
        <v>34.099998474121087</v>
      </c>
      <c r="D125">
        <v>0</v>
      </c>
      <c r="E125">
        <v>200500</v>
      </c>
      <c r="F125">
        <v>8675</v>
      </c>
      <c r="G125">
        <v>1</v>
      </c>
      <c r="H125">
        <v>0</v>
      </c>
      <c r="I125">
        <v>0</v>
      </c>
      <c r="J125">
        <v>21.60000038146973</v>
      </c>
      <c r="K125">
        <v>1</v>
      </c>
      <c r="L125">
        <f>Résultats!G$32+Résultats!G$33*Données!C125+Résultats!G$34*Données!D125+Résultats!G$35*Données!E125+Résultats!G$36*Données!F125+Résultats!G$37*Données!G125+Résultats!G$38*Données!H125+Résultats!G$39*Données!I125</f>
        <v>153182.31841890875</v>
      </c>
      <c r="M125">
        <f t="shared" si="4"/>
        <v>26817.681581091252</v>
      </c>
      <c r="Q125">
        <v>187000</v>
      </c>
      <c r="R125">
        <v>1</v>
      </c>
      <c r="S125">
        <v>33</v>
      </c>
      <c r="T125">
        <v>0</v>
      </c>
      <c r="U125">
        <f t="shared" si="5"/>
        <v>12.542544882151386</v>
      </c>
      <c r="V125">
        <f t="shared" si="6"/>
        <v>8.5451973878258354</v>
      </c>
      <c r="W125">
        <v>0</v>
      </c>
      <c r="X125">
        <v>0</v>
      </c>
      <c r="Y125">
        <v>0</v>
      </c>
      <c r="Z125">
        <f>'Résultat (Ln)'!F$30+'Résultat (Ln)'!F$31*Données!S125+'Résultat (Ln)'!F$32*Données!T125+'Résultat (Ln)'!F$33*Données!U125+'Résultat (Ln)'!F$34*Données!V125+'Résultat (Ln)'!F$35*Données!W125+'Résultat (Ln)'!F$36*Données!X125+'Résultat (Ln)'!F$37*Données!Y125</f>
        <v>194659.36470887053</v>
      </c>
      <c r="AA125">
        <f t="shared" si="7"/>
        <v>-7659.3647088705329</v>
      </c>
    </row>
    <row r="126" spans="1:27" x14ac:dyDescent="0.25">
      <c r="A126">
        <v>100000</v>
      </c>
      <c r="B126">
        <v>1</v>
      </c>
      <c r="C126">
        <v>58</v>
      </c>
      <c r="D126">
        <v>0</v>
      </c>
      <c r="E126">
        <v>100000</v>
      </c>
      <c r="F126">
        <v>3781</v>
      </c>
      <c r="G126">
        <v>1</v>
      </c>
      <c r="H126">
        <v>0</v>
      </c>
      <c r="I126">
        <v>0</v>
      </c>
      <c r="J126">
        <v>52</v>
      </c>
      <c r="K126">
        <v>1</v>
      </c>
      <c r="L126">
        <f>Résultats!G$32+Résultats!G$33*Données!C126+Résultats!G$34*Données!D126+Résultats!G$35*Données!E126+Résultats!G$36*Données!F126+Résultats!G$37*Données!G126+Résultats!G$38*Données!H126+Résultats!G$39*Données!I126</f>
        <v>124223.20736294717</v>
      </c>
      <c r="M126">
        <f t="shared" si="4"/>
        <v>-24223.207362947171</v>
      </c>
      <c r="Q126">
        <v>180000</v>
      </c>
      <c r="R126">
        <v>1</v>
      </c>
      <c r="S126">
        <v>34.099998474121087</v>
      </c>
      <c r="T126">
        <v>0</v>
      </c>
      <c r="U126">
        <f t="shared" si="5"/>
        <v>12.208569525728761</v>
      </c>
      <c r="V126">
        <f t="shared" si="6"/>
        <v>9.0682006048150594</v>
      </c>
      <c r="W126">
        <v>1</v>
      </c>
      <c r="X126">
        <v>0</v>
      </c>
      <c r="Y126">
        <v>0</v>
      </c>
      <c r="Z126">
        <f>'Résultat (Ln)'!F$30+'Résultat (Ln)'!F$31*Données!S126+'Résultat (Ln)'!F$32*Données!T126+'Résultat (Ln)'!F$33*Données!U126+'Résultat (Ln)'!F$34*Données!V126+'Résultat (Ln)'!F$35*Données!W126+'Résultat (Ln)'!F$36*Données!X126+'Résultat (Ln)'!F$37*Données!Y126</f>
        <v>179385.0011833375</v>
      </c>
      <c r="AA126">
        <f t="shared" si="7"/>
        <v>614.99881666249712</v>
      </c>
    </row>
    <row r="127" spans="1:27" x14ac:dyDescent="0.25">
      <c r="A127">
        <v>132000</v>
      </c>
      <c r="B127">
        <v>1</v>
      </c>
      <c r="C127">
        <v>36</v>
      </c>
      <c r="D127">
        <v>1</v>
      </c>
      <c r="E127">
        <v>165000</v>
      </c>
      <c r="F127">
        <v>3293</v>
      </c>
      <c r="G127">
        <v>1</v>
      </c>
      <c r="H127">
        <v>0</v>
      </c>
      <c r="I127">
        <v>0</v>
      </c>
      <c r="J127">
        <v>22</v>
      </c>
      <c r="K127">
        <v>1</v>
      </c>
      <c r="L127">
        <f>Résultats!G$32+Résultats!G$33*Données!C127+Résultats!G$34*Données!D127+Résultats!G$35*Données!E127+Résultats!G$36*Données!F127+Résultats!G$37*Données!G127+Résultats!G$38*Données!H127+Résultats!G$39*Données!I127</f>
        <v>133207.02996687905</v>
      </c>
      <c r="M127">
        <f t="shared" si="4"/>
        <v>-1207.029966879054</v>
      </c>
      <c r="Q127">
        <v>100000</v>
      </c>
      <c r="R127">
        <v>1</v>
      </c>
      <c r="S127">
        <v>58</v>
      </c>
      <c r="T127">
        <v>0</v>
      </c>
      <c r="U127">
        <f t="shared" si="5"/>
        <v>11.512925464970229</v>
      </c>
      <c r="V127">
        <f t="shared" si="6"/>
        <v>8.2377438038909325</v>
      </c>
      <c r="W127">
        <v>1</v>
      </c>
      <c r="X127">
        <v>0</v>
      </c>
      <c r="Y127">
        <v>0</v>
      </c>
      <c r="Z127">
        <f>'Résultat (Ln)'!F$30+'Résultat (Ln)'!F$31*Données!S127+'Résultat (Ln)'!F$32*Données!T127+'Résultat (Ln)'!F$33*Données!U127+'Résultat (Ln)'!F$34*Données!V127+'Résultat (Ln)'!F$35*Données!W127+'Résultat (Ln)'!F$36*Données!X127+'Résultat (Ln)'!F$37*Données!Y127</f>
        <v>110731.00368447234</v>
      </c>
      <c r="AA127">
        <f t="shared" si="7"/>
        <v>-10731.003684472336</v>
      </c>
    </row>
    <row r="128" spans="1:27" x14ac:dyDescent="0.25">
      <c r="A128">
        <v>160000</v>
      </c>
      <c r="B128">
        <v>1</v>
      </c>
      <c r="C128">
        <v>30</v>
      </c>
      <c r="D128">
        <v>0</v>
      </c>
      <c r="E128">
        <v>240000</v>
      </c>
      <c r="F128">
        <v>5661</v>
      </c>
      <c r="G128">
        <v>1</v>
      </c>
      <c r="H128">
        <v>0</v>
      </c>
      <c r="I128">
        <v>0</v>
      </c>
      <c r="J128">
        <v>29</v>
      </c>
      <c r="K128">
        <v>1</v>
      </c>
      <c r="L128">
        <f>Résultats!G$32+Résultats!G$33*Données!C128+Résultats!G$34*Données!D128+Résultats!G$35*Données!E128+Résultats!G$36*Données!F128+Résultats!G$37*Données!G128+Résultats!G$38*Données!H128+Résultats!G$39*Données!I128</f>
        <v>161076.93460943838</v>
      </c>
      <c r="M128">
        <f t="shared" si="4"/>
        <v>-1076.93460943838</v>
      </c>
      <c r="Q128">
        <v>132000</v>
      </c>
      <c r="R128">
        <v>1</v>
      </c>
      <c r="S128">
        <v>36</v>
      </c>
      <c r="T128">
        <v>1</v>
      </c>
      <c r="U128">
        <f t="shared" si="5"/>
        <v>12.013700752882718</v>
      </c>
      <c r="V128">
        <f t="shared" si="6"/>
        <v>8.0995542823763635</v>
      </c>
      <c r="W128">
        <v>1</v>
      </c>
      <c r="X128">
        <v>0</v>
      </c>
      <c r="Y128">
        <v>0</v>
      </c>
      <c r="Z128">
        <f>'Résultat (Ln)'!F$30+'Résultat (Ln)'!F$31*Données!S128+'Résultat (Ln)'!F$32*Données!T128+'Résultat (Ln)'!F$33*Données!U128+'Résultat (Ln)'!F$34*Données!V128+'Résultat (Ln)'!F$35*Données!W128+'Résultat (Ln)'!F$36*Données!X128+'Résultat (Ln)'!F$37*Données!Y128</f>
        <v>138000.1702745682</v>
      </c>
      <c r="AA128">
        <f t="shared" si="7"/>
        <v>-6000.1702745681978</v>
      </c>
    </row>
    <row r="129" spans="1:27" x14ac:dyDescent="0.25">
      <c r="A129">
        <v>134000</v>
      </c>
      <c r="B129">
        <v>1</v>
      </c>
      <c r="C129">
        <v>22</v>
      </c>
      <c r="D129">
        <v>0</v>
      </c>
      <c r="E129">
        <v>150000</v>
      </c>
      <c r="F129">
        <v>3941</v>
      </c>
      <c r="G129">
        <v>1</v>
      </c>
      <c r="H129">
        <v>0</v>
      </c>
      <c r="I129">
        <v>0</v>
      </c>
      <c r="J129">
        <v>15.69999980926514</v>
      </c>
      <c r="K129">
        <v>1</v>
      </c>
      <c r="L129">
        <f>Résultats!G$32+Résultats!G$33*Données!C129+Résultats!G$34*Données!D129+Résultats!G$35*Données!E129+Résultats!G$36*Données!F129+Résultats!G$37*Données!G129+Résultats!G$38*Données!H129+Résultats!G$39*Données!I129</f>
        <v>106528.78312686073</v>
      </c>
      <c r="M129">
        <f t="shared" si="4"/>
        <v>27471.216873139274</v>
      </c>
      <c r="Q129">
        <v>160000</v>
      </c>
      <c r="R129">
        <v>1</v>
      </c>
      <c r="S129">
        <v>30</v>
      </c>
      <c r="T129">
        <v>0</v>
      </c>
      <c r="U129">
        <f t="shared" si="5"/>
        <v>12.388394202324129</v>
      </c>
      <c r="V129">
        <f t="shared" si="6"/>
        <v>8.6413558340366592</v>
      </c>
      <c r="W129">
        <v>1</v>
      </c>
      <c r="X129">
        <v>0</v>
      </c>
      <c r="Y129">
        <v>0</v>
      </c>
      <c r="Z129">
        <f>'Résultat (Ln)'!F$30+'Résultat (Ln)'!F$31*Données!S129+'Résultat (Ln)'!F$32*Données!T129+'Résultat (Ln)'!F$33*Données!U129+'Résultat (Ln)'!F$34*Données!V129+'Résultat (Ln)'!F$35*Données!W129+'Résultat (Ln)'!F$36*Données!X129+'Résultat (Ln)'!F$37*Données!Y129</f>
        <v>181679.84309708423</v>
      </c>
      <c r="AA129">
        <f t="shared" si="7"/>
        <v>-21679.843097084231</v>
      </c>
    </row>
    <row r="130" spans="1:27" x14ac:dyDescent="0.25">
      <c r="A130">
        <v>350000</v>
      </c>
      <c r="B130">
        <v>1</v>
      </c>
      <c r="C130">
        <v>33</v>
      </c>
      <c r="D130">
        <v>0</v>
      </c>
      <c r="E130">
        <v>737000</v>
      </c>
      <c r="F130">
        <v>21666</v>
      </c>
      <c r="G130">
        <v>1</v>
      </c>
      <c r="H130">
        <v>1</v>
      </c>
      <c r="I130">
        <v>0</v>
      </c>
      <c r="J130">
        <v>21</v>
      </c>
      <c r="K130">
        <v>0</v>
      </c>
      <c r="L130">
        <f>Résultats!G$32+Résultats!G$33*Données!C130+Résultats!G$34*Données!D130+Résultats!G$35*Données!E130+Résultats!G$36*Données!F130+Résultats!G$37*Données!G130+Résultats!G$38*Données!H130+Résultats!G$39*Données!I130</f>
        <v>425987.73058682831</v>
      </c>
      <c r="M130">
        <f t="shared" si="4"/>
        <v>-75987.730586828315</v>
      </c>
      <c r="Q130">
        <v>134000</v>
      </c>
      <c r="R130">
        <v>1</v>
      </c>
      <c r="S130">
        <v>22</v>
      </c>
      <c r="T130">
        <v>0</v>
      </c>
      <c r="U130">
        <f t="shared" si="5"/>
        <v>11.918390573078392</v>
      </c>
      <c r="V130">
        <f t="shared" si="6"/>
        <v>8.279189777195004</v>
      </c>
      <c r="W130">
        <v>1</v>
      </c>
      <c r="X130">
        <v>0</v>
      </c>
      <c r="Y130">
        <v>0</v>
      </c>
      <c r="Z130">
        <f>'Résultat (Ln)'!F$30+'Résultat (Ln)'!F$31*Données!S130+'Résultat (Ln)'!F$32*Données!T130+'Résultat (Ln)'!F$33*Données!U130+'Résultat (Ln)'!F$34*Données!V130+'Résultat (Ln)'!F$35*Données!W130+'Résultat (Ln)'!F$36*Données!X130+'Résultat (Ln)'!F$37*Données!Y130</f>
        <v>111363.97588030684</v>
      </c>
      <c r="AA130">
        <f t="shared" si="7"/>
        <v>22636.02411969316</v>
      </c>
    </row>
    <row r="131" spans="1:27" x14ac:dyDescent="0.25">
      <c r="A131">
        <v>85000</v>
      </c>
      <c r="B131">
        <v>1</v>
      </c>
      <c r="C131">
        <v>27.60000038146973</v>
      </c>
      <c r="D131">
        <v>0</v>
      </c>
      <c r="E131">
        <v>84000</v>
      </c>
      <c r="F131">
        <v>3247</v>
      </c>
      <c r="G131">
        <v>1</v>
      </c>
      <c r="H131">
        <v>0</v>
      </c>
      <c r="I131">
        <v>0</v>
      </c>
      <c r="J131">
        <v>20.89999961853027</v>
      </c>
      <c r="K131">
        <v>1</v>
      </c>
      <c r="L131">
        <f>Résultats!G$32+Résultats!G$33*Données!C131+Résultats!G$34*Données!D131+Résultats!G$35*Données!E131+Résultats!G$36*Données!F131+Résultats!G$37*Données!G131+Résultats!G$38*Données!H131+Résultats!G$39*Données!I131</f>
        <v>80797.597523875535</v>
      </c>
      <c r="M131">
        <f t="shared" ref="M131:M194" si="8">A131-L131</f>
        <v>4202.4024761244655</v>
      </c>
      <c r="Q131">
        <v>350000</v>
      </c>
      <c r="R131">
        <v>1</v>
      </c>
      <c r="S131">
        <v>33</v>
      </c>
      <c r="T131">
        <v>0</v>
      </c>
      <c r="U131">
        <f t="shared" si="5"/>
        <v>13.510343171171474</v>
      </c>
      <c r="V131">
        <f t="shared" si="6"/>
        <v>9.9834994905055119</v>
      </c>
      <c r="W131">
        <v>1</v>
      </c>
      <c r="X131">
        <v>1</v>
      </c>
      <c r="Y131">
        <v>0</v>
      </c>
      <c r="Z131">
        <f>'Résultat (Ln)'!F$30+'Résultat (Ln)'!F$31*Données!S131+'Résultat (Ln)'!F$32*Données!T131+'Résultat (Ln)'!F$33*Données!U131+'Résultat (Ln)'!F$34*Données!V131+'Résultat (Ln)'!F$35*Données!W131+'Résultat (Ln)'!F$36*Données!X131+'Résultat (Ln)'!F$37*Données!Y131</f>
        <v>343077.86511539295</v>
      </c>
      <c r="AA131">
        <f t="shared" si="7"/>
        <v>6922.1348846070468</v>
      </c>
    </row>
    <row r="132" spans="1:27" x14ac:dyDescent="0.25">
      <c r="A132">
        <v>91000</v>
      </c>
      <c r="B132">
        <v>1</v>
      </c>
      <c r="C132">
        <v>36.099998474121087</v>
      </c>
      <c r="D132">
        <v>0</v>
      </c>
      <c r="E132">
        <v>114000</v>
      </c>
      <c r="F132">
        <v>2816</v>
      </c>
      <c r="G132">
        <v>1</v>
      </c>
      <c r="H132">
        <v>0</v>
      </c>
      <c r="I132">
        <v>1</v>
      </c>
      <c r="J132">
        <v>23.430000305175781</v>
      </c>
      <c r="K132">
        <v>1</v>
      </c>
      <c r="L132">
        <f>Résultats!G$32+Résultats!G$33*Données!C132+Résultats!G$34*Données!D132+Résultats!G$35*Données!E132+Résultats!G$36*Données!F132+Résultats!G$37*Données!G132+Résultats!G$38*Données!H132+Résultats!G$39*Données!I132</f>
        <v>113660.16211796804</v>
      </c>
      <c r="M132">
        <f t="shared" si="8"/>
        <v>-22660.162117968037</v>
      </c>
      <c r="Q132">
        <v>85000</v>
      </c>
      <c r="R132">
        <v>1</v>
      </c>
      <c r="S132">
        <v>27.60000038146973</v>
      </c>
      <c r="T132">
        <v>0</v>
      </c>
      <c r="U132">
        <f t="shared" ref="U132:U195" si="9">LN(E131)</f>
        <v>11.33857207782545</v>
      </c>
      <c r="V132">
        <f t="shared" ref="V132:V195" si="10">LN(F131)</f>
        <v>8.0854867721028452</v>
      </c>
      <c r="W132">
        <v>1</v>
      </c>
      <c r="X132">
        <v>0</v>
      </c>
      <c r="Y132">
        <v>0</v>
      </c>
      <c r="Z132">
        <f>'Résultat (Ln)'!F$30+'Résultat (Ln)'!F$31*Données!S132+'Résultat (Ln)'!F$32*Données!T132+'Résultat (Ln)'!F$33*Données!U132+'Résultat (Ln)'!F$34*Données!V132+'Résultat (Ln)'!F$35*Données!W132+'Résultat (Ln)'!F$36*Données!X132+'Résultat (Ln)'!F$37*Données!Y132</f>
        <v>50620.879412997449</v>
      </c>
      <c r="AA132">
        <f t="shared" ref="AA132:AA195" si="11">Q132-Z132</f>
        <v>34379.120587002551</v>
      </c>
    </row>
    <row r="133" spans="1:27" x14ac:dyDescent="0.25">
      <c r="A133">
        <v>125000</v>
      </c>
      <c r="B133">
        <v>1</v>
      </c>
      <c r="C133">
        <v>36</v>
      </c>
      <c r="D133">
        <v>0</v>
      </c>
      <c r="E133">
        <v>195000</v>
      </c>
      <c r="F133">
        <v>3765</v>
      </c>
      <c r="G133">
        <v>0</v>
      </c>
      <c r="H133">
        <v>0</v>
      </c>
      <c r="I133">
        <v>0</v>
      </c>
      <c r="J133">
        <v>30</v>
      </c>
      <c r="K133">
        <v>0</v>
      </c>
      <c r="L133">
        <f>Résultats!G$32+Résultats!G$33*Données!C133+Résultats!G$34*Données!D133+Résultats!G$35*Données!E133+Résultats!G$36*Données!F133+Résultats!G$37*Données!G133+Résultats!G$38*Données!H133+Résultats!G$39*Données!I133</f>
        <v>136265.39646735523</v>
      </c>
      <c r="M133">
        <f t="shared" si="8"/>
        <v>-11265.396467355225</v>
      </c>
      <c r="Q133">
        <v>91000</v>
      </c>
      <c r="R133">
        <v>1</v>
      </c>
      <c r="S133">
        <v>36.099998474121087</v>
      </c>
      <c r="T133">
        <v>0</v>
      </c>
      <c r="U133">
        <f t="shared" si="9"/>
        <v>11.643953727376633</v>
      </c>
      <c r="V133">
        <f t="shared" si="10"/>
        <v>7.943072717277933</v>
      </c>
      <c r="W133">
        <v>1</v>
      </c>
      <c r="X133">
        <v>0</v>
      </c>
      <c r="Y133">
        <v>1</v>
      </c>
      <c r="Z133">
        <f>'Résultat (Ln)'!F$30+'Résultat (Ln)'!F$31*Données!S133+'Résultat (Ln)'!F$32*Données!T133+'Résultat (Ln)'!F$33*Données!U133+'Résultat (Ln)'!F$34*Données!V133+'Résultat (Ln)'!F$35*Données!W133+'Résultat (Ln)'!F$36*Données!X133+'Résultat (Ln)'!F$37*Données!Y133</f>
        <v>103836.6000461951</v>
      </c>
      <c r="AA133">
        <f t="shared" si="11"/>
        <v>-12836.600046195104</v>
      </c>
    </row>
    <row r="134" spans="1:27" x14ac:dyDescent="0.25">
      <c r="A134">
        <v>96000</v>
      </c>
      <c r="B134">
        <v>1</v>
      </c>
      <c r="C134">
        <v>37.099998474121087</v>
      </c>
      <c r="D134">
        <v>0</v>
      </c>
      <c r="E134">
        <v>120000</v>
      </c>
      <c r="F134">
        <v>4695</v>
      </c>
      <c r="G134">
        <v>1</v>
      </c>
      <c r="H134">
        <v>0</v>
      </c>
      <c r="I134">
        <v>0</v>
      </c>
      <c r="J134">
        <v>22</v>
      </c>
      <c r="K134">
        <v>1</v>
      </c>
      <c r="L134">
        <f>Résultats!G$32+Résultats!G$33*Données!C134+Résultats!G$34*Données!D134+Résultats!G$35*Données!E134+Résultats!G$36*Données!F134+Résultats!G$37*Données!G134+Résultats!G$38*Données!H134+Résultats!G$39*Données!I134</f>
        <v>111326.19771240787</v>
      </c>
      <c r="M134">
        <f t="shared" si="8"/>
        <v>-15326.197712407869</v>
      </c>
      <c r="Q134">
        <v>125000</v>
      </c>
      <c r="R134">
        <v>1</v>
      </c>
      <c r="S134">
        <v>36</v>
      </c>
      <c r="T134">
        <v>0</v>
      </c>
      <c r="U134">
        <f t="shared" si="9"/>
        <v>12.180754837545884</v>
      </c>
      <c r="V134">
        <f t="shared" si="10"/>
        <v>8.233503140233994</v>
      </c>
      <c r="W134">
        <v>0</v>
      </c>
      <c r="X134">
        <v>0</v>
      </c>
      <c r="Y134">
        <v>0</v>
      </c>
      <c r="Z134">
        <f>'Résultat (Ln)'!F$30+'Résultat (Ln)'!F$31*Données!S134+'Résultat (Ln)'!F$32*Données!T134+'Résultat (Ln)'!F$33*Données!U134+'Résultat (Ln)'!F$34*Données!V134+'Résultat (Ln)'!F$35*Données!W134+'Résultat (Ln)'!F$36*Données!X134+'Résultat (Ln)'!F$37*Données!Y134</f>
        <v>150801.48656153303</v>
      </c>
      <c r="AA134">
        <f t="shared" si="11"/>
        <v>-25801.486561533035</v>
      </c>
    </row>
    <row r="135" spans="1:27" x14ac:dyDescent="0.25">
      <c r="A135">
        <v>88000</v>
      </c>
      <c r="B135">
        <v>1</v>
      </c>
      <c r="C135">
        <v>30</v>
      </c>
      <c r="D135">
        <v>0</v>
      </c>
      <c r="E135">
        <v>110000</v>
      </c>
      <c r="F135">
        <v>3410</v>
      </c>
      <c r="G135">
        <v>0</v>
      </c>
      <c r="H135">
        <v>0</v>
      </c>
      <c r="I135">
        <v>0</v>
      </c>
      <c r="J135">
        <v>27</v>
      </c>
      <c r="K135">
        <v>0</v>
      </c>
      <c r="L135">
        <f>Résultats!G$32+Résultats!G$33*Données!C135+Résultats!G$34*Données!D135+Résultats!G$35*Données!E135+Résultats!G$36*Données!F135+Résultats!G$37*Données!G135+Résultats!G$38*Données!H135+Résultats!G$39*Données!I135</f>
        <v>88994.431840632809</v>
      </c>
      <c r="M135">
        <f t="shared" si="8"/>
        <v>-994.43184063280933</v>
      </c>
      <c r="Q135">
        <v>96000</v>
      </c>
      <c r="R135">
        <v>1</v>
      </c>
      <c r="S135">
        <v>37.099998474121087</v>
      </c>
      <c r="T135">
        <v>0</v>
      </c>
      <c r="U135">
        <f t="shared" si="9"/>
        <v>11.695247021764184</v>
      </c>
      <c r="V135">
        <f t="shared" si="10"/>
        <v>8.4542533916423626</v>
      </c>
      <c r="W135">
        <v>1</v>
      </c>
      <c r="X135">
        <v>0</v>
      </c>
      <c r="Y135">
        <v>0</v>
      </c>
      <c r="Z135">
        <f>'Résultat (Ln)'!F$30+'Résultat (Ln)'!F$31*Données!S135+'Résultat (Ln)'!F$32*Données!T135+'Résultat (Ln)'!F$33*Données!U135+'Résultat (Ln)'!F$34*Données!V135+'Résultat (Ln)'!F$35*Données!W135+'Résultat (Ln)'!F$36*Données!X135+'Résultat (Ln)'!F$37*Données!Y135</f>
        <v>110806.5911579542</v>
      </c>
      <c r="AA135">
        <f t="shared" si="11"/>
        <v>-14806.591157954201</v>
      </c>
    </row>
    <row r="136" spans="1:27" x14ac:dyDescent="0.25">
      <c r="A136">
        <v>44000</v>
      </c>
      <c r="B136">
        <v>1</v>
      </c>
      <c r="C136">
        <v>41</v>
      </c>
      <c r="D136">
        <v>0</v>
      </c>
      <c r="E136">
        <v>55000</v>
      </c>
      <c r="F136">
        <v>5649</v>
      </c>
      <c r="G136">
        <v>1</v>
      </c>
      <c r="H136">
        <v>0</v>
      </c>
      <c r="I136">
        <v>1</v>
      </c>
      <c r="J136">
        <v>12</v>
      </c>
      <c r="K136">
        <v>1</v>
      </c>
      <c r="L136">
        <f>Résultats!G$32+Résultats!G$33*Données!C136+Résultats!G$34*Données!D136+Résultats!G$35*Données!E136+Résultats!G$36*Données!F136+Résultats!G$37*Données!G136+Résultats!G$38*Données!H136+Résultats!G$39*Données!I136</f>
        <v>97228.157483878487</v>
      </c>
      <c r="M136">
        <f t="shared" si="8"/>
        <v>-53228.157483878487</v>
      </c>
      <c r="Q136">
        <v>88000</v>
      </c>
      <c r="R136">
        <v>1</v>
      </c>
      <c r="S136">
        <v>30</v>
      </c>
      <c r="T136">
        <v>0</v>
      </c>
      <c r="U136">
        <f t="shared" si="9"/>
        <v>11.608235644774552</v>
      </c>
      <c r="V136">
        <f t="shared" si="10"/>
        <v>8.1344675702775628</v>
      </c>
      <c r="W136">
        <v>0</v>
      </c>
      <c r="X136">
        <v>0</v>
      </c>
      <c r="Y136">
        <v>0</v>
      </c>
      <c r="Z136">
        <f>'Résultat (Ln)'!F$30+'Résultat (Ln)'!F$31*Données!S136+'Résultat (Ln)'!F$32*Données!T136+'Résultat (Ln)'!F$33*Données!U136+'Résultat (Ln)'!F$34*Données!V136+'Résultat (Ln)'!F$35*Données!W136+'Résultat (Ln)'!F$36*Données!X136+'Résultat (Ln)'!F$37*Données!Y136</f>
        <v>79320.190524270292</v>
      </c>
      <c r="AA136">
        <f t="shared" si="11"/>
        <v>8679.8094757297076</v>
      </c>
    </row>
    <row r="137" spans="1:27" x14ac:dyDescent="0.25">
      <c r="A137">
        <v>100000</v>
      </c>
      <c r="B137">
        <v>1</v>
      </c>
      <c r="C137">
        <v>17</v>
      </c>
      <c r="D137">
        <v>0</v>
      </c>
      <c r="E137">
        <v>126000</v>
      </c>
      <c r="F137">
        <v>2791</v>
      </c>
      <c r="G137">
        <v>0</v>
      </c>
      <c r="H137">
        <v>0</v>
      </c>
      <c r="I137">
        <v>0</v>
      </c>
      <c r="J137">
        <v>16</v>
      </c>
      <c r="K137">
        <v>1</v>
      </c>
      <c r="L137">
        <f>Résultats!G$32+Résultats!G$33*Données!C137+Résultats!G$34*Données!D137+Résultats!G$35*Données!E137+Résultats!G$36*Données!F137+Résultats!G$37*Données!G137+Résultats!G$38*Données!H137+Résultats!G$39*Données!I137</f>
        <v>80333.47883146134</v>
      </c>
      <c r="M137">
        <f t="shared" si="8"/>
        <v>19666.52116853866</v>
      </c>
      <c r="Q137">
        <v>44000</v>
      </c>
      <c r="R137">
        <v>1</v>
      </c>
      <c r="S137">
        <v>41</v>
      </c>
      <c r="T137">
        <v>0</v>
      </c>
      <c r="U137">
        <f t="shared" si="9"/>
        <v>10.915088464214607</v>
      </c>
      <c r="V137">
        <f t="shared" si="10"/>
        <v>8.6392338173252625</v>
      </c>
      <c r="W137">
        <v>1</v>
      </c>
      <c r="X137">
        <v>0</v>
      </c>
      <c r="Y137">
        <v>1</v>
      </c>
      <c r="Z137">
        <f>'Résultat (Ln)'!F$30+'Résultat (Ln)'!F$31*Données!S137+'Résultat (Ln)'!F$32*Données!T137+'Résultat (Ln)'!F$33*Données!U137+'Résultat (Ln)'!F$34*Données!V137+'Résultat (Ln)'!F$35*Données!W137+'Résultat (Ln)'!F$36*Données!X137+'Résultat (Ln)'!F$37*Données!Y137</f>
        <v>51217.867980794363</v>
      </c>
      <c r="AA137">
        <f t="shared" si="11"/>
        <v>-7217.8679807943627</v>
      </c>
    </row>
    <row r="138" spans="1:27" x14ac:dyDescent="0.25">
      <c r="A138">
        <v>56000</v>
      </c>
      <c r="B138">
        <v>1</v>
      </c>
      <c r="C138">
        <v>21</v>
      </c>
      <c r="D138">
        <v>0</v>
      </c>
      <c r="E138">
        <v>75000</v>
      </c>
      <c r="F138">
        <v>8666</v>
      </c>
      <c r="G138">
        <v>0</v>
      </c>
      <c r="H138">
        <v>0</v>
      </c>
      <c r="I138">
        <v>0</v>
      </c>
      <c r="J138">
        <v>9</v>
      </c>
      <c r="K138">
        <v>1</v>
      </c>
      <c r="L138">
        <f>Résultats!G$32+Résultats!G$33*Données!C138+Résultats!G$34*Données!D138+Résultats!G$35*Données!E138+Résultats!G$36*Données!F138+Résultats!G$37*Données!G138+Résultats!G$38*Données!H138+Résultats!G$39*Données!I138</f>
        <v>72498.044419444093</v>
      </c>
      <c r="M138">
        <f t="shared" si="8"/>
        <v>-16498.044419444093</v>
      </c>
      <c r="Q138">
        <v>100000</v>
      </c>
      <c r="R138">
        <v>1</v>
      </c>
      <c r="S138">
        <v>17</v>
      </c>
      <c r="T138">
        <v>0</v>
      </c>
      <c r="U138">
        <f t="shared" si="9"/>
        <v>11.744037185933616</v>
      </c>
      <c r="V138">
        <f t="shared" si="10"/>
        <v>7.9341552335363223</v>
      </c>
      <c r="W138">
        <v>0</v>
      </c>
      <c r="X138">
        <v>0</v>
      </c>
      <c r="Y138">
        <v>0</v>
      </c>
      <c r="Z138">
        <f>'Résultat (Ln)'!F$30+'Résultat (Ln)'!F$31*Données!S138+'Résultat (Ln)'!F$32*Données!T138+'Résultat (Ln)'!F$33*Données!U138+'Résultat (Ln)'!F$34*Données!V138+'Résultat (Ln)'!F$35*Données!W138+'Résultat (Ln)'!F$36*Données!X138+'Résultat (Ln)'!F$37*Données!Y138</f>
        <v>72373.062733783416</v>
      </c>
      <c r="AA138">
        <f t="shared" si="11"/>
        <v>27626.937266216584</v>
      </c>
    </row>
    <row r="139" spans="1:27" x14ac:dyDescent="0.25">
      <c r="A139">
        <v>182000</v>
      </c>
      <c r="B139">
        <v>1</v>
      </c>
      <c r="C139">
        <v>33.200000762939453</v>
      </c>
      <c r="D139">
        <v>0</v>
      </c>
      <c r="E139">
        <v>202000</v>
      </c>
      <c r="F139">
        <v>3015</v>
      </c>
      <c r="G139">
        <v>1</v>
      </c>
      <c r="H139">
        <v>0</v>
      </c>
      <c r="I139">
        <v>0</v>
      </c>
      <c r="J139">
        <v>22.659999847412109</v>
      </c>
      <c r="K139">
        <v>1</v>
      </c>
      <c r="L139">
        <f>Résultats!G$32+Résultats!G$33*Données!C139+Résultats!G$34*Données!D139+Résultats!G$35*Données!E139+Résultats!G$36*Données!F139+Résultats!G$37*Données!G139+Résultats!G$38*Données!H139+Résultats!G$39*Données!I139</f>
        <v>141881.07111963161</v>
      </c>
      <c r="M139">
        <f t="shared" si="8"/>
        <v>40118.928880368388</v>
      </c>
      <c r="Q139">
        <v>56000</v>
      </c>
      <c r="R139">
        <v>1</v>
      </c>
      <c r="S139">
        <v>21</v>
      </c>
      <c r="T139">
        <v>0</v>
      </c>
      <c r="U139">
        <f t="shared" si="9"/>
        <v>11.225243392518447</v>
      </c>
      <c r="V139">
        <f t="shared" si="10"/>
        <v>9.0671626022998542</v>
      </c>
      <c r="W139">
        <v>0</v>
      </c>
      <c r="X139">
        <v>0</v>
      </c>
      <c r="Y139">
        <v>0</v>
      </c>
      <c r="Z139">
        <f>'Résultat (Ln)'!F$30+'Résultat (Ln)'!F$31*Données!S139+'Résultat (Ln)'!F$32*Données!T139+'Résultat (Ln)'!F$33*Données!U139+'Résultat (Ln)'!F$34*Données!V139+'Résultat (Ln)'!F$35*Données!W139+'Résultat (Ln)'!F$36*Données!X139+'Résultat (Ln)'!F$37*Données!Y139</f>
        <v>53424.922086650913</v>
      </c>
      <c r="AA139">
        <f t="shared" si="11"/>
        <v>2575.0779133490869</v>
      </c>
    </row>
    <row r="140" spans="1:27" x14ac:dyDescent="0.25">
      <c r="A140">
        <v>86000</v>
      </c>
      <c r="B140">
        <v>1</v>
      </c>
      <c r="C140">
        <v>28.79999923706055</v>
      </c>
      <c r="D140">
        <v>0</v>
      </c>
      <c r="E140">
        <v>115000</v>
      </c>
      <c r="F140">
        <v>2121</v>
      </c>
      <c r="G140">
        <v>1</v>
      </c>
      <c r="H140">
        <v>1</v>
      </c>
      <c r="I140">
        <v>1</v>
      </c>
      <c r="J140">
        <v>20.60000038146973</v>
      </c>
      <c r="K140">
        <v>1</v>
      </c>
      <c r="L140">
        <f>Résultats!G$32+Résultats!G$33*Données!C140+Résultats!G$34*Données!D140+Résultats!G$35*Données!E140+Résultats!G$36*Données!F140+Résultats!G$37*Données!G140+Résultats!G$38*Données!H140+Résultats!G$39*Données!I140</f>
        <v>102769.78379706951</v>
      </c>
      <c r="M140">
        <f t="shared" si="8"/>
        <v>-16769.783797069511</v>
      </c>
      <c r="Q140">
        <v>182000</v>
      </c>
      <c r="R140">
        <v>1</v>
      </c>
      <c r="S140">
        <v>33.200000762939453</v>
      </c>
      <c r="T140">
        <v>0</v>
      </c>
      <c r="U140">
        <f t="shared" si="9"/>
        <v>12.216022976383341</v>
      </c>
      <c r="V140">
        <f t="shared" si="10"/>
        <v>8.0113551091612862</v>
      </c>
      <c r="W140">
        <v>1</v>
      </c>
      <c r="X140">
        <v>0</v>
      </c>
      <c r="Y140">
        <v>0</v>
      </c>
      <c r="Z140">
        <f>'Résultat (Ln)'!F$30+'Résultat (Ln)'!F$31*Données!S140+'Résultat (Ln)'!F$32*Données!T140+'Résultat (Ln)'!F$33*Données!U140+'Résultat (Ln)'!F$34*Données!V140+'Résultat (Ln)'!F$35*Données!W140+'Résultat (Ln)'!F$36*Données!X140+'Résultat (Ln)'!F$37*Données!Y140</f>
        <v>149444.074092278</v>
      </c>
      <c r="AA140">
        <f t="shared" si="11"/>
        <v>32555.925907722005</v>
      </c>
    </row>
    <row r="141" spans="1:27" x14ac:dyDescent="0.25">
      <c r="A141">
        <v>129000</v>
      </c>
      <c r="B141">
        <v>1</v>
      </c>
      <c r="C141">
        <v>38.099998474121087</v>
      </c>
      <c r="D141">
        <v>0</v>
      </c>
      <c r="E141">
        <v>233000</v>
      </c>
      <c r="F141">
        <v>4279</v>
      </c>
      <c r="G141">
        <v>1</v>
      </c>
      <c r="H141">
        <v>0</v>
      </c>
      <c r="I141">
        <v>0</v>
      </c>
      <c r="J141">
        <v>22.79999923706055</v>
      </c>
      <c r="K141">
        <v>1</v>
      </c>
      <c r="L141">
        <f>Résultats!G$32+Résultats!G$33*Données!C141+Résultats!G$34*Données!D141+Résultats!G$35*Données!E141+Résultats!G$36*Données!F141+Résultats!G$37*Données!G141+Résultats!G$38*Données!H141+Résultats!G$39*Données!I141</f>
        <v>164434.46790737723</v>
      </c>
      <c r="M141">
        <f t="shared" si="8"/>
        <v>-35434.467907377228</v>
      </c>
      <c r="Q141">
        <v>86000</v>
      </c>
      <c r="R141">
        <v>1</v>
      </c>
      <c r="S141">
        <v>28.79999923706055</v>
      </c>
      <c r="T141">
        <v>0</v>
      </c>
      <c r="U141">
        <f t="shared" si="9"/>
        <v>11.652687407345388</v>
      </c>
      <c r="V141">
        <f t="shared" si="10"/>
        <v>7.6596429545646822</v>
      </c>
      <c r="W141">
        <v>1</v>
      </c>
      <c r="X141">
        <v>1</v>
      </c>
      <c r="Y141">
        <v>1</v>
      </c>
      <c r="Z141">
        <f>'Résultat (Ln)'!F$30+'Résultat (Ln)'!F$31*Données!S141+'Résultat (Ln)'!F$32*Données!T141+'Résultat (Ln)'!F$33*Données!U141+'Résultat (Ln)'!F$34*Données!V141+'Résultat (Ln)'!F$35*Données!W141+'Résultat (Ln)'!F$36*Données!X141+'Résultat (Ln)'!F$37*Données!Y141</f>
        <v>87725.362177766568</v>
      </c>
      <c r="AA141">
        <f t="shared" si="11"/>
        <v>-1725.3621777665685</v>
      </c>
    </row>
    <row r="142" spans="1:27" x14ac:dyDescent="0.25">
      <c r="A142">
        <v>144000</v>
      </c>
      <c r="B142">
        <v>1</v>
      </c>
      <c r="C142">
        <v>37</v>
      </c>
      <c r="D142">
        <v>0</v>
      </c>
      <c r="E142">
        <v>156000</v>
      </c>
      <c r="F142">
        <v>5821</v>
      </c>
      <c r="G142">
        <v>1</v>
      </c>
      <c r="H142">
        <v>0</v>
      </c>
      <c r="I142">
        <v>0</v>
      </c>
      <c r="J142">
        <v>28</v>
      </c>
      <c r="K142">
        <v>1</v>
      </c>
      <c r="L142">
        <f>Résultats!G$32+Résultats!G$33*Données!C142+Résultats!G$34*Données!D142+Résultats!G$35*Données!E142+Résultats!G$36*Données!F142+Résultats!G$37*Données!G142+Résultats!G$38*Données!H142+Résultats!G$39*Données!I142</f>
        <v>130203.59867328336</v>
      </c>
      <c r="M142">
        <f t="shared" si="8"/>
        <v>13796.401326716645</v>
      </c>
      <c r="Q142">
        <v>129000</v>
      </c>
      <c r="R142">
        <v>1</v>
      </c>
      <c r="S142">
        <v>38.099998474121087</v>
      </c>
      <c r="T142">
        <v>0</v>
      </c>
      <c r="U142">
        <f t="shared" si="9"/>
        <v>12.358793732547838</v>
      </c>
      <c r="V142">
        <f t="shared" si="10"/>
        <v>8.3614746164168174</v>
      </c>
      <c r="W142">
        <v>1</v>
      </c>
      <c r="X142">
        <v>0</v>
      </c>
      <c r="Y142">
        <v>0</v>
      </c>
      <c r="Z142">
        <f>'Résultat (Ln)'!F$30+'Résultat (Ln)'!F$31*Données!S142+'Résultat (Ln)'!F$32*Données!T142+'Résultat (Ln)'!F$33*Données!U142+'Résultat (Ln)'!F$34*Données!V142+'Résultat (Ln)'!F$35*Données!W142+'Résultat (Ln)'!F$36*Données!X142+'Résultat (Ln)'!F$37*Données!Y142</f>
        <v>180555.84330113867</v>
      </c>
      <c r="AA142">
        <f t="shared" si="11"/>
        <v>-51555.843301138666</v>
      </c>
    </row>
    <row r="143" spans="1:27" x14ac:dyDescent="0.25">
      <c r="A143">
        <v>105000</v>
      </c>
      <c r="B143">
        <v>1</v>
      </c>
      <c r="C143">
        <v>39.299999237060547</v>
      </c>
      <c r="D143">
        <v>0</v>
      </c>
      <c r="E143">
        <v>132000</v>
      </c>
      <c r="F143">
        <v>2013</v>
      </c>
      <c r="G143">
        <v>1</v>
      </c>
      <c r="H143">
        <v>0</v>
      </c>
      <c r="I143">
        <v>0</v>
      </c>
      <c r="J143">
        <v>18.79999923706055</v>
      </c>
      <c r="K143">
        <v>1</v>
      </c>
      <c r="L143">
        <f>Résultats!G$32+Résultats!G$33*Données!C143+Résultats!G$34*Données!D143+Résultats!G$35*Données!E143+Résultats!G$36*Données!F143+Résultats!G$37*Données!G143+Résultats!G$38*Données!H143+Résultats!G$39*Données!I143</f>
        <v>114259.56693194716</v>
      </c>
      <c r="M143">
        <f t="shared" si="8"/>
        <v>-9259.5669319471635</v>
      </c>
      <c r="Q143">
        <v>144000</v>
      </c>
      <c r="R143">
        <v>1</v>
      </c>
      <c r="S143">
        <v>37</v>
      </c>
      <c r="T143">
        <v>0</v>
      </c>
      <c r="U143">
        <f t="shared" si="9"/>
        <v>11.957611286231675</v>
      </c>
      <c r="V143">
        <f t="shared" si="10"/>
        <v>8.6692273472717361</v>
      </c>
      <c r="W143">
        <v>1</v>
      </c>
      <c r="X143">
        <v>0</v>
      </c>
      <c r="Y143">
        <v>0</v>
      </c>
      <c r="Z143">
        <f>'Résultat (Ln)'!F$30+'Résultat (Ln)'!F$31*Données!S143+'Résultat (Ln)'!F$32*Données!T143+'Résultat (Ln)'!F$33*Données!U143+'Résultat (Ln)'!F$34*Données!V143+'Résultat (Ln)'!F$35*Données!W143+'Résultat (Ln)'!F$36*Données!X143+'Résultat (Ln)'!F$37*Données!Y143</f>
        <v>144837.78989007857</v>
      </c>
      <c r="AA143">
        <f t="shared" si="11"/>
        <v>-837.7898900785658</v>
      </c>
    </row>
    <row r="144" spans="1:27" x14ac:dyDescent="0.25">
      <c r="A144">
        <v>120000</v>
      </c>
      <c r="B144">
        <v>1</v>
      </c>
      <c r="C144">
        <v>49</v>
      </c>
      <c r="D144">
        <v>1</v>
      </c>
      <c r="E144">
        <v>133000</v>
      </c>
      <c r="F144">
        <v>2645</v>
      </c>
      <c r="G144">
        <v>1</v>
      </c>
      <c r="H144">
        <v>0</v>
      </c>
      <c r="I144">
        <v>0</v>
      </c>
      <c r="J144">
        <v>21</v>
      </c>
      <c r="K144">
        <v>0</v>
      </c>
      <c r="L144">
        <f>Résultats!G$32+Résultats!G$33*Données!C144+Résultats!G$34*Données!D144+Résultats!G$35*Données!E144+Résultats!G$36*Données!F144+Résultats!G$37*Données!G144+Résultats!G$38*Données!H144+Résultats!G$39*Données!I144</f>
        <v>131941.55408487594</v>
      </c>
      <c r="M144">
        <f t="shared" si="8"/>
        <v>-11941.554084875941</v>
      </c>
      <c r="Q144">
        <v>105000</v>
      </c>
      <c r="R144">
        <v>1</v>
      </c>
      <c r="S144">
        <v>39.299999237060547</v>
      </c>
      <c r="T144">
        <v>0</v>
      </c>
      <c r="U144">
        <f t="shared" si="9"/>
        <v>11.790557201568507</v>
      </c>
      <c r="V144">
        <f t="shared" si="10"/>
        <v>7.6073814256397911</v>
      </c>
      <c r="W144">
        <v>1</v>
      </c>
      <c r="X144">
        <v>0</v>
      </c>
      <c r="Y144">
        <v>0</v>
      </c>
      <c r="Z144">
        <f>'Résultat (Ln)'!F$30+'Résultat (Ln)'!F$31*Données!S144+'Résultat (Ln)'!F$32*Données!T144+'Résultat (Ln)'!F$33*Données!U144+'Résultat (Ln)'!F$34*Données!V144+'Résultat (Ln)'!F$35*Données!W144+'Résultat (Ln)'!F$36*Données!X144+'Résultat (Ln)'!F$37*Données!Y144</f>
        <v>99960.715173285731</v>
      </c>
      <c r="AA144">
        <f t="shared" si="11"/>
        <v>5039.284826714269</v>
      </c>
    </row>
    <row r="145" spans="1:27" x14ac:dyDescent="0.25">
      <c r="A145">
        <v>137000</v>
      </c>
      <c r="B145">
        <v>1</v>
      </c>
      <c r="C145">
        <v>17</v>
      </c>
      <c r="D145">
        <v>0</v>
      </c>
      <c r="E145">
        <v>171000</v>
      </c>
      <c r="F145">
        <v>21117</v>
      </c>
      <c r="G145">
        <v>1</v>
      </c>
      <c r="H145">
        <v>0</v>
      </c>
      <c r="I145">
        <v>1</v>
      </c>
      <c r="J145">
        <v>9</v>
      </c>
      <c r="K145">
        <v>1</v>
      </c>
      <c r="L145">
        <f>Résultats!G$32+Résultats!G$33*Données!C145+Résultats!G$34*Données!D145+Résultats!G$35*Données!E145+Résultats!G$36*Données!F145+Résultats!G$37*Données!G145+Résultats!G$38*Données!H145+Résultats!G$39*Données!I145</f>
        <v>153800.34252458785</v>
      </c>
      <c r="M145">
        <f t="shared" si="8"/>
        <v>-16800.342524587846</v>
      </c>
      <c r="Q145">
        <v>120000</v>
      </c>
      <c r="R145">
        <v>1</v>
      </c>
      <c r="S145">
        <v>49</v>
      </c>
      <c r="T145">
        <v>1</v>
      </c>
      <c r="U145">
        <f t="shared" si="9"/>
        <v>11.798104407203891</v>
      </c>
      <c r="V145">
        <f t="shared" si="10"/>
        <v>7.8804263442923999</v>
      </c>
      <c r="W145">
        <v>1</v>
      </c>
      <c r="X145">
        <v>0</v>
      </c>
      <c r="Y145">
        <v>0</v>
      </c>
      <c r="Z145">
        <f>'Résultat (Ln)'!F$30+'Résultat (Ln)'!F$31*Données!S145+'Résultat (Ln)'!F$32*Données!T145+'Résultat (Ln)'!F$33*Données!U145+'Résultat (Ln)'!F$34*Données!V145+'Résultat (Ln)'!F$35*Données!W145+'Résultat (Ln)'!F$36*Données!X145+'Résultat (Ln)'!F$37*Données!Y145</f>
        <v>124630.11372534397</v>
      </c>
      <c r="AA145">
        <f t="shared" si="11"/>
        <v>-4630.1137253439665</v>
      </c>
    </row>
    <row r="146" spans="1:27" x14ac:dyDescent="0.25">
      <c r="A146">
        <v>160000</v>
      </c>
      <c r="B146">
        <v>1</v>
      </c>
      <c r="C146">
        <v>30</v>
      </c>
      <c r="D146">
        <v>0</v>
      </c>
      <c r="E146">
        <v>302000</v>
      </c>
      <c r="F146">
        <v>5580</v>
      </c>
      <c r="G146">
        <v>1</v>
      </c>
      <c r="H146">
        <v>0</v>
      </c>
      <c r="I146">
        <v>0</v>
      </c>
      <c r="J146">
        <v>29</v>
      </c>
      <c r="K146">
        <v>1</v>
      </c>
      <c r="L146">
        <f>Résultats!G$32+Résultats!G$33*Données!C146+Résultats!G$34*Données!D146+Résultats!G$35*Données!E146+Résultats!G$36*Données!F146+Résultats!G$37*Données!G146+Résultats!G$38*Données!H146+Résultats!G$39*Données!I146</f>
        <v>189871.07649051462</v>
      </c>
      <c r="M146">
        <f t="shared" si="8"/>
        <v>-29871.076490514621</v>
      </c>
      <c r="Q146">
        <v>137000</v>
      </c>
      <c r="R146">
        <v>1</v>
      </c>
      <c r="S146">
        <v>17</v>
      </c>
      <c r="T146">
        <v>0</v>
      </c>
      <c r="U146">
        <f t="shared" si="9"/>
        <v>12.049418835484797</v>
      </c>
      <c r="V146">
        <f t="shared" si="10"/>
        <v>9.9578336822762417</v>
      </c>
      <c r="W146">
        <v>1</v>
      </c>
      <c r="X146">
        <v>0</v>
      </c>
      <c r="Y146">
        <v>1</v>
      </c>
      <c r="Z146">
        <f>'Résultat (Ln)'!F$30+'Résultat (Ln)'!F$31*Données!S146+'Résultat (Ln)'!F$32*Données!T146+'Résultat (Ln)'!F$33*Données!U146+'Résultat (Ln)'!F$34*Données!V146+'Résultat (Ln)'!F$35*Données!W146+'Résultat (Ln)'!F$36*Données!X146+'Résultat (Ln)'!F$37*Données!Y146</f>
        <v>180465.2500402781</v>
      </c>
      <c r="AA146">
        <f t="shared" si="11"/>
        <v>-43465.250040278101</v>
      </c>
    </row>
    <row r="147" spans="1:27" x14ac:dyDescent="0.25">
      <c r="A147">
        <v>290000</v>
      </c>
      <c r="B147">
        <v>1</v>
      </c>
      <c r="C147">
        <v>39.799999237060547</v>
      </c>
      <c r="D147">
        <v>0</v>
      </c>
      <c r="E147">
        <v>405000</v>
      </c>
      <c r="F147">
        <v>5400</v>
      </c>
      <c r="G147">
        <v>1</v>
      </c>
      <c r="H147">
        <v>0</v>
      </c>
      <c r="I147">
        <v>0</v>
      </c>
      <c r="J147">
        <v>31.20000076293945</v>
      </c>
      <c r="K147">
        <v>1</v>
      </c>
      <c r="L147">
        <f>Résultats!G$32+Résultats!G$33*Données!C147+Résultats!G$34*Données!D147+Résultats!G$35*Données!E147+Résultats!G$36*Données!F147+Résultats!G$37*Données!G147+Résultats!G$38*Données!H147+Résultats!G$39*Données!I147</f>
        <v>248875.43027694625</v>
      </c>
      <c r="M147">
        <f t="shared" si="8"/>
        <v>41124.569723053748</v>
      </c>
      <c r="Q147">
        <v>160000</v>
      </c>
      <c r="R147">
        <v>1</v>
      </c>
      <c r="S147">
        <v>30</v>
      </c>
      <c r="T147">
        <v>0</v>
      </c>
      <c r="U147">
        <f t="shared" si="9"/>
        <v>12.618182296357007</v>
      </c>
      <c r="V147">
        <f t="shared" si="10"/>
        <v>8.6269440553753558</v>
      </c>
      <c r="W147">
        <v>1</v>
      </c>
      <c r="X147">
        <v>0</v>
      </c>
      <c r="Y147">
        <v>0</v>
      </c>
      <c r="Z147">
        <f>'Résultat (Ln)'!F$30+'Résultat (Ln)'!F$31*Données!S147+'Résultat (Ln)'!F$32*Données!T147+'Résultat (Ln)'!F$33*Données!U147+'Résultat (Ln)'!F$34*Données!V147+'Résultat (Ln)'!F$35*Données!W147+'Résultat (Ln)'!F$36*Données!X147+'Résultat (Ln)'!F$37*Données!Y147</f>
        <v>205907.91822683008</v>
      </c>
      <c r="AA147">
        <f t="shared" si="11"/>
        <v>-45907.918226830079</v>
      </c>
    </row>
    <row r="148" spans="1:27" x14ac:dyDescent="0.25">
      <c r="A148">
        <v>70000</v>
      </c>
      <c r="B148">
        <v>1</v>
      </c>
      <c r="C148">
        <v>36</v>
      </c>
      <c r="D148">
        <v>0</v>
      </c>
      <c r="E148">
        <v>90000</v>
      </c>
      <c r="F148">
        <v>2656</v>
      </c>
      <c r="G148">
        <v>0</v>
      </c>
      <c r="H148">
        <v>0</v>
      </c>
      <c r="I148">
        <v>1</v>
      </c>
      <c r="J148">
        <v>21</v>
      </c>
      <c r="K148">
        <v>1</v>
      </c>
      <c r="L148">
        <f>Résultats!G$32+Résultats!G$33*Données!C148+Résultats!G$34*Données!D148+Résultats!G$35*Données!E148+Résultats!G$36*Données!F148+Résultats!G$37*Données!G148+Résultats!G$38*Données!H148+Résultats!G$39*Données!I148</f>
        <v>95011.753925075725</v>
      </c>
      <c r="M148">
        <f t="shared" si="8"/>
        <v>-25011.753925075725</v>
      </c>
      <c r="Q148">
        <v>290000</v>
      </c>
      <c r="R148">
        <v>1</v>
      </c>
      <c r="S148">
        <v>39.799999237060547</v>
      </c>
      <c r="T148">
        <v>0</v>
      </c>
      <c r="U148">
        <f t="shared" si="9"/>
        <v>12.911642346088676</v>
      </c>
      <c r="V148">
        <f t="shared" si="10"/>
        <v>8.5941542325523663</v>
      </c>
      <c r="W148">
        <v>1</v>
      </c>
      <c r="X148">
        <v>0</v>
      </c>
      <c r="Y148">
        <v>0</v>
      </c>
      <c r="Z148">
        <f>'Résultat (Ln)'!F$30+'Résultat (Ln)'!F$31*Données!S148+'Résultat (Ln)'!F$32*Données!T148+'Résultat (Ln)'!F$33*Données!U148+'Résultat (Ln)'!F$34*Données!V148+'Résultat (Ln)'!F$35*Données!W148+'Résultat (Ln)'!F$36*Données!X148+'Résultat (Ln)'!F$37*Données!Y148</f>
        <v>248421.91845927152</v>
      </c>
      <c r="AA148">
        <f t="shared" si="11"/>
        <v>41578.081540728483</v>
      </c>
    </row>
    <row r="149" spans="1:27" x14ac:dyDescent="0.25">
      <c r="A149">
        <v>144000</v>
      </c>
      <c r="B149">
        <v>1</v>
      </c>
      <c r="C149">
        <v>33.799999237060547</v>
      </c>
      <c r="D149">
        <v>0</v>
      </c>
      <c r="E149">
        <v>185000</v>
      </c>
      <c r="F149">
        <v>4000</v>
      </c>
      <c r="G149">
        <v>0</v>
      </c>
      <c r="H149">
        <v>0</v>
      </c>
      <c r="I149">
        <v>1</v>
      </c>
      <c r="J149">
        <v>22.60000038146973</v>
      </c>
      <c r="K149">
        <v>0</v>
      </c>
      <c r="L149">
        <f>Résultats!G$32+Résultats!G$33*Données!C149+Résultats!G$34*Données!D149+Résultats!G$35*Données!E149+Résultats!G$36*Données!F149+Résultats!G$37*Données!G149+Résultats!G$38*Données!H149+Résultats!G$39*Données!I149</f>
        <v>139449.62495812547</v>
      </c>
      <c r="M149">
        <f t="shared" si="8"/>
        <v>4550.3750418745331</v>
      </c>
      <c r="Q149">
        <v>70000</v>
      </c>
      <c r="R149">
        <v>1</v>
      </c>
      <c r="S149">
        <v>36</v>
      </c>
      <c r="T149">
        <v>0</v>
      </c>
      <c r="U149">
        <f t="shared" si="9"/>
        <v>11.407564949312402</v>
      </c>
      <c r="V149">
        <f t="shared" si="10"/>
        <v>7.8845765105963244</v>
      </c>
      <c r="W149">
        <v>0</v>
      </c>
      <c r="X149">
        <v>0</v>
      </c>
      <c r="Y149">
        <v>1</v>
      </c>
      <c r="Z149">
        <f>'Résultat (Ln)'!F$30+'Résultat (Ln)'!F$31*Données!S149+'Résultat (Ln)'!F$32*Données!T149+'Résultat (Ln)'!F$33*Données!U149+'Résultat (Ln)'!F$34*Données!V149+'Résultat (Ln)'!F$35*Données!W149+'Résultat (Ln)'!F$36*Données!X149+'Résultat (Ln)'!F$37*Données!Y149</f>
        <v>72219.965500908904</v>
      </c>
      <c r="AA149">
        <f t="shared" si="11"/>
        <v>-2219.9655009089038</v>
      </c>
    </row>
    <row r="150" spans="1:27" x14ac:dyDescent="0.25">
      <c r="A150">
        <v>199000</v>
      </c>
      <c r="B150">
        <v>1</v>
      </c>
      <c r="C150">
        <v>33</v>
      </c>
      <c r="D150">
        <v>0</v>
      </c>
      <c r="E150">
        <v>246000</v>
      </c>
      <c r="F150">
        <v>7865</v>
      </c>
      <c r="G150">
        <v>0</v>
      </c>
      <c r="H150">
        <v>0</v>
      </c>
      <c r="I150">
        <v>0</v>
      </c>
      <c r="J150">
        <v>29</v>
      </c>
      <c r="K150">
        <v>0</v>
      </c>
      <c r="L150">
        <f>Résultats!G$32+Résultats!G$33*Données!C150+Résultats!G$34*Données!D150+Résultats!G$35*Données!E150+Résultats!G$36*Données!F150+Résultats!G$37*Données!G150+Résultats!G$38*Données!H150+Résultats!G$39*Données!I150</f>
        <v>164578.93023190449</v>
      </c>
      <c r="M150">
        <f t="shared" si="8"/>
        <v>34421.069768095505</v>
      </c>
      <c r="Q150">
        <v>144000</v>
      </c>
      <c r="R150">
        <v>1</v>
      </c>
      <c r="S150">
        <v>33.799999237060547</v>
      </c>
      <c r="T150">
        <v>0</v>
      </c>
      <c r="U150">
        <f t="shared" si="9"/>
        <v>12.128111104060462</v>
      </c>
      <c r="V150">
        <f t="shared" si="10"/>
        <v>8.2940496401020276</v>
      </c>
      <c r="W150">
        <v>0</v>
      </c>
      <c r="X150">
        <v>0</v>
      </c>
      <c r="Y150">
        <v>1</v>
      </c>
      <c r="Z150">
        <f>'Résultat (Ln)'!F$30+'Résultat (Ln)'!F$31*Données!S150+'Résultat (Ln)'!F$32*Données!T150+'Résultat (Ln)'!F$33*Données!U150+'Résultat (Ln)'!F$34*Données!V150+'Résultat (Ln)'!F$35*Données!W150+'Résultat (Ln)'!F$36*Données!X150+'Résultat (Ln)'!F$37*Données!Y150</f>
        <v>158254.82618395097</v>
      </c>
      <c r="AA150">
        <f t="shared" si="11"/>
        <v>-14254.826183950965</v>
      </c>
    </row>
    <row r="151" spans="1:27" x14ac:dyDescent="0.25">
      <c r="A151">
        <v>237000</v>
      </c>
      <c r="B151">
        <v>1</v>
      </c>
      <c r="C151">
        <v>30</v>
      </c>
      <c r="D151">
        <v>0</v>
      </c>
      <c r="E151">
        <v>296000</v>
      </c>
      <c r="F151">
        <v>8333</v>
      </c>
      <c r="G151">
        <v>0</v>
      </c>
      <c r="H151">
        <v>0</v>
      </c>
      <c r="I151">
        <v>0</v>
      </c>
      <c r="J151">
        <v>30</v>
      </c>
      <c r="K151">
        <v>1</v>
      </c>
      <c r="L151">
        <f>Résultats!G$32+Résultats!G$33*Données!C151+Résultats!G$34*Données!D151+Résultats!G$35*Données!E151+Résultats!G$36*Données!F151+Résultats!G$37*Données!G151+Résultats!G$38*Données!H151+Résultats!G$39*Données!I151</f>
        <v>185387.46701535603</v>
      </c>
      <c r="M151">
        <f t="shared" si="8"/>
        <v>51612.532984643971</v>
      </c>
      <c r="Q151">
        <v>199000</v>
      </c>
      <c r="R151">
        <v>1</v>
      </c>
      <c r="S151">
        <v>33</v>
      </c>
      <c r="T151">
        <v>0</v>
      </c>
      <c r="U151">
        <f t="shared" si="9"/>
        <v>12.4130868149145</v>
      </c>
      <c r="V151">
        <f t="shared" si="10"/>
        <v>8.970177815492379</v>
      </c>
      <c r="W151">
        <v>0</v>
      </c>
      <c r="X151">
        <v>0</v>
      </c>
      <c r="Y151">
        <v>0</v>
      </c>
      <c r="Z151">
        <f>'Résultat (Ln)'!F$30+'Résultat (Ln)'!F$31*Données!S151+'Résultat (Ln)'!F$32*Données!T151+'Résultat (Ln)'!F$33*Données!U151+'Résultat (Ln)'!F$34*Données!V151+'Résultat (Ln)'!F$35*Données!W151+'Résultat (Ln)'!F$36*Données!X151+'Résultat (Ln)'!F$37*Données!Y151</f>
        <v>192700.94692136755</v>
      </c>
      <c r="AA151">
        <f t="shared" si="11"/>
        <v>6299.0530786324525</v>
      </c>
    </row>
    <row r="152" spans="1:27" x14ac:dyDescent="0.25">
      <c r="A152">
        <v>100000</v>
      </c>
      <c r="B152">
        <v>1</v>
      </c>
      <c r="C152">
        <v>36</v>
      </c>
      <c r="D152">
        <v>0</v>
      </c>
      <c r="E152">
        <v>182000</v>
      </c>
      <c r="F152">
        <v>1928</v>
      </c>
      <c r="G152">
        <v>1</v>
      </c>
      <c r="H152">
        <v>0</v>
      </c>
      <c r="I152">
        <v>0</v>
      </c>
      <c r="J152">
        <v>29</v>
      </c>
      <c r="K152">
        <v>0</v>
      </c>
      <c r="L152">
        <f>Résultats!G$32+Résultats!G$33*Données!C152+Résultats!G$34*Données!D152+Résultats!G$35*Données!E152+Résultats!G$36*Données!F152+Résultats!G$37*Données!G152+Résultats!G$38*Données!H152+Résultats!G$39*Données!I152</f>
        <v>133651.90706476633</v>
      </c>
      <c r="M152">
        <f t="shared" si="8"/>
        <v>-33651.907064766332</v>
      </c>
      <c r="Q152">
        <v>237000</v>
      </c>
      <c r="R152">
        <v>1</v>
      </c>
      <c r="S152">
        <v>30</v>
      </c>
      <c r="T152">
        <v>0</v>
      </c>
      <c r="U152">
        <f t="shared" si="9"/>
        <v>12.598114733306197</v>
      </c>
      <c r="V152">
        <f t="shared" si="10"/>
        <v>9.0279788143822071</v>
      </c>
      <c r="W152">
        <v>0</v>
      </c>
      <c r="X152">
        <v>0</v>
      </c>
      <c r="Y152">
        <v>0</v>
      </c>
      <c r="Z152">
        <f>'Résultat (Ln)'!F$30+'Résultat (Ln)'!F$31*Données!S152+'Résultat (Ln)'!F$32*Données!T152+'Résultat (Ln)'!F$33*Données!U152+'Résultat (Ln)'!F$34*Données!V152+'Résultat (Ln)'!F$35*Données!W152+'Résultat (Ln)'!F$36*Données!X152+'Résultat (Ln)'!F$37*Données!Y152</f>
        <v>210490.07136582251</v>
      </c>
      <c r="AA152">
        <f t="shared" si="11"/>
        <v>26509.928634177486</v>
      </c>
    </row>
    <row r="153" spans="1:27" x14ac:dyDescent="0.25">
      <c r="A153">
        <v>90000</v>
      </c>
      <c r="B153">
        <v>1</v>
      </c>
      <c r="C153">
        <v>24</v>
      </c>
      <c r="D153">
        <v>1</v>
      </c>
      <c r="E153">
        <v>100000</v>
      </c>
      <c r="F153">
        <v>2430</v>
      </c>
      <c r="G153">
        <v>0</v>
      </c>
      <c r="H153">
        <v>0</v>
      </c>
      <c r="I153">
        <v>0</v>
      </c>
      <c r="J153">
        <v>24</v>
      </c>
      <c r="K153">
        <v>1</v>
      </c>
      <c r="L153">
        <f>Résultats!G$32+Résultats!G$33*Données!C153+Résultats!G$34*Données!D153+Résultats!G$35*Données!E153+Résultats!G$36*Données!F153+Résultats!G$37*Données!G153+Résultats!G$38*Données!H153+Résultats!G$39*Données!I153</f>
        <v>80382.093976050033</v>
      </c>
      <c r="M153">
        <f t="shared" si="8"/>
        <v>9617.9060239499668</v>
      </c>
      <c r="Q153">
        <v>100000</v>
      </c>
      <c r="R153">
        <v>1</v>
      </c>
      <c r="S153">
        <v>36</v>
      </c>
      <c r="T153">
        <v>0</v>
      </c>
      <c r="U153">
        <f t="shared" si="9"/>
        <v>12.111761966058932</v>
      </c>
      <c r="V153">
        <f t="shared" si="10"/>
        <v>7.564238475170491</v>
      </c>
      <c r="W153">
        <v>1</v>
      </c>
      <c r="X153">
        <v>0</v>
      </c>
      <c r="Y153">
        <v>0</v>
      </c>
      <c r="Z153">
        <f>'Résultat (Ln)'!F$30+'Résultat (Ln)'!F$31*Données!S153+'Résultat (Ln)'!F$32*Données!T153+'Résultat (Ln)'!F$33*Données!U153+'Résultat (Ln)'!F$34*Données!V153+'Résultat (Ln)'!F$35*Données!W153+'Résultat (Ln)'!F$36*Données!X153+'Résultat (Ln)'!F$37*Données!Y153</f>
        <v>129149.72930928999</v>
      </c>
      <c r="AA153">
        <f t="shared" si="11"/>
        <v>-29149.729309289993</v>
      </c>
    </row>
    <row r="154" spans="1:27" x14ac:dyDescent="0.25">
      <c r="A154">
        <v>120000</v>
      </c>
      <c r="B154">
        <v>1</v>
      </c>
      <c r="C154">
        <v>34.700000762939453</v>
      </c>
      <c r="D154">
        <v>0</v>
      </c>
      <c r="E154">
        <v>150000</v>
      </c>
      <c r="F154">
        <v>3086</v>
      </c>
      <c r="G154">
        <v>0</v>
      </c>
      <c r="H154">
        <v>1</v>
      </c>
      <c r="I154">
        <v>1</v>
      </c>
      <c r="J154">
        <v>16.70000076293945</v>
      </c>
      <c r="K154">
        <v>0</v>
      </c>
      <c r="L154">
        <f>Résultats!G$32+Résultats!G$33*Données!C154+Résultats!G$34*Données!D154+Résultats!G$35*Données!E154+Résultats!G$36*Données!F154+Résultats!G$37*Données!G154+Résultats!G$38*Données!H154+Résultats!G$39*Données!I154</f>
        <v>120743.65151704344</v>
      </c>
      <c r="M154">
        <f t="shared" si="8"/>
        <v>-743.65151704344316</v>
      </c>
      <c r="Q154">
        <v>90000</v>
      </c>
      <c r="R154">
        <v>1</v>
      </c>
      <c r="S154">
        <v>24</v>
      </c>
      <c r="T154">
        <v>1</v>
      </c>
      <c r="U154">
        <f t="shared" si="9"/>
        <v>11.512925464970229</v>
      </c>
      <c r="V154">
        <f t="shared" si="10"/>
        <v>7.7956465363345941</v>
      </c>
      <c r="W154">
        <v>0</v>
      </c>
      <c r="X154">
        <v>0</v>
      </c>
      <c r="Y154">
        <v>0</v>
      </c>
      <c r="Z154">
        <f>'Résultat (Ln)'!F$30+'Résultat (Ln)'!F$31*Données!S154+'Résultat (Ln)'!F$32*Données!T154+'Résultat (Ln)'!F$33*Données!U154+'Résultat (Ln)'!F$34*Données!V154+'Résultat (Ln)'!F$35*Données!W154+'Résultat (Ln)'!F$36*Données!X154+'Résultat (Ln)'!F$37*Données!Y154</f>
        <v>56617.42345515269</v>
      </c>
      <c r="AA154">
        <f t="shared" si="11"/>
        <v>33382.57654484731</v>
      </c>
    </row>
    <row r="155" spans="1:27" x14ac:dyDescent="0.25">
      <c r="A155">
        <v>100000</v>
      </c>
      <c r="B155">
        <v>1</v>
      </c>
      <c r="C155">
        <v>40</v>
      </c>
      <c r="D155">
        <v>0</v>
      </c>
      <c r="E155">
        <v>190000</v>
      </c>
      <c r="F155">
        <v>4050</v>
      </c>
      <c r="G155">
        <v>1</v>
      </c>
      <c r="H155">
        <v>0</v>
      </c>
      <c r="I155">
        <v>0</v>
      </c>
      <c r="J155">
        <v>31</v>
      </c>
      <c r="K155">
        <v>1</v>
      </c>
      <c r="L155">
        <f>Résultats!G$32+Résultats!G$33*Données!C155+Résultats!G$34*Données!D155+Résultats!G$35*Données!E155+Résultats!G$36*Données!F155+Résultats!G$37*Données!G155+Résultats!G$38*Données!H155+Résultats!G$39*Données!I155</f>
        <v>146094.1995207521</v>
      </c>
      <c r="M155">
        <f t="shared" si="8"/>
        <v>-46094.199520752096</v>
      </c>
      <c r="Q155">
        <v>120000</v>
      </c>
      <c r="R155">
        <v>1</v>
      </c>
      <c r="S155">
        <v>34.700000762939453</v>
      </c>
      <c r="T155">
        <v>0</v>
      </c>
      <c r="U155">
        <f t="shared" si="9"/>
        <v>11.918390573078392</v>
      </c>
      <c r="V155">
        <f t="shared" si="10"/>
        <v>8.034631032923107</v>
      </c>
      <c r="W155">
        <v>0</v>
      </c>
      <c r="X155">
        <v>1</v>
      </c>
      <c r="Y155">
        <v>1</v>
      </c>
      <c r="Z155">
        <f>'Résultat (Ln)'!F$30+'Résultat (Ln)'!F$31*Données!S155+'Résultat (Ln)'!F$32*Données!T155+'Résultat (Ln)'!F$33*Données!U155+'Résultat (Ln)'!F$34*Données!V155+'Résultat (Ln)'!F$35*Données!W155+'Résultat (Ln)'!F$36*Données!X155+'Résultat (Ln)'!F$37*Données!Y155</f>
        <v>129420.41421987889</v>
      </c>
      <c r="AA155">
        <f t="shared" si="11"/>
        <v>-9420.4142198788904</v>
      </c>
    </row>
    <row r="156" spans="1:27" x14ac:dyDescent="0.25">
      <c r="A156">
        <v>53000</v>
      </c>
      <c r="B156">
        <v>1</v>
      </c>
      <c r="C156">
        <v>35.599998474121087</v>
      </c>
      <c r="D156">
        <v>0</v>
      </c>
      <c r="E156">
        <v>92500</v>
      </c>
      <c r="F156">
        <v>2622</v>
      </c>
      <c r="G156">
        <v>0</v>
      </c>
      <c r="H156">
        <v>0</v>
      </c>
      <c r="I156">
        <v>0</v>
      </c>
      <c r="J156">
        <v>26.39999961853027</v>
      </c>
      <c r="K156">
        <v>0</v>
      </c>
      <c r="L156">
        <f>Résultats!G$32+Résultats!G$33*Données!C156+Résultats!G$34*Données!D156+Résultats!G$35*Données!E156+Résultats!G$36*Données!F156+Résultats!G$37*Données!G156+Résultats!G$38*Données!H156+Résultats!G$39*Données!I156</f>
        <v>85728.325564973755</v>
      </c>
      <c r="M156">
        <f t="shared" si="8"/>
        <v>-32728.325564973755</v>
      </c>
      <c r="Q156">
        <v>100000</v>
      </c>
      <c r="R156">
        <v>1</v>
      </c>
      <c r="S156">
        <v>40</v>
      </c>
      <c r="T156">
        <v>0</v>
      </c>
      <c r="U156">
        <f t="shared" si="9"/>
        <v>12.154779351142624</v>
      </c>
      <c r="V156">
        <f t="shared" si="10"/>
        <v>8.3064721601005846</v>
      </c>
      <c r="W156">
        <v>1</v>
      </c>
      <c r="X156">
        <v>0</v>
      </c>
      <c r="Y156">
        <v>0</v>
      </c>
      <c r="Z156">
        <f>'Résultat (Ln)'!F$30+'Résultat (Ln)'!F$31*Données!S156+'Résultat (Ln)'!F$32*Données!T156+'Résultat (Ln)'!F$33*Données!U156+'Résultat (Ln)'!F$34*Données!V156+'Résultat (Ln)'!F$35*Données!W156+'Résultat (Ln)'!F$36*Données!X156+'Résultat (Ln)'!F$37*Données!Y156</f>
        <v>159465.69834387844</v>
      </c>
      <c r="AA156">
        <f t="shared" si="11"/>
        <v>-59465.698343878437</v>
      </c>
    </row>
    <row r="157" spans="1:27" x14ac:dyDescent="0.25">
      <c r="A157">
        <v>48000</v>
      </c>
      <c r="B157">
        <v>1</v>
      </c>
      <c r="C157">
        <v>38</v>
      </c>
      <c r="D157">
        <v>0</v>
      </c>
      <c r="E157">
        <v>60000</v>
      </c>
      <c r="F157">
        <v>2250</v>
      </c>
      <c r="G157">
        <v>0</v>
      </c>
      <c r="H157">
        <v>0</v>
      </c>
      <c r="I157">
        <v>0</v>
      </c>
      <c r="J157">
        <v>28</v>
      </c>
      <c r="K157">
        <v>0</v>
      </c>
      <c r="L157">
        <f>Résultats!G$32+Résultats!G$33*Données!C157+Résultats!G$34*Données!D157+Résultats!G$35*Données!E157+Résultats!G$36*Données!F157+Résultats!G$37*Données!G157+Résultats!G$38*Données!H157+Résultats!G$39*Données!I157</f>
        <v>72588.298095666905</v>
      </c>
      <c r="M157">
        <f t="shared" si="8"/>
        <v>-24588.298095666905</v>
      </c>
      <c r="Q157">
        <v>53000</v>
      </c>
      <c r="R157">
        <v>1</v>
      </c>
      <c r="S157">
        <v>35.599998474121087</v>
      </c>
      <c r="T157">
        <v>0</v>
      </c>
      <c r="U157">
        <f t="shared" si="9"/>
        <v>11.434963923500517</v>
      </c>
      <c r="V157">
        <f t="shared" si="10"/>
        <v>7.8716926643236453</v>
      </c>
      <c r="W157">
        <v>0</v>
      </c>
      <c r="X157">
        <v>0</v>
      </c>
      <c r="Y157">
        <v>0</v>
      </c>
      <c r="Z157">
        <f>'Résultat (Ln)'!F$30+'Résultat (Ln)'!F$31*Données!S157+'Résultat (Ln)'!F$32*Données!T157+'Résultat (Ln)'!F$33*Données!U157+'Résultat (Ln)'!F$34*Données!V157+'Résultat (Ln)'!F$35*Données!W157+'Résultat (Ln)'!F$36*Données!X157+'Résultat (Ln)'!F$37*Données!Y157</f>
        <v>60219.927200546226</v>
      </c>
      <c r="AA157">
        <f t="shared" si="11"/>
        <v>-7219.9272005462262</v>
      </c>
    </row>
    <row r="158" spans="1:27" x14ac:dyDescent="0.25">
      <c r="A158">
        <v>49000</v>
      </c>
      <c r="B158">
        <v>1</v>
      </c>
      <c r="C158">
        <v>43</v>
      </c>
      <c r="D158">
        <v>0</v>
      </c>
      <c r="E158">
        <v>49000</v>
      </c>
      <c r="F158">
        <v>3200</v>
      </c>
      <c r="G158">
        <v>1</v>
      </c>
      <c r="H158">
        <v>0</v>
      </c>
      <c r="I158">
        <v>0</v>
      </c>
      <c r="J158">
        <v>33</v>
      </c>
      <c r="K158">
        <v>1</v>
      </c>
      <c r="L158">
        <f>Résultats!G$32+Résultats!G$33*Données!C158+Résultats!G$34*Données!D158+Résultats!G$35*Données!E158+Résultats!G$36*Données!F158+Résultats!G$37*Données!G158+Résultats!G$38*Données!H158+Résultats!G$39*Données!I158</f>
        <v>82052.680514373424</v>
      </c>
      <c r="M158">
        <f t="shared" si="8"/>
        <v>-33052.680514373424</v>
      </c>
      <c r="Q158">
        <v>48000</v>
      </c>
      <c r="R158">
        <v>1</v>
      </c>
      <c r="S158">
        <v>38</v>
      </c>
      <c r="T158">
        <v>0</v>
      </c>
      <c r="U158">
        <f t="shared" si="9"/>
        <v>11.002099841204238</v>
      </c>
      <c r="V158">
        <f t="shared" si="10"/>
        <v>7.718685495198466</v>
      </c>
      <c r="W158">
        <v>0</v>
      </c>
      <c r="X158">
        <v>0</v>
      </c>
      <c r="Y158">
        <v>0</v>
      </c>
      <c r="Z158">
        <f>'Résultat (Ln)'!F$30+'Résultat (Ln)'!F$31*Données!S158+'Résultat (Ln)'!F$32*Données!T158+'Résultat (Ln)'!F$33*Données!U158+'Résultat (Ln)'!F$34*Données!V158+'Résultat (Ln)'!F$35*Données!W158+'Résultat (Ln)'!F$36*Données!X158+'Résultat (Ln)'!F$37*Données!Y158</f>
        <v>12460.509546253423</v>
      </c>
      <c r="AA158">
        <f t="shared" si="11"/>
        <v>35539.490453746577</v>
      </c>
    </row>
    <row r="159" spans="1:27" x14ac:dyDescent="0.25">
      <c r="A159">
        <v>138000</v>
      </c>
      <c r="B159">
        <v>1</v>
      </c>
      <c r="C159">
        <v>35</v>
      </c>
      <c r="D159">
        <v>0</v>
      </c>
      <c r="E159">
        <v>173000</v>
      </c>
      <c r="F159">
        <v>5250</v>
      </c>
      <c r="G159">
        <v>1</v>
      </c>
      <c r="H159">
        <v>0</v>
      </c>
      <c r="I159">
        <v>0</v>
      </c>
      <c r="J159">
        <v>26</v>
      </c>
      <c r="K159">
        <v>1</v>
      </c>
      <c r="L159">
        <f>Résultats!G$32+Résultats!G$33*Données!C159+Résultats!G$34*Données!D159+Résultats!G$35*Données!E159+Résultats!G$36*Données!F159+Résultats!G$37*Données!G159+Résultats!G$38*Données!H159+Résultats!G$39*Données!I159</f>
        <v>134737.98689663588</v>
      </c>
      <c r="M159">
        <f t="shared" si="8"/>
        <v>3262.0131033641228</v>
      </c>
      <c r="Q159">
        <v>49000</v>
      </c>
      <c r="R159">
        <v>1</v>
      </c>
      <c r="S159">
        <v>43</v>
      </c>
      <c r="T159">
        <v>0</v>
      </c>
      <c r="U159">
        <f t="shared" si="9"/>
        <v>10.799575577092764</v>
      </c>
      <c r="V159">
        <f t="shared" si="10"/>
        <v>8.0709060887878188</v>
      </c>
      <c r="W159">
        <v>1</v>
      </c>
      <c r="X159">
        <v>0</v>
      </c>
      <c r="Y159">
        <v>0</v>
      </c>
      <c r="Z159">
        <f>'Résultat (Ln)'!F$30+'Résultat (Ln)'!F$31*Données!S159+'Résultat (Ln)'!F$32*Données!T159+'Résultat (Ln)'!F$33*Données!U159+'Résultat (Ln)'!F$34*Données!V159+'Résultat (Ln)'!F$35*Données!W159+'Résultat (Ln)'!F$36*Données!X159+'Résultat (Ln)'!F$37*Données!Y159</f>
        <v>11253.347875256608</v>
      </c>
      <c r="AA159">
        <f t="shared" si="11"/>
        <v>37746.652124743392</v>
      </c>
    </row>
    <row r="160" spans="1:27" x14ac:dyDescent="0.25">
      <c r="A160">
        <v>140000</v>
      </c>
      <c r="B160">
        <v>1</v>
      </c>
      <c r="C160">
        <v>25</v>
      </c>
      <c r="D160">
        <v>0</v>
      </c>
      <c r="E160">
        <v>85000</v>
      </c>
      <c r="F160">
        <v>4363</v>
      </c>
      <c r="G160">
        <v>1</v>
      </c>
      <c r="H160">
        <v>0</v>
      </c>
      <c r="I160">
        <v>1</v>
      </c>
      <c r="J160">
        <v>22</v>
      </c>
      <c r="K160">
        <v>1</v>
      </c>
      <c r="L160">
        <f>Résultats!G$32+Résultats!G$33*Données!C160+Résultats!G$34*Données!D160+Résultats!G$35*Données!E160+Résultats!G$36*Données!F160+Résultats!G$37*Données!G160+Résultats!G$38*Données!H160+Résultats!G$39*Données!I160</f>
        <v>90366.034925811386</v>
      </c>
      <c r="M160">
        <f t="shared" si="8"/>
        <v>49633.965074188614</v>
      </c>
      <c r="Q160">
        <v>138000</v>
      </c>
      <c r="R160">
        <v>1</v>
      </c>
      <c r="S160">
        <v>35</v>
      </c>
      <c r="T160">
        <v>0</v>
      </c>
      <c r="U160">
        <f t="shared" si="9"/>
        <v>12.061046873479915</v>
      </c>
      <c r="V160">
        <f t="shared" si="10"/>
        <v>8.5659833555856686</v>
      </c>
      <c r="W160">
        <v>1</v>
      </c>
      <c r="X160">
        <v>0</v>
      </c>
      <c r="Y160">
        <v>0</v>
      </c>
      <c r="Z160">
        <f>'Résultat (Ln)'!F$30+'Résultat (Ln)'!F$31*Données!S160+'Résultat (Ln)'!F$32*Données!T160+'Résultat (Ln)'!F$33*Données!U160+'Résultat (Ln)'!F$34*Données!V160+'Résultat (Ln)'!F$35*Données!W160+'Résultat (Ln)'!F$36*Données!X160+'Résultat (Ln)'!F$37*Données!Y160</f>
        <v>150585.98470368379</v>
      </c>
      <c r="AA160">
        <f t="shared" si="11"/>
        <v>-12585.984703683789</v>
      </c>
    </row>
    <row r="161" spans="1:27" x14ac:dyDescent="0.25">
      <c r="A161">
        <v>112000</v>
      </c>
      <c r="B161">
        <v>1</v>
      </c>
      <c r="C161">
        <v>35</v>
      </c>
      <c r="D161">
        <v>0</v>
      </c>
      <c r="E161">
        <v>140000</v>
      </c>
      <c r="F161">
        <v>4230</v>
      </c>
      <c r="G161">
        <v>0</v>
      </c>
      <c r="H161">
        <v>0</v>
      </c>
      <c r="I161">
        <v>0</v>
      </c>
      <c r="J161">
        <v>28</v>
      </c>
      <c r="K161">
        <v>0</v>
      </c>
      <c r="L161">
        <f>Résultats!G$32+Résultats!G$33*Données!C161+Résultats!G$34*Données!D161+Résultats!G$35*Données!E161+Résultats!G$36*Données!F161+Résultats!G$37*Données!G161+Résultats!G$38*Données!H161+Résultats!G$39*Données!I161</f>
        <v>110335.36743631984</v>
      </c>
      <c r="M161">
        <f t="shared" si="8"/>
        <v>1664.632563680163</v>
      </c>
      <c r="Q161">
        <v>140000</v>
      </c>
      <c r="R161">
        <v>1</v>
      </c>
      <c r="S161">
        <v>25</v>
      </c>
      <c r="T161">
        <v>0</v>
      </c>
      <c r="U161">
        <f t="shared" si="9"/>
        <v>11.350406535472453</v>
      </c>
      <c r="V161">
        <f t="shared" si="10"/>
        <v>8.3809151731236096</v>
      </c>
      <c r="W161">
        <v>1</v>
      </c>
      <c r="X161">
        <v>0</v>
      </c>
      <c r="Y161">
        <v>1</v>
      </c>
      <c r="Z161">
        <f>'Résultat (Ln)'!F$30+'Résultat (Ln)'!F$31*Données!S161+'Résultat (Ln)'!F$32*Données!T161+'Résultat (Ln)'!F$33*Données!U161+'Résultat (Ln)'!F$34*Données!V161+'Résultat (Ln)'!F$35*Données!W161+'Résultat (Ln)'!F$36*Données!X161+'Résultat (Ln)'!F$37*Données!Y161</f>
        <v>71084.628483527456</v>
      </c>
      <c r="AA161">
        <f t="shared" si="11"/>
        <v>68915.371516472544</v>
      </c>
    </row>
    <row r="162" spans="1:27" x14ac:dyDescent="0.25">
      <c r="A162">
        <v>70000</v>
      </c>
      <c r="B162">
        <v>1</v>
      </c>
      <c r="C162">
        <v>34</v>
      </c>
      <c r="D162">
        <v>0</v>
      </c>
      <c r="E162">
        <v>140000</v>
      </c>
      <c r="F162">
        <v>2067</v>
      </c>
      <c r="G162">
        <v>0</v>
      </c>
      <c r="H162">
        <v>0</v>
      </c>
      <c r="I162">
        <v>0</v>
      </c>
      <c r="J162">
        <v>33</v>
      </c>
      <c r="K162">
        <v>0</v>
      </c>
      <c r="L162">
        <f>Résultats!G$32+Résultats!G$33*Données!C162+Résultats!G$34*Données!D162+Résultats!G$35*Données!E162+Résultats!G$36*Données!F162+Résultats!G$37*Données!G162+Résultats!G$38*Données!H162+Résultats!G$39*Données!I162</f>
        <v>104995.26298507224</v>
      </c>
      <c r="M162">
        <f t="shared" si="8"/>
        <v>-34995.262985072244</v>
      </c>
      <c r="Q162">
        <v>112000</v>
      </c>
      <c r="R162">
        <v>1</v>
      </c>
      <c r="S162">
        <v>35</v>
      </c>
      <c r="T162">
        <v>0</v>
      </c>
      <c r="U162">
        <f t="shared" si="9"/>
        <v>11.849397701591441</v>
      </c>
      <c r="V162">
        <f t="shared" si="10"/>
        <v>8.3499572720403243</v>
      </c>
      <c r="W162">
        <v>0</v>
      </c>
      <c r="X162">
        <v>0</v>
      </c>
      <c r="Y162">
        <v>0</v>
      </c>
      <c r="Z162">
        <f>'Résultat (Ln)'!F$30+'Résultat (Ln)'!F$31*Données!S162+'Résultat (Ln)'!F$32*Données!T162+'Résultat (Ln)'!F$33*Données!U162+'Résultat (Ln)'!F$34*Données!V162+'Résultat (Ln)'!F$35*Données!W162+'Résultat (Ln)'!F$36*Données!X162+'Résultat (Ln)'!F$37*Données!Y162</f>
        <v>117325.47818755294</v>
      </c>
      <c r="AA162">
        <f t="shared" si="11"/>
        <v>-5325.4781875529443</v>
      </c>
    </row>
    <row r="163" spans="1:27" x14ac:dyDescent="0.25">
      <c r="A163">
        <v>86000</v>
      </c>
      <c r="B163">
        <v>1</v>
      </c>
      <c r="C163">
        <v>39</v>
      </c>
      <c r="D163">
        <v>0</v>
      </c>
      <c r="E163">
        <v>107000</v>
      </c>
      <c r="F163">
        <v>3168</v>
      </c>
      <c r="G163">
        <v>1</v>
      </c>
      <c r="H163">
        <v>0</v>
      </c>
      <c r="I163">
        <v>1</v>
      </c>
      <c r="J163">
        <v>28</v>
      </c>
      <c r="K163">
        <v>0</v>
      </c>
      <c r="L163">
        <f>Résultats!G$32+Résultats!G$33*Données!C163+Résultats!G$34*Données!D163+Résultats!G$35*Données!E163+Résultats!G$36*Données!F163+Résultats!G$37*Données!G163+Résultats!G$38*Données!H163+Résultats!G$39*Données!I163</f>
        <v>114404.73624217909</v>
      </c>
      <c r="M163">
        <f t="shared" si="8"/>
        <v>-28404.736242179089</v>
      </c>
      <c r="Q163">
        <v>70000</v>
      </c>
      <c r="R163">
        <v>1</v>
      </c>
      <c r="S163">
        <v>34</v>
      </c>
      <c r="T163">
        <v>0</v>
      </c>
      <c r="U163">
        <f t="shared" si="9"/>
        <v>11.849397701591441</v>
      </c>
      <c r="V163">
        <f t="shared" si="10"/>
        <v>7.6338535596817678</v>
      </c>
      <c r="W163">
        <v>0</v>
      </c>
      <c r="X163">
        <v>0</v>
      </c>
      <c r="Y163">
        <v>0</v>
      </c>
      <c r="Z163">
        <f>'Résultat (Ln)'!F$30+'Résultat (Ln)'!F$31*Données!S163+'Résultat (Ln)'!F$32*Données!T163+'Résultat (Ln)'!F$33*Données!U163+'Résultat (Ln)'!F$34*Données!V163+'Résultat (Ln)'!F$35*Données!W163+'Résultat (Ln)'!F$36*Données!X163+'Résultat (Ln)'!F$37*Données!Y163</f>
        <v>96019.740818794497</v>
      </c>
      <c r="AA163">
        <f t="shared" si="11"/>
        <v>-26019.740818794497</v>
      </c>
    </row>
    <row r="164" spans="1:27" x14ac:dyDescent="0.25">
      <c r="A164">
        <v>53000</v>
      </c>
      <c r="B164">
        <v>1</v>
      </c>
      <c r="C164">
        <v>29</v>
      </c>
      <c r="D164">
        <v>0</v>
      </c>
      <c r="E164">
        <v>71000</v>
      </c>
      <c r="F164">
        <v>2505</v>
      </c>
      <c r="G164">
        <v>1</v>
      </c>
      <c r="H164">
        <v>0</v>
      </c>
      <c r="I164">
        <v>0</v>
      </c>
      <c r="J164">
        <v>21</v>
      </c>
      <c r="K164">
        <v>1</v>
      </c>
      <c r="L164">
        <f>Résultats!G$32+Résultats!G$33*Données!C164+Résultats!G$34*Données!D164+Résultats!G$35*Données!E164+Résultats!G$36*Données!F164+Résultats!G$37*Données!G164+Résultats!G$38*Données!H164+Résultats!G$39*Données!I164</f>
        <v>74897.504898322499</v>
      </c>
      <c r="M164">
        <f t="shared" si="8"/>
        <v>-21897.504898322499</v>
      </c>
      <c r="Q164">
        <v>86000</v>
      </c>
      <c r="R164">
        <v>1</v>
      </c>
      <c r="S164">
        <v>39</v>
      </c>
      <c r="T164">
        <v>0</v>
      </c>
      <c r="U164">
        <f t="shared" si="9"/>
        <v>11.580584113444043</v>
      </c>
      <c r="V164">
        <f t="shared" si="10"/>
        <v>8.0608557529343159</v>
      </c>
      <c r="W164">
        <v>1</v>
      </c>
      <c r="X164">
        <v>0</v>
      </c>
      <c r="Y164">
        <v>1</v>
      </c>
      <c r="Z164">
        <f>'Résultat (Ln)'!F$30+'Résultat (Ln)'!F$31*Données!S164+'Résultat (Ln)'!F$32*Données!T164+'Résultat (Ln)'!F$33*Données!U164+'Résultat (Ln)'!F$34*Données!V164+'Résultat (Ln)'!F$35*Données!W164+'Résultat (Ln)'!F$36*Données!X164+'Résultat (Ln)'!F$37*Données!Y164</f>
        <v>103890.89768819047</v>
      </c>
      <c r="AA164">
        <f t="shared" si="11"/>
        <v>-17890.897688190467</v>
      </c>
    </row>
    <row r="165" spans="1:27" x14ac:dyDescent="0.25">
      <c r="A165">
        <v>140000</v>
      </c>
      <c r="B165">
        <v>1</v>
      </c>
      <c r="C165">
        <v>27</v>
      </c>
      <c r="D165">
        <v>0</v>
      </c>
      <c r="E165">
        <v>214000</v>
      </c>
      <c r="F165">
        <v>4107</v>
      </c>
      <c r="G165">
        <v>1</v>
      </c>
      <c r="H165">
        <v>6</v>
      </c>
      <c r="I165">
        <v>1</v>
      </c>
      <c r="J165">
        <v>27</v>
      </c>
      <c r="K165">
        <v>1</v>
      </c>
      <c r="L165">
        <f>Résultats!G$32+Résultats!G$33*Données!C165+Résultats!G$34*Données!D165+Résultats!G$35*Données!E165+Résultats!G$36*Données!F165+Résultats!G$37*Données!G165+Résultats!G$38*Données!H165+Résultats!G$39*Données!I165</f>
        <v>142652.61490211714</v>
      </c>
      <c r="M165">
        <f t="shared" si="8"/>
        <v>-2652.6149021171441</v>
      </c>
      <c r="Q165">
        <v>53000</v>
      </c>
      <c r="R165">
        <v>1</v>
      </c>
      <c r="S165">
        <v>29</v>
      </c>
      <c r="T165">
        <v>0</v>
      </c>
      <c r="U165">
        <f t="shared" si="9"/>
        <v>11.170435156023453</v>
      </c>
      <c r="V165">
        <f t="shared" si="10"/>
        <v>7.8260440135189651</v>
      </c>
      <c r="W165">
        <v>1</v>
      </c>
      <c r="X165">
        <v>0</v>
      </c>
      <c r="Y165">
        <v>0</v>
      </c>
      <c r="Z165">
        <f>'Résultat (Ln)'!F$30+'Résultat (Ln)'!F$31*Données!S165+'Résultat (Ln)'!F$32*Données!T165+'Résultat (Ln)'!F$33*Données!U165+'Résultat (Ln)'!F$34*Données!V165+'Résultat (Ln)'!F$35*Données!W165+'Résultat (Ln)'!F$36*Données!X165+'Résultat (Ln)'!F$37*Données!Y165</f>
        <v>27031.925868621292</v>
      </c>
      <c r="AA165">
        <f t="shared" si="11"/>
        <v>25968.074131378708</v>
      </c>
    </row>
    <row r="166" spans="1:27" x14ac:dyDescent="0.25">
      <c r="A166">
        <v>275000</v>
      </c>
      <c r="B166">
        <v>1</v>
      </c>
      <c r="C166">
        <v>36.5</v>
      </c>
      <c r="D166">
        <v>0</v>
      </c>
      <c r="E166">
        <v>306000</v>
      </c>
      <c r="F166">
        <v>7500</v>
      </c>
      <c r="G166">
        <v>1</v>
      </c>
      <c r="H166">
        <v>0</v>
      </c>
      <c r="I166">
        <v>1</v>
      </c>
      <c r="J166">
        <v>27.39999961853027</v>
      </c>
      <c r="K166">
        <v>1</v>
      </c>
      <c r="L166">
        <f>Résultats!G$32+Résultats!G$33*Données!C166+Résultats!G$34*Données!D166+Résultats!G$35*Données!E166+Résultats!G$36*Données!F166+Résultats!G$37*Données!G166+Résultats!G$38*Données!H166+Résultats!G$39*Données!I166</f>
        <v>212851.25562869033</v>
      </c>
      <c r="M166">
        <f t="shared" si="8"/>
        <v>62148.744371309673</v>
      </c>
      <c r="Q166">
        <v>140000</v>
      </c>
      <c r="R166">
        <v>1</v>
      </c>
      <c r="S166">
        <v>27</v>
      </c>
      <c r="T166">
        <v>0</v>
      </c>
      <c r="U166">
        <f t="shared" si="9"/>
        <v>12.273731294003989</v>
      </c>
      <c r="V166">
        <f t="shared" si="10"/>
        <v>8.3204481139565587</v>
      </c>
      <c r="W166">
        <v>1</v>
      </c>
      <c r="X166">
        <v>6</v>
      </c>
      <c r="Y166">
        <v>1</v>
      </c>
      <c r="Z166">
        <f>'Résultat (Ln)'!F$30+'Résultat (Ln)'!F$31*Données!S166+'Résultat (Ln)'!F$32*Données!T166+'Résultat (Ln)'!F$33*Données!U166+'Résultat (Ln)'!F$34*Données!V166+'Résultat (Ln)'!F$35*Données!W166+'Résultat (Ln)'!F$36*Données!X166+'Résultat (Ln)'!F$37*Données!Y166</f>
        <v>169743.94982056023</v>
      </c>
      <c r="AA166">
        <f t="shared" si="11"/>
        <v>-29743.949820560229</v>
      </c>
    </row>
    <row r="167" spans="1:27" x14ac:dyDescent="0.25">
      <c r="A167">
        <v>300000</v>
      </c>
      <c r="B167">
        <v>1</v>
      </c>
      <c r="C167">
        <v>35</v>
      </c>
      <c r="D167">
        <v>0</v>
      </c>
      <c r="E167">
        <v>575000</v>
      </c>
      <c r="F167">
        <v>8600</v>
      </c>
      <c r="G167">
        <v>1</v>
      </c>
      <c r="H167">
        <v>0</v>
      </c>
      <c r="I167">
        <v>0</v>
      </c>
      <c r="J167">
        <v>34</v>
      </c>
      <c r="K167">
        <v>1</v>
      </c>
      <c r="L167">
        <f>Résultats!G$32+Résultats!G$33*Données!C167+Résultats!G$34*Données!D167+Résultats!G$35*Données!E167+Résultats!G$36*Données!F167+Résultats!G$37*Données!G167+Résultats!G$38*Données!H167+Résultats!G$39*Données!I167</f>
        <v>328944.78857831104</v>
      </c>
      <c r="M167">
        <f t="shared" si="8"/>
        <v>-28944.78857831104</v>
      </c>
      <c r="Q167">
        <v>275000</v>
      </c>
      <c r="R167">
        <v>1</v>
      </c>
      <c r="S167">
        <v>36.5</v>
      </c>
      <c r="T167">
        <v>0</v>
      </c>
      <c r="U167">
        <f t="shared" si="9"/>
        <v>12.631340380934517</v>
      </c>
      <c r="V167">
        <f t="shared" si="10"/>
        <v>8.9226582995244019</v>
      </c>
      <c r="W167">
        <v>1</v>
      </c>
      <c r="X167">
        <v>0</v>
      </c>
      <c r="Y167">
        <v>1</v>
      </c>
      <c r="Z167">
        <f>'Résultat (Ln)'!F$30+'Résultat (Ln)'!F$31*Données!S167+'Résultat (Ln)'!F$32*Données!T167+'Résultat (Ln)'!F$33*Données!U167+'Résultat (Ln)'!F$34*Données!V167+'Résultat (Ln)'!F$35*Données!W167+'Résultat (Ln)'!F$36*Données!X167+'Résultat (Ln)'!F$37*Données!Y167</f>
        <v>237642.14422156385</v>
      </c>
      <c r="AA167">
        <f t="shared" si="11"/>
        <v>37357.855778436147</v>
      </c>
    </row>
    <row r="168" spans="1:27" x14ac:dyDescent="0.25">
      <c r="A168">
        <v>140000</v>
      </c>
      <c r="B168">
        <v>1</v>
      </c>
      <c r="C168">
        <v>37</v>
      </c>
      <c r="D168">
        <v>0</v>
      </c>
      <c r="E168">
        <v>140000</v>
      </c>
      <c r="F168">
        <v>3782</v>
      </c>
      <c r="G168">
        <v>1</v>
      </c>
      <c r="H168">
        <v>0</v>
      </c>
      <c r="I168">
        <v>1</v>
      </c>
      <c r="J168">
        <v>22</v>
      </c>
      <c r="K168">
        <v>0</v>
      </c>
      <c r="L168">
        <f>Résultats!G$32+Résultats!G$33*Données!C168+Résultats!G$34*Données!D168+Résultats!G$35*Données!E168+Résultats!G$36*Données!F168+Résultats!G$37*Données!G168+Résultats!G$38*Données!H168+Résultats!G$39*Données!I168</f>
        <v>128706.65479271414</v>
      </c>
      <c r="M168">
        <f t="shared" si="8"/>
        <v>11293.345207285864</v>
      </c>
      <c r="Q168">
        <v>300000</v>
      </c>
      <c r="R168">
        <v>1</v>
      </c>
      <c r="S168">
        <v>35</v>
      </c>
      <c r="T168">
        <v>0</v>
      </c>
      <c r="U168">
        <f t="shared" si="9"/>
        <v>13.262125319779487</v>
      </c>
      <c r="V168">
        <f t="shared" si="10"/>
        <v>9.0595174822415991</v>
      </c>
      <c r="W168">
        <v>1</v>
      </c>
      <c r="X168">
        <v>0</v>
      </c>
      <c r="Y168">
        <v>0</v>
      </c>
      <c r="Z168">
        <f>'Résultat (Ln)'!F$30+'Résultat (Ln)'!F$31*Données!S168+'Résultat (Ln)'!F$32*Données!T168+'Résultat (Ln)'!F$33*Données!U168+'Résultat (Ln)'!F$34*Données!V168+'Résultat (Ln)'!F$35*Données!W168+'Résultat (Ln)'!F$36*Données!X168+'Résultat (Ln)'!F$37*Données!Y168</f>
        <v>293177.82492827618</v>
      </c>
      <c r="AA168">
        <f t="shared" si="11"/>
        <v>6822.1750717238174</v>
      </c>
    </row>
    <row r="169" spans="1:27" x14ac:dyDescent="0.25">
      <c r="A169">
        <v>112000</v>
      </c>
      <c r="B169">
        <v>1</v>
      </c>
      <c r="C169">
        <v>37.299999237060547</v>
      </c>
      <c r="D169">
        <v>1</v>
      </c>
      <c r="E169">
        <v>117500</v>
      </c>
      <c r="F169">
        <v>3729</v>
      </c>
      <c r="G169">
        <v>1</v>
      </c>
      <c r="H169">
        <v>0</v>
      </c>
      <c r="I169">
        <v>0</v>
      </c>
      <c r="J169">
        <v>28.379999160766602</v>
      </c>
      <c r="K169">
        <v>1</v>
      </c>
      <c r="L169">
        <f>Résultats!G$32+Résultats!G$33*Données!C169+Résultats!G$34*Données!D169+Résultats!G$35*Données!E169+Résultats!G$36*Données!F169+Résultats!G$37*Données!G169+Résultats!G$38*Données!H169+Résultats!G$39*Données!I169</f>
        <v>113364.89561288623</v>
      </c>
      <c r="M169">
        <f t="shared" si="8"/>
        <v>-1364.8956128862337</v>
      </c>
      <c r="Q169">
        <v>140000</v>
      </c>
      <c r="R169">
        <v>1</v>
      </c>
      <c r="S169">
        <v>37</v>
      </c>
      <c r="T169">
        <v>0</v>
      </c>
      <c r="U169">
        <f t="shared" si="9"/>
        <v>11.849397701591441</v>
      </c>
      <c r="V169">
        <f t="shared" si="10"/>
        <v>8.238008249218403</v>
      </c>
      <c r="W169">
        <v>1</v>
      </c>
      <c r="X169">
        <v>0</v>
      </c>
      <c r="Y169">
        <v>1</v>
      </c>
      <c r="Z169">
        <f>'Résultat (Ln)'!F$30+'Résultat (Ln)'!F$31*Données!S169+'Résultat (Ln)'!F$32*Données!T169+'Résultat (Ln)'!F$33*Données!U169+'Résultat (Ln)'!F$34*Données!V169+'Résultat (Ln)'!F$35*Données!W169+'Résultat (Ln)'!F$36*Données!X169+'Résultat (Ln)'!F$37*Données!Y169</f>
        <v>135230.82280297123</v>
      </c>
      <c r="AA169">
        <f t="shared" si="11"/>
        <v>4769.1771970287664</v>
      </c>
    </row>
    <row r="170" spans="1:27" x14ac:dyDescent="0.25">
      <c r="A170">
        <v>137000</v>
      </c>
      <c r="B170">
        <v>1</v>
      </c>
      <c r="C170">
        <v>42</v>
      </c>
      <c r="D170">
        <v>0</v>
      </c>
      <c r="E170">
        <v>153000</v>
      </c>
      <c r="F170">
        <v>4980</v>
      </c>
      <c r="G170">
        <v>1</v>
      </c>
      <c r="H170">
        <v>0</v>
      </c>
      <c r="I170">
        <v>0</v>
      </c>
      <c r="J170">
        <v>15</v>
      </c>
      <c r="K170">
        <v>1</v>
      </c>
      <c r="L170">
        <f>Résultats!G$32+Résultats!G$33*Données!C170+Résultats!G$34*Données!D170+Résultats!G$35*Données!E170+Résultats!G$36*Données!F170+Résultats!G$37*Données!G170+Résultats!G$38*Données!H170+Résultats!G$39*Données!I170</f>
        <v>132916.41158825354</v>
      </c>
      <c r="M170">
        <f t="shared" si="8"/>
        <v>4083.5884117464593</v>
      </c>
      <c r="Q170">
        <v>112000</v>
      </c>
      <c r="R170">
        <v>1</v>
      </c>
      <c r="S170">
        <v>37.299999237060547</v>
      </c>
      <c r="T170">
        <v>1</v>
      </c>
      <c r="U170">
        <f t="shared" si="9"/>
        <v>11.67419361256635</v>
      </c>
      <c r="V170">
        <f t="shared" si="10"/>
        <v>8.2238953801788206</v>
      </c>
      <c r="W170">
        <v>1</v>
      </c>
      <c r="X170">
        <v>0</v>
      </c>
      <c r="Y170">
        <v>0</v>
      </c>
      <c r="Z170">
        <f>'Résultat (Ln)'!F$30+'Résultat (Ln)'!F$31*Données!S170+'Résultat (Ln)'!F$32*Données!T170+'Résultat (Ln)'!F$33*Données!U170+'Résultat (Ln)'!F$34*Données!V170+'Résultat (Ln)'!F$35*Données!W170+'Résultat (Ln)'!F$36*Données!X170+'Résultat (Ln)'!F$37*Données!Y170</f>
        <v>106682.40707922699</v>
      </c>
      <c r="AA170">
        <f t="shared" si="11"/>
        <v>5317.5929207730078</v>
      </c>
    </row>
    <row r="171" spans="1:27" x14ac:dyDescent="0.25">
      <c r="A171">
        <v>57000</v>
      </c>
      <c r="B171">
        <v>1</v>
      </c>
      <c r="C171">
        <v>36.700000762939453</v>
      </c>
      <c r="D171">
        <v>0</v>
      </c>
      <c r="E171">
        <v>85000</v>
      </c>
      <c r="F171">
        <v>3772</v>
      </c>
      <c r="G171">
        <v>1</v>
      </c>
      <c r="H171">
        <v>0</v>
      </c>
      <c r="I171">
        <v>0</v>
      </c>
      <c r="J171">
        <v>15.10000038146973</v>
      </c>
      <c r="K171">
        <v>1</v>
      </c>
      <c r="L171">
        <f>Résultats!G$32+Résultats!G$33*Données!C171+Résultats!G$34*Données!D171+Résultats!G$35*Données!E171+Résultats!G$36*Données!F171+Résultats!G$37*Données!G171+Résultats!G$38*Données!H171+Résultats!G$39*Données!I171</f>
        <v>92734.790047724295</v>
      </c>
      <c r="M171">
        <f t="shared" si="8"/>
        <v>-35734.790047724295</v>
      </c>
      <c r="Q171">
        <v>137000</v>
      </c>
      <c r="R171">
        <v>1</v>
      </c>
      <c r="S171">
        <v>42</v>
      </c>
      <c r="T171">
        <v>0</v>
      </c>
      <c r="U171">
        <f t="shared" si="9"/>
        <v>11.938193200374572</v>
      </c>
      <c r="V171">
        <f t="shared" si="10"/>
        <v>8.5131851700186978</v>
      </c>
      <c r="W171">
        <v>1</v>
      </c>
      <c r="X171">
        <v>0</v>
      </c>
      <c r="Y171">
        <v>0</v>
      </c>
      <c r="Z171">
        <f>'Résultat (Ln)'!F$30+'Résultat (Ln)'!F$31*Données!S171+'Résultat (Ln)'!F$32*Données!T171+'Résultat (Ln)'!F$33*Données!U171+'Résultat (Ln)'!F$34*Données!V171+'Résultat (Ln)'!F$35*Données!W171+'Résultat (Ln)'!F$36*Données!X171+'Résultat (Ln)'!F$37*Données!Y171</f>
        <v>144490.13544170919</v>
      </c>
      <c r="AA171">
        <f t="shared" si="11"/>
        <v>-7490.1354417091934</v>
      </c>
    </row>
    <row r="172" spans="1:27" x14ac:dyDescent="0.25">
      <c r="A172">
        <v>230000</v>
      </c>
      <c r="B172">
        <v>1</v>
      </c>
      <c r="C172">
        <v>21.70000076293945</v>
      </c>
      <c r="D172">
        <v>0</v>
      </c>
      <c r="E172">
        <v>290000</v>
      </c>
      <c r="F172">
        <v>9233</v>
      </c>
      <c r="G172">
        <v>1</v>
      </c>
      <c r="H172">
        <v>0</v>
      </c>
      <c r="I172">
        <v>0</v>
      </c>
      <c r="J172">
        <v>21.29999923706055</v>
      </c>
      <c r="K172">
        <v>1</v>
      </c>
      <c r="L172">
        <f>Résultats!G$32+Résultats!G$33*Données!C172+Résultats!G$34*Données!D172+Résultats!G$35*Données!E172+Résultats!G$36*Données!F172+Résultats!G$37*Données!G172+Résultats!G$38*Données!H172+Résultats!G$39*Données!I172</f>
        <v>181812.41124323793</v>
      </c>
      <c r="M172">
        <f t="shared" si="8"/>
        <v>48187.588756762067</v>
      </c>
      <c r="Q172">
        <v>57000</v>
      </c>
      <c r="R172">
        <v>1</v>
      </c>
      <c r="S172">
        <v>36.700000762939453</v>
      </c>
      <c r="T172">
        <v>0</v>
      </c>
      <c r="U172">
        <f t="shared" si="9"/>
        <v>11.350406535472453</v>
      </c>
      <c r="V172">
        <f t="shared" si="10"/>
        <v>8.2353606437533475</v>
      </c>
      <c r="W172">
        <v>1</v>
      </c>
      <c r="X172">
        <v>0</v>
      </c>
      <c r="Y172">
        <v>0</v>
      </c>
      <c r="Z172">
        <f>'Résultat (Ln)'!F$30+'Résultat (Ln)'!F$31*Données!S172+'Résultat (Ln)'!F$32*Données!T172+'Résultat (Ln)'!F$33*Données!U172+'Résultat (Ln)'!F$34*Données!V172+'Résultat (Ln)'!F$35*Données!W172+'Résultat (Ln)'!F$36*Données!X172+'Résultat (Ln)'!F$37*Données!Y172</f>
        <v>67213.385654718426</v>
      </c>
      <c r="AA172">
        <f t="shared" si="11"/>
        <v>-10213.385654718426</v>
      </c>
    </row>
    <row r="173" spans="1:27" x14ac:dyDescent="0.25">
      <c r="A173">
        <v>125000</v>
      </c>
      <c r="B173">
        <v>1</v>
      </c>
      <c r="C173">
        <v>37.299999237060547</v>
      </c>
      <c r="D173">
        <v>0</v>
      </c>
      <c r="E173">
        <v>225000</v>
      </c>
      <c r="F173">
        <v>2942</v>
      </c>
      <c r="G173">
        <v>0</v>
      </c>
      <c r="H173">
        <v>0</v>
      </c>
      <c r="I173">
        <v>0</v>
      </c>
      <c r="J173">
        <v>27.579999923706058</v>
      </c>
      <c r="K173">
        <v>1</v>
      </c>
      <c r="L173">
        <f>Résultats!G$32+Résultats!G$33*Données!C173+Résultats!G$34*Données!D173+Résultats!G$35*Données!E173+Résultats!G$36*Données!F173+Résultats!G$37*Données!G173+Résultats!G$38*Données!H173+Résultats!G$39*Données!I173</f>
        <v>150172.46614200386</v>
      </c>
      <c r="M173">
        <f t="shared" si="8"/>
        <v>-25172.466142003861</v>
      </c>
      <c r="Q173">
        <v>230000</v>
      </c>
      <c r="R173">
        <v>1</v>
      </c>
      <c r="S173">
        <v>21.70000076293945</v>
      </c>
      <c r="T173">
        <v>0</v>
      </c>
      <c r="U173">
        <f t="shared" si="9"/>
        <v>12.577636201962656</v>
      </c>
      <c r="V173">
        <f t="shared" si="10"/>
        <v>9.1305393017726271</v>
      </c>
      <c r="W173">
        <v>1</v>
      </c>
      <c r="X173">
        <v>0</v>
      </c>
      <c r="Y173">
        <v>0</v>
      </c>
      <c r="Z173">
        <f>'Résultat (Ln)'!F$30+'Résultat (Ln)'!F$31*Données!S173+'Résultat (Ln)'!F$32*Données!T173+'Résultat (Ln)'!F$33*Données!U173+'Résultat (Ln)'!F$34*Données!V173+'Résultat (Ln)'!F$35*Données!W173+'Résultat (Ln)'!F$36*Données!X173+'Résultat (Ln)'!F$37*Données!Y173</f>
        <v>205542.3455360902</v>
      </c>
      <c r="AA173">
        <f t="shared" si="11"/>
        <v>24457.654463909799</v>
      </c>
    </row>
    <row r="174" spans="1:27" x14ac:dyDescent="0.25">
      <c r="A174">
        <v>75000</v>
      </c>
      <c r="B174">
        <v>1</v>
      </c>
      <c r="C174">
        <v>33.700000762939453</v>
      </c>
      <c r="D174">
        <v>0</v>
      </c>
      <c r="E174">
        <v>210000</v>
      </c>
      <c r="F174">
        <v>2478</v>
      </c>
      <c r="G174">
        <v>0</v>
      </c>
      <c r="H174">
        <v>0</v>
      </c>
      <c r="I174">
        <v>0</v>
      </c>
      <c r="J174">
        <v>33.099998474121087</v>
      </c>
      <c r="K174">
        <v>0</v>
      </c>
      <c r="L174">
        <f>Résultats!G$32+Résultats!G$33*Données!C174+Résultats!G$34*Données!D174+Résultats!G$35*Données!E174+Résultats!G$36*Données!F174+Résultats!G$37*Données!G174+Résultats!G$38*Données!H174+Résultats!G$39*Données!I174</f>
        <v>138133.82216211196</v>
      </c>
      <c r="M174">
        <f t="shared" si="8"/>
        <v>-63133.822162111959</v>
      </c>
      <c r="Q174">
        <v>125000</v>
      </c>
      <c r="R174">
        <v>1</v>
      </c>
      <c r="S174">
        <v>37.299999237060547</v>
      </c>
      <c r="T174">
        <v>0</v>
      </c>
      <c r="U174">
        <f t="shared" si="9"/>
        <v>12.323855681186558</v>
      </c>
      <c r="V174">
        <f t="shared" si="10"/>
        <v>7.9868449011613825</v>
      </c>
      <c r="W174">
        <v>0</v>
      </c>
      <c r="X174">
        <v>0</v>
      </c>
      <c r="Y174">
        <v>0</v>
      </c>
      <c r="Z174">
        <f>'Résultat (Ln)'!F$30+'Résultat (Ln)'!F$31*Données!S174+'Résultat (Ln)'!F$32*Données!T174+'Résultat (Ln)'!F$33*Données!U174+'Résultat (Ln)'!F$34*Données!V174+'Résultat (Ln)'!F$35*Données!W174+'Résultat (Ln)'!F$36*Données!X174+'Résultat (Ln)'!F$37*Données!Y174</f>
        <v>160812.18898842009</v>
      </c>
      <c r="AA174">
        <f t="shared" si="11"/>
        <v>-35812.188988420094</v>
      </c>
    </row>
    <row r="175" spans="1:27" x14ac:dyDescent="0.25">
      <c r="A175">
        <v>187000</v>
      </c>
      <c r="B175">
        <v>1</v>
      </c>
      <c r="C175">
        <v>28</v>
      </c>
      <c r="D175">
        <v>0</v>
      </c>
      <c r="E175">
        <v>290000</v>
      </c>
      <c r="F175">
        <v>6500</v>
      </c>
      <c r="G175">
        <v>1</v>
      </c>
      <c r="H175">
        <v>0</v>
      </c>
      <c r="I175">
        <v>0</v>
      </c>
      <c r="J175">
        <v>21</v>
      </c>
      <c r="K175">
        <v>1</v>
      </c>
      <c r="L175">
        <f>Résultats!G$32+Résultats!G$33*Données!C175+Résultats!G$34*Données!D175+Résultats!G$35*Données!E175+Résultats!G$36*Données!F175+Résultats!G$37*Données!G175+Résultats!G$38*Données!H175+Résultats!G$39*Données!I175</f>
        <v>183753.06088470304</v>
      </c>
      <c r="M175">
        <f t="shared" si="8"/>
        <v>3246.939115296962</v>
      </c>
      <c r="Q175">
        <v>75000</v>
      </c>
      <c r="R175">
        <v>1</v>
      </c>
      <c r="S175">
        <v>33.700000762939453</v>
      </c>
      <c r="T175">
        <v>0</v>
      </c>
      <c r="U175">
        <f t="shared" si="9"/>
        <v>12.254862809699606</v>
      </c>
      <c r="V175">
        <f t="shared" si="10"/>
        <v>7.8152070621890877</v>
      </c>
      <c r="W175">
        <v>0</v>
      </c>
      <c r="X175">
        <v>0</v>
      </c>
      <c r="Y175">
        <v>0</v>
      </c>
      <c r="Z175">
        <f>'Résultat (Ln)'!F$30+'Résultat (Ln)'!F$31*Données!S175+'Résultat (Ln)'!F$32*Données!T175+'Résultat (Ln)'!F$33*Données!U175+'Résultat (Ln)'!F$34*Données!V175+'Résultat (Ln)'!F$35*Données!W175+'Résultat (Ln)'!F$36*Données!X175+'Résultat (Ln)'!F$37*Données!Y175</f>
        <v>144203.39414450811</v>
      </c>
      <c r="AA175">
        <f t="shared" si="11"/>
        <v>-69203.394144508115</v>
      </c>
    </row>
    <row r="176" spans="1:27" x14ac:dyDescent="0.25">
      <c r="A176">
        <v>134000</v>
      </c>
      <c r="B176">
        <v>1</v>
      </c>
      <c r="C176">
        <v>36.599998474121087</v>
      </c>
      <c r="D176">
        <v>0</v>
      </c>
      <c r="E176">
        <v>149000</v>
      </c>
      <c r="F176">
        <v>4616</v>
      </c>
      <c r="G176">
        <v>1</v>
      </c>
      <c r="H176">
        <v>0</v>
      </c>
      <c r="I176">
        <v>0</v>
      </c>
      <c r="J176">
        <v>27.5</v>
      </c>
      <c r="K176">
        <v>1</v>
      </c>
      <c r="L176">
        <f>Résultats!G$32+Résultats!G$33*Données!C176+Résultats!G$34*Données!D176+Résultats!G$35*Données!E176+Résultats!G$36*Données!F176+Résultats!G$37*Données!G176+Résultats!G$38*Données!H176+Résultats!G$39*Données!I176</f>
        <v>124140.42211246025</v>
      </c>
      <c r="M176">
        <f t="shared" si="8"/>
        <v>9859.5778875397518</v>
      </c>
      <c r="Q176">
        <v>187000</v>
      </c>
      <c r="R176">
        <v>1</v>
      </c>
      <c r="S176">
        <v>28</v>
      </c>
      <c r="T176">
        <v>0</v>
      </c>
      <c r="U176">
        <f t="shared" si="9"/>
        <v>12.577636201962656</v>
      </c>
      <c r="V176">
        <f t="shared" si="10"/>
        <v>8.7795574558837277</v>
      </c>
      <c r="W176">
        <v>1</v>
      </c>
      <c r="X176">
        <v>0</v>
      </c>
      <c r="Y176">
        <v>0</v>
      </c>
      <c r="Z176">
        <f>'Résultat (Ln)'!F$30+'Résultat (Ln)'!F$31*Données!S176+'Résultat (Ln)'!F$32*Données!T176+'Résultat (Ln)'!F$33*Données!U176+'Résultat (Ln)'!F$34*Données!V176+'Résultat (Ln)'!F$35*Données!W176+'Résultat (Ln)'!F$36*Données!X176+'Résultat (Ln)'!F$37*Données!Y176</f>
        <v>203397.63855618009</v>
      </c>
      <c r="AA176">
        <f t="shared" si="11"/>
        <v>-16397.638556180085</v>
      </c>
    </row>
    <row r="177" spans="1:27" x14ac:dyDescent="0.25">
      <c r="A177">
        <v>83000</v>
      </c>
      <c r="B177">
        <v>1</v>
      </c>
      <c r="C177">
        <v>26.60000038146973</v>
      </c>
      <c r="D177">
        <v>0</v>
      </c>
      <c r="E177">
        <v>128000</v>
      </c>
      <c r="F177">
        <v>3879</v>
      </c>
      <c r="G177">
        <v>1</v>
      </c>
      <c r="H177">
        <v>0</v>
      </c>
      <c r="I177">
        <v>0</v>
      </c>
      <c r="J177">
        <v>18.29999923706055</v>
      </c>
      <c r="K177">
        <v>1</v>
      </c>
      <c r="L177">
        <f>Résultats!G$32+Résultats!G$33*Données!C177+Résultats!G$34*Données!D177+Résultats!G$35*Données!E177+Résultats!G$36*Données!F177+Résultats!G$37*Données!G177+Résultats!G$38*Données!H177+Résultats!G$39*Données!I177</f>
        <v>101419.55258151077</v>
      </c>
      <c r="M177">
        <f t="shared" si="8"/>
        <v>-18419.552581510769</v>
      </c>
      <c r="Q177">
        <v>134000</v>
      </c>
      <c r="R177">
        <v>1</v>
      </c>
      <c r="S177">
        <v>36.599998474121087</v>
      </c>
      <c r="T177">
        <v>0</v>
      </c>
      <c r="U177">
        <f t="shared" si="9"/>
        <v>11.911701584927597</v>
      </c>
      <c r="V177">
        <f t="shared" si="10"/>
        <v>8.4372838081879351</v>
      </c>
      <c r="W177">
        <v>1</v>
      </c>
      <c r="X177">
        <v>0</v>
      </c>
      <c r="Y177">
        <v>0</v>
      </c>
      <c r="Z177">
        <f>'Résultat (Ln)'!F$30+'Résultat (Ln)'!F$31*Données!S177+'Résultat (Ln)'!F$32*Données!T177+'Résultat (Ln)'!F$33*Données!U177+'Résultat (Ln)'!F$34*Données!V177+'Résultat (Ln)'!F$35*Données!W177+'Résultat (Ln)'!F$36*Données!X177+'Résultat (Ln)'!F$37*Données!Y177</f>
        <v>132922.61474598455</v>
      </c>
      <c r="AA177">
        <f t="shared" si="11"/>
        <v>1077.3852540154476</v>
      </c>
    </row>
    <row r="178" spans="1:27" x14ac:dyDescent="0.25">
      <c r="A178">
        <v>26000</v>
      </c>
      <c r="B178">
        <v>1</v>
      </c>
      <c r="C178">
        <v>19</v>
      </c>
      <c r="D178">
        <v>0</v>
      </c>
      <c r="E178">
        <v>29000</v>
      </c>
      <c r="F178">
        <v>2600</v>
      </c>
      <c r="G178">
        <v>0</v>
      </c>
      <c r="H178">
        <v>0</v>
      </c>
      <c r="I178">
        <v>1</v>
      </c>
      <c r="J178">
        <v>10</v>
      </c>
      <c r="K178">
        <v>0</v>
      </c>
      <c r="L178">
        <f>Résultats!G$32+Résultats!G$33*Données!C178+Résultats!G$34*Données!D178+Résultats!G$35*Données!E178+Résultats!G$36*Données!F178+Résultats!G$37*Données!G178+Résultats!G$38*Données!H178+Résultats!G$39*Données!I178</f>
        <v>46891.691998562106</v>
      </c>
      <c r="M178">
        <f t="shared" si="8"/>
        <v>-20891.691998562106</v>
      </c>
      <c r="Q178">
        <v>83000</v>
      </c>
      <c r="R178">
        <v>1</v>
      </c>
      <c r="S178">
        <v>26.60000038146973</v>
      </c>
      <c r="T178">
        <v>0</v>
      </c>
      <c r="U178">
        <f t="shared" si="9"/>
        <v>11.759785542901755</v>
      </c>
      <c r="V178">
        <f t="shared" si="10"/>
        <v>8.2633326674399665</v>
      </c>
      <c r="W178">
        <v>1</v>
      </c>
      <c r="X178">
        <v>0</v>
      </c>
      <c r="Y178">
        <v>0</v>
      </c>
      <c r="Z178">
        <f>'Résultat (Ln)'!F$30+'Résultat (Ln)'!F$31*Données!S178+'Résultat (Ln)'!F$32*Données!T178+'Résultat (Ln)'!F$33*Données!U178+'Résultat (Ln)'!F$34*Données!V178+'Résultat (Ln)'!F$35*Données!W178+'Résultat (Ln)'!F$36*Données!X178+'Résultat (Ln)'!F$37*Données!Y178</f>
        <v>99538.883548401078</v>
      </c>
      <c r="AA178">
        <f t="shared" si="11"/>
        <v>-16538.883548401078</v>
      </c>
    </row>
    <row r="179" spans="1:27" x14ac:dyDescent="0.25">
      <c r="A179">
        <v>248000</v>
      </c>
      <c r="B179">
        <v>1</v>
      </c>
      <c r="C179">
        <v>37</v>
      </c>
      <c r="D179">
        <v>0</v>
      </c>
      <c r="E179">
        <v>280000</v>
      </c>
      <c r="F179">
        <v>6812</v>
      </c>
      <c r="G179">
        <v>1</v>
      </c>
      <c r="H179">
        <v>0</v>
      </c>
      <c r="I179">
        <v>0</v>
      </c>
      <c r="J179">
        <v>25</v>
      </c>
      <c r="K179">
        <v>1</v>
      </c>
      <c r="L179">
        <f>Résultats!G$32+Résultats!G$33*Données!C179+Résultats!G$34*Données!D179+Résultats!G$35*Données!E179+Résultats!G$36*Données!F179+Résultats!G$37*Données!G179+Résultats!G$38*Données!H179+Résultats!G$39*Données!I179</f>
        <v>190026.15126815226</v>
      </c>
      <c r="M179">
        <f t="shared" si="8"/>
        <v>57973.848731847742</v>
      </c>
      <c r="Q179">
        <v>26000</v>
      </c>
      <c r="R179">
        <v>1</v>
      </c>
      <c r="S179">
        <v>19</v>
      </c>
      <c r="T179">
        <v>0</v>
      </c>
      <c r="U179">
        <f t="shared" si="9"/>
        <v>10.275051108968611</v>
      </c>
      <c r="V179">
        <f t="shared" si="10"/>
        <v>7.8632667240095735</v>
      </c>
      <c r="W179">
        <v>0</v>
      </c>
      <c r="X179">
        <v>0</v>
      </c>
      <c r="Y179">
        <v>1</v>
      </c>
      <c r="Z179">
        <f>'Résultat (Ln)'!F$30+'Résultat (Ln)'!F$31*Données!S179+'Résultat (Ln)'!F$32*Données!T179+'Résultat (Ln)'!F$33*Données!U179+'Résultat (Ln)'!F$34*Données!V179+'Résultat (Ln)'!F$35*Données!W179+'Résultat (Ln)'!F$36*Données!X179+'Résultat (Ln)'!F$37*Données!Y179</f>
        <v>-70552.843399683945</v>
      </c>
      <c r="AA179">
        <f t="shared" si="11"/>
        <v>96552.843399683945</v>
      </c>
    </row>
    <row r="180" spans="1:27" x14ac:dyDescent="0.25">
      <c r="A180">
        <v>192000</v>
      </c>
      <c r="B180">
        <v>1</v>
      </c>
      <c r="C180">
        <v>37</v>
      </c>
      <c r="D180">
        <v>0</v>
      </c>
      <c r="E180">
        <v>240000</v>
      </c>
      <c r="F180">
        <v>6250</v>
      </c>
      <c r="G180">
        <v>1</v>
      </c>
      <c r="H180">
        <v>0</v>
      </c>
      <c r="I180">
        <v>1</v>
      </c>
      <c r="J180">
        <v>28</v>
      </c>
      <c r="K180">
        <v>1</v>
      </c>
      <c r="L180">
        <f>Résultats!G$32+Résultats!G$33*Données!C180+Résultats!G$34*Données!D180+Résultats!G$35*Données!E180+Résultats!G$36*Données!F180+Résultats!G$37*Données!G180+Résultats!G$38*Données!H180+Résultats!G$39*Données!I180</f>
        <v>180184.44087866152</v>
      </c>
      <c r="M180">
        <f t="shared" si="8"/>
        <v>11815.559121338476</v>
      </c>
      <c r="Q180">
        <v>248000</v>
      </c>
      <c r="R180">
        <v>1</v>
      </c>
      <c r="S180">
        <v>37</v>
      </c>
      <c r="T180">
        <v>0</v>
      </c>
      <c r="U180">
        <f t="shared" si="9"/>
        <v>12.542544882151386</v>
      </c>
      <c r="V180">
        <f t="shared" si="10"/>
        <v>8.8264410417825783</v>
      </c>
      <c r="W180">
        <v>1</v>
      </c>
      <c r="X180">
        <v>0</v>
      </c>
      <c r="Y180">
        <v>0</v>
      </c>
      <c r="Z180">
        <f>'Résultat (Ln)'!F$30+'Résultat (Ln)'!F$31*Données!S180+'Résultat (Ln)'!F$32*Données!T180+'Résultat (Ln)'!F$33*Données!U180+'Résultat (Ln)'!F$34*Données!V180+'Résultat (Ln)'!F$35*Données!W180+'Résultat (Ln)'!F$36*Données!X180+'Résultat (Ln)'!F$37*Données!Y180</f>
        <v>211949.26071881753</v>
      </c>
      <c r="AA180">
        <f t="shared" si="11"/>
        <v>36050.739281182468</v>
      </c>
    </row>
    <row r="181" spans="1:27" x14ac:dyDescent="0.25">
      <c r="A181">
        <v>108000</v>
      </c>
      <c r="B181">
        <v>1</v>
      </c>
      <c r="C181">
        <v>38</v>
      </c>
      <c r="D181">
        <v>0</v>
      </c>
      <c r="E181">
        <v>120000</v>
      </c>
      <c r="F181">
        <v>3926</v>
      </c>
      <c r="G181">
        <v>0</v>
      </c>
      <c r="H181">
        <v>0</v>
      </c>
      <c r="I181">
        <v>0</v>
      </c>
      <c r="J181">
        <v>28</v>
      </c>
      <c r="K181">
        <v>1</v>
      </c>
      <c r="L181">
        <f>Résultats!G$32+Résultats!G$33*Données!C181+Résultats!G$34*Données!D181+Résultats!G$35*Données!E181+Résultats!G$36*Données!F181+Résultats!G$37*Données!G181+Résultats!G$38*Données!H181+Résultats!G$39*Données!I181</f>
        <v>103853.22584103086</v>
      </c>
      <c r="M181">
        <f t="shared" si="8"/>
        <v>4146.7741589691432</v>
      </c>
      <c r="Q181">
        <v>192000</v>
      </c>
      <c r="R181">
        <v>1</v>
      </c>
      <c r="S181">
        <v>37</v>
      </c>
      <c r="T181">
        <v>0</v>
      </c>
      <c r="U181">
        <f t="shared" si="9"/>
        <v>12.388394202324129</v>
      </c>
      <c r="V181">
        <f t="shared" si="10"/>
        <v>8.740336742730447</v>
      </c>
      <c r="W181">
        <v>1</v>
      </c>
      <c r="X181">
        <v>0</v>
      </c>
      <c r="Y181">
        <v>1</v>
      </c>
      <c r="Z181">
        <f>'Résultat (Ln)'!F$30+'Résultat (Ln)'!F$31*Données!S181+'Résultat (Ln)'!F$32*Données!T181+'Résultat (Ln)'!F$33*Données!U181+'Résultat (Ln)'!F$34*Données!V181+'Résultat (Ln)'!F$35*Données!W181+'Résultat (Ln)'!F$36*Données!X181+'Résultat (Ln)'!F$37*Données!Y181</f>
        <v>207097.05886841012</v>
      </c>
      <c r="AA181">
        <f t="shared" si="11"/>
        <v>-15097.058868410124</v>
      </c>
    </row>
    <row r="182" spans="1:27" x14ac:dyDescent="0.25">
      <c r="A182">
        <v>152000</v>
      </c>
      <c r="B182">
        <v>1</v>
      </c>
      <c r="C182">
        <v>34</v>
      </c>
      <c r="D182">
        <v>0</v>
      </c>
      <c r="E182">
        <v>165000</v>
      </c>
      <c r="F182">
        <v>3268</v>
      </c>
      <c r="G182">
        <v>0</v>
      </c>
      <c r="H182">
        <v>1</v>
      </c>
      <c r="I182">
        <v>0</v>
      </c>
      <c r="J182">
        <v>31</v>
      </c>
      <c r="K182">
        <v>1</v>
      </c>
      <c r="L182">
        <f>Résultats!G$32+Résultats!G$33*Données!C182+Résultats!G$34*Données!D182+Résultats!G$35*Données!E182+Résultats!G$36*Données!F182+Résultats!G$37*Données!G182+Résultats!G$38*Données!H182+Résultats!G$39*Données!I182</f>
        <v>117371.10084898313</v>
      </c>
      <c r="M182">
        <f t="shared" si="8"/>
        <v>34628.899151016871</v>
      </c>
      <c r="Q182">
        <v>108000</v>
      </c>
      <c r="R182">
        <v>1</v>
      </c>
      <c r="S182">
        <v>38</v>
      </c>
      <c r="T182">
        <v>0</v>
      </c>
      <c r="U182">
        <f t="shared" si="9"/>
        <v>11.695247021764184</v>
      </c>
      <c r="V182">
        <f t="shared" si="10"/>
        <v>8.2753763748364069</v>
      </c>
      <c r="W182">
        <v>0</v>
      </c>
      <c r="X182">
        <v>0</v>
      </c>
      <c r="Y182">
        <v>0</v>
      </c>
      <c r="Z182">
        <f>'Résultat (Ln)'!F$30+'Résultat (Ln)'!F$31*Données!S182+'Résultat (Ln)'!F$32*Données!T182+'Résultat (Ln)'!F$33*Données!U182+'Résultat (Ln)'!F$34*Données!V182+'Résultat (Ln)'!F$35*Données!W182+'Résultat (Ln)'!F$36*Données!X182+'Résultat (Ln)'!F$37*Données!Y182</f>
        <v>102375.65126681281</v>
      </c>
      <c r="AA182">
        <f t="shared" si="11"/>
        <v>5624.3487331871875</v>
      </c>
    </row>
    <row r="183" spans="1:27" x14ac:dyDescent="0.25">
      <c r="A183">
        <v>286000</v>
      </c>
      <c r="B183">
        <v>1</v>
      </c>
      <c r="C183">
        <v>32</v>
      </c>
      <c r="D183">
        <v>0</v>
      </c>
      <c r="E183">
        <v>357000</v>
      </c>
      <c r="F183">
        <v>11500</v>
      </c>
      <c r="G183">
        <v>1</v>
      </c>
      <c r="H183">
        <v>0</v>
      </c>
      <c r="I183">
        <v>0</v>
      </c>
      <c r="J183">
        <v>26</v>
      </c>
      <c r="K183">
        <v>0</v>
      </c>
      <c r="L183">
        <f>Résultats!G$32+Résultats!G$33*Données!C183+Résultats!G$34*Données!D183+Résultats!G$35*Données!E183+Résultats!G$36*Données!F183+Résultats!G$37*Données!G183+Résultats!G$38*Données!H183+Résultats!G$39*Données!I183</f>
        <v>229322.54823101865</v>
      </c>
      <c r="M183">
        <f t="shared" si="8"/>
        <v>56677.451768981351</v>
      </c>
      <c r="Q183">
        <v>152000</v>
      </c>
      <c r="R183">
        <v>1</v>
      </c>
      <c r="S183">
        <v>34</v>
      </c>
      <c r="T183">
        <v>0</v>
      </c>
      <c r="U183">
        <f t="shared" si="9"/>
        <v>12.013700752882718</v>
      </c>
      <c r="V183">
        <f t="shared" si="10"/>
        <v>8.091933455979893</v>
      </c>
      <c r="W183">
        <v>0</v>
      </c>
      <c r="X183">
        <v>1</v>
      </c>
      <c r="Y183">
        <v>0</v>
      </c>
      <c r="Z183">
        <f>'Résultat (Ln)'!F$30+'Résultat (Ln)'!F$31*Données!S183+'Résultat (Ln)'!F$32*Données!T183+'Résultat (Ln)'!F$33*Données!U183+'Résultat (Ln)'!F$34*Données!V183+'Résultat (Ln)'!F$35*Données!W183+'Résultat (Ln)'!F$36*Données!X183+'Résultat (Ln)'!F$37*Données!Y183</f>
        <v>126301.97428397306</v>
      </c>
      <c r="AA183">
        <f t="shared" si="11"/>
        <v>25698.025716026939</v>
      </c>
    </row>
    <row r="184" spans="1:27" x14ac:dyDescent="0.25">
      <c r="A184">
        <v>158000</v>
      </c>
      <c r="B184">
        <v>1</v>
      </c>
      <c r="C184">
        <v>28</v>
      </c>
      <c r="D184">
        <v>0</v>
      </c>
      <c r="E184">
        <v>175000</v>
      </c>
      <c r="F184">
        <v>2783</v>
      </c>
      <c r="G184">
        <v>1</v>
      </c>
      <c r="H184">
        <v>0</v>
      </c>
      <c r="I184">
        <v>1</v>
      </c>
      <c r="J184">
        <v>28</v>
      </c>
      <c r="K184">
        <v>1</v>
      </c>
      <c r="L184">
        <f>Résultats!G$32+Résultats!G$33*Données!C184+Résultats!G$34*Données!D184+Résultats!G$35*Données!E184+Résultats!G$36*Données!F184+Résultats!G$37*Données!G184+Résultats!G$38*Données!H184+Résultats!G$39*Données!I184</f>
        <v>132776.13620580616</v>
      </c>
      <c r="M184">
        <f t="shared" si="8"/>
        <v>25223.863794193836</v>
      </c>
      <c r="Q184">
        <v>286000</v>
      </c>
      <c r="R184">
        <v>1</v>
      </c>
      <c r="S184">
        <v>32</v>
      </c>
      <c r="T184">
        <v>0</v>
      </c>
      <c r="U184">
        <f t="shared" si="9"/>
        <v>12.785491060761776</v>
      </c>
      <c r="V184">
        <f t="shared" si="10"/>
        <v>9.3501023143513411</v>
      </c>
      <c r="W184">
        <v>1</v>
      </c>
      <c r="X184">
        <v>0</v>
      </c>
      <c r="Y184">
        <v>0</v>
      </c>
      <c r="Z184">
        <f>'Résultat (Ln)'!F$30+'Résultat (Ln)'!F$31*Données!S184+'Résultat (Ln)'!F$32*Données!T184+'Résultat (Ln)'!F$33*Données!U184+'Résultat (Ln)'!F$34*Données!V184+'Résultat (Ln)'!F$35*Données!W184+'Résultat (Ln)'!F$36*Données!X184+'Résultat (Ln)'!F$37*Données!Y184</f>
        <v>246568.30468049317</v>
      </c>
      <c r="AA184">
        <f t="shared" si="11"/>
        <v>39431.695319506834</v>
      </c>
    </row>
    <row r="185" spans="1:27" x14ac:dyDescent="0.25">
      <c r="A185">
        <v>55000</v>
      </c>
      <c r="B185">
        <v>1</v>
      </c>
      <c r="C185">
        <v>27</v>
      </c>
      <c r="D185">
        <v>0</v>
      </c>
      <c r="E185">
        <v>250000</v>
      </c>
      <c r="F185">
        <v>3226</v>
      </c>
      <c r="G185">
        <v>0</v>
      </c>
      <c r="H185">
        <v>0</v>
      </c>
      <c r="I185">
        <v>0</v>
      </c>
      <c r="J185">
        <v>24</v>
      </c>
      <c r="K185">
        <v>1</v>
      </c>
      <c r="L185">
        <f>Résultats!G$32+Résultats!G$33*Données!C185+Résultats!G$34*Données!D185+Résultats!G$35*Données!E185+Résultats!G$36*Données!F185+Résultats!G$37*Données!G185+Résultats!G$38*Données!H185+Résultats!G$39*Données!I185</f>
        <v>150565.32544214735</v>
      </c>
      <c r="M185">
        <f t="shared" si="8"/>
        <v>-95565.325442147354</v>
      </c>
      <c r="Q185">
        <v>158000</v>
      </c>
      <c r="R185">
        <v>1</v>
      </c>
      <c r="S185">
        <v>28</v>
      </c>
      <c r="T185">
        <v>0</v>
      </c>
      <c r="U185">
        <f t="shared" si="9"/>
        <v>12.072541252905651</v>
      </c>
      <c r="V185">
        <f t="shared" si="10"/>
        <v>7.931284761525891</v>
      </c>
      <c r="W185">
        <v>1</v>
      </c>
      <c r="X185">
        <v>0</v>
      </c>
      <c r="Y185">
        <v>1</v>
      </c>
      <c r="Z185">
        <f>'Résultat (Ln)'!F$30+'Résultat (Ln)'!F$31*Données!S185+'Résultat (Ln)'!F$32*Données!T185+'Résultat (Ln)'!F$33*Données!U185+'Résultat (Ln)'!F$34*Données!V185+'Résultat (Ln)'!F$35*Données!W185+'Résultat (Ln)'!F$36*Données!X185+'Résultat (Ln)'!F$37*Données!Y185</f>
        <v>139550.15003854217</v>
      </c>
      <c r="AA185">
        <f t="shared" si="11"/>
        <v>18449.849961457832</v>
      </c>
    </row>
    <row r="186" spans="1:27" x14ac:dyDescent="0.25">
      <c r="A186">
        <v>140000</v>
      </c>
      <c r="B186">
        <v>1</v>
      </c>
      <c r="C186">
        <v>34</v>
      </c>
      <c r="D186">
        <v>0</v>
      </c>
      <c r="E186">
        <v>176000</v>
      </c>
      <c r="F186">
        <v>2708</v>
      </c>
      <c r="G186">
        <v>1</v>
      </c>
      <c r="H186">
        <v>0</v>
      </c>
      <c r="I186">
        <v>0</v>
      </c>
      <c r="J186">
        <v>33</v>
      </c>
      <c r="K186">
        <v>1</v>
      </c>
      <c r="L186">
        <f>Résultats!G$32+Résultats!G$33*Données!C186+Résultats!G$34*Données!D186+Résultats!G$35*Données!E186+Résultats!G$36*Données!F186+Résultats!G$37*Données!G186+Résultats!G$38*Données!H186+Résultats!G$39*Données!I186</f>
        <v>130064.3208397847</v>
      </c>
      <c r="M186">
        <f t="shared" si="8"/>
        <v>9935.6791602152953</v>
      </c>
      <c r="Q186">
        <v>55000</v>
      </c>
      <c r="R186">
        <v>1</v>
      </c>
      <c r="S186">
        <v>27</v>
      </c>
      <c r="T186">
        <v>0</v>
      </c>
      <c r="U186">
        <f t="shared" si="9"/>
        <v>12.429216196844383</v>
      </c>
      <c r="V186">
        <f t="shared" si="10"/>
        <v>8.0789982586851536</v>
      </c>
      <c r="W186">
        <v>0</v>
      </c>
      <c r="X186">
        <v>0</v>
      </c>
      <c r="Y186">
        <v>0</v>
      </c>
      <c r="Z186">
        <f>'Résultat (Ln)'!F$30+'Résultat (Ln)'!F$31*Données!S186+'Résultat (Ln)'!F$32*Données!T186+'Résultat (Ln)'!F$33*Données!U186+'Résultat (Ln)'!F$34*Données!V186+'Résultat (Ln)'!F$35*Données!W186+'Résultat (Ln)'!F$36*Données!X186+'Résultat (Ln)'!F$37*Données!Y186</f>
        <v>162103.86206447412</v>
      </c>
      <c r="AA186">
        <f t="shared" si="11"/>
        <v>-107103.86206447412</v>
      </c>
    </row>
    <row r="187" spans="1:27" x14ac:dyDescent="0.25">
      <c r="A187">
        <v>101000</v>
      </c>
      <c r="B187">
        <v>1</v>
      </c>
      <c r="C187">
        <v>37</v>
      </c>
      <c r="D187">
        <v>0</v>
      </c>
      <c r="E187">
        <v>126500</v>
      </c>
      <c r="F187">
        <v>2740</v>
      </c>
      <c r="G187">
        <v>1</v>
      </c>
      <c r="H187">
        <v>0</v>
      </c>
      <c r="I187">
        <v>0</v>
      </c>
      <c r="J187">
        <v>23.20000076293945</v>
      </c>
      <c r="K187">
        <v>1</v>
      </c>
      <c r="L187">
        <f>Résultats!G$32+Résultats!G$33*Données!C187+Résultats!G$34*Données!D187+Résultats!G$35*Données!E187+Résultats!G$36*Données!F187+Résultats!G$37*Données!G187+Résultats!G$38*Données!H187+Résultats!G$39*Données!I187</f>
        <v>110458.1543735474</v>
      </c>
      <c r="M187">
        <f t="shared" si="8"/>
        <v>-9458.154373547397</v>
      </c>
      <c r="Q187">
        <v>140000</v>
      </c>
      <c r="R187">
        <v>1</v>
      </c>
      <c r="S187">
        <v>34</v>
      </c>
      <c r="T187">
        <v>0</v>
      </c>
      <c r="U187">
        <f t="shared" si="9"/>
        <v>12.078239274020289</v>
      </c>
      <c r="V187">
        <f t="shared" si="10"/>
        <v>7.9039656340321658</v>
      </c>
      <c r="W187">
        <v>1</v>
      </c>
      <c r="X187">
        <v>0</v>
      </c>
      <c r="Y187">
        <v>0</v>
      </c>
      <c r="Z187">
        <f>'Résultat (Ln)'!F$30+'Résultat (Ln)'!F$31*Données!S187+'Résultat (Ln)'!F$32*Données!T187+'Résultat (Ln)'!F$33*Données!U187+'Résultat (Ln)'!F$34*Données!V187+'Résultat (Ln)'!F$35*Données!W187+'Résultat (Ln)'!F$36*Données!X187+'Résultat (Ln)'!F$37*Données!Y187</f>
        <v>132640.08094439458</v>
      </c>
      <c r="AA187">
        <f t="shared" si="11"/>
        <v>7359.9190556054236</v>
      </c>
    </row>
    <row r="188" spans="1:27" x14ac:dyDescent="0.25">
      <c r="A188">
        <v>152000</v>
      </c>
      <c r="B188">
        <v>1</v>
      </c>
      <c r="C188">
        <v>36</v>
      </c>
      <c r="D188">
        <v>0</v>
      </c>
      <c r="E188">
        <v>199000</v>
      </c>
      <c r="F188">
        <v>10500</v>
      </c>
      <c r="G188">
        <v>0</v>
      </c>
      <c r="H188">
        <v>0</v>
      </c>
      <c r="I188">
        <v>0</v>
      </c>
      <c r="J188">
        <v>15</v>
      </c>
      <c r="K188">
        <v>1</v>
      </c>
      <c r="L188">
        <f>Résultats!G$32+Résultats!G$33*Données!C188+Résultats!G$34*Données!D188+Résultats!G$35*Données!E188+Résultats!G$36*Données!F188+Résultats!G$37*Données!G188+Résultats!G$38*Données!H188+Résultats!G$39*Données!I188</f>
        <v>151184.20745041114</v>
      </c>
      <c r="M188">
        <f t="shared" si="8"/>
        <v>815.79254958886304</v>
      </c>
      <c r="Q188">
        <v>101000</v>
      </c>
      <c r="R188">
        <v>1</v>
      </c>
      <c r="S188">
        <v>37</v>
      </c>
      <c r="T188">
        <v>0</v>
      </c>
      <c r="U188">
        <f t="shared" si="9"/>
        <v>11.747997587149712</v>
      </c>
      <c r="V188">
        <f t="shared" si="10"/>
        <v>7.9157131993821155</v>
      </c>
      <c r="W188">
        <v>1</v>
      </c>
      <c r="X188">
        <v>0</v>
      </c>
      <c r="Y188">
        <v>0</v>
      </c>
      <c r="Z188">
        <f>'Résultat (Ln)'!F$30+'Résultat (Ln)'!F$31*Données!S188+'Résultat (Ln)'!F$32*Données!T188+'Résultat (Ln)'!F$33*Données!U188+'Résultat (Ln)'!F$34*Données!V188+'Résultat (Ln)'!F$35*Données!W188+'Résultat (Ln)'!F$36*Données!X188+'Résultat (Ln)'!F$37*Données!Y188</f>
        <v>101235.2289684124</v>
      </c>
      <c r="AA188">
        <f t="shared" si="11"/>
        <v>-235.22896841239708</v>
      </c>
    </row>
    <row r="189" spans="1:27" x14ac:dyDescent="0.25">
      <c r="A189">
        <v>124000</v>
      </c>
      <c r="B189">
        <v>1</v>
      </c>
      <c r="C189">
        <v>36.900001525878913</v>
      </c>
      <c r="D189">
        <v>0</v>
      </c>
      <c r="E189">
        <v>134899.9938964844</v>
      </c>
      <c r="F189">
        <v>1987</v>
      </c>
      <c r="G189">
        <v>1</v>
      </c>
      <c r="H189">
        <v>0</v>
      </c>
      <c r="I189">
        <v>1</v>
      </c>
      <c r="J189">
        <v>33.599998474121087</v>
      </c>
      <c r="K189">
        <v>1</v>
      </c>
      <c r="L189">
        <f>Résultats!G$32+Résultats!G$33*Données!C189+Résultats!G$34*Données!D189+Résultats!G$35*Données!E189+Résultats!G$36*Données!F189+Résultats!G$37*Données!G189+Résultats!G$38*Données!H189+Résultats!G$39*Données!I189</f>
        <v>122731.99666571566</v>
      </c>
      <c r="M189">
        <f t="shared" si="8"/>
        <v>1268.0033342843381</v>
      </c>
      <c r="Q189">
        <v>152000</v>
      </c>
      <c r="R189">
        <v>1</v>
      </c>
      <c r="S189">
        <v>36</v>
      </c>
      <c r="T189">
        <v>0</v>
      </c>
      <c r="U189">
        <f t="shared" si="9"/>
        <v>12.201060103706629</v>
      </c>
      <c r="V189">
        <f t="shared" si="10"/>
        <v>9.259130536145614</v>
      </c>
      <c r="W189">
        <v>0</v>
      </c>
      <c r="X189">
        <v>0</v>
      </c>
      <c r="Y189">
        <v>0</v>
      </c>
      <c r="Z189">
        <f>'Résultat (Ln)'!F$30+'Résultat (Ln)'!F$31*Données!S189+'Résultat (Ln)'!F$32*Données!T189+'Résultat (Ln)'!F$33*Données!U189+'Résultat (Ln)'!F$34*Données!V189+'Résultat (Ln)'!F$35*Données!W189+'Résultat (Ln)'!F$36*Données!X189+'Résultat (Ln)'!F$37*Données!Y189</f>
        <v>181742.65458875726</v>
      </c>
      <c r="AA189">
        <f t="shared" si="11"/>
        <v>-29742.654588757257</v>
      </c>
    </row>
    <row r="190" spans="1:27" x14ac:dyDescent="0.25">
      <c r="A190">
        <v>187000</v>
      </c>
      <c r="B190">
        <v>1</v>
      </c>
      <c r="C190">
        <v>32</v>
      </c>
      <c r="D190">
        <v>0</v>
      </c>
      <c r="E190">
        <v>250000</v>
      </c>
      <c r="F190">
        <v>10166</v>
      </c>
      <c r="G190">
        <v>1</v>
      </c>
      <c r="H190">
        <v>0</v>
      </c>
      <c r="I190">
        <v>0</v>
      </c>
      <c r="J190">
        <v>21</v>
      </c>
      <c r="K190">
        <v>1</v>
      </c>
      <c r="L190">
        <f>Résultats!G$32+Résultats!G$33*Données!C190+Résultats!G$34*Données!D190+Résultats!G$35*Données!E190+Résultats!G$36*Données!F190+Résultats!G$37*Données!G190+Résultats!G$38*Données!H190+Résultats!G$39*Données!I190</f>
        <v>176773.54013713004</v>
      </c>
      <c r="M190">
        <f t="shared" si="8"/>
        <v>10226.45986286996</v>
      </c>
      <c r="Q190">
        <v>124000</v>
      </c>
      <c r="R190">
        <v>1</v>
      </c>
      <c r="S190">
        <v>36.900001525878913</v>
      </c>
      <c r="T190">
        <v>0</v>
      </c>
      <c r="U190">
        <f t="shared" si="9"/>
        <v>11.812288996951105</v>
      </c>
      <c r="V190">
        <f t="shared" si="10"/>
        <v>7.5943812425518171</v>
      </c>
      <c r="W190">
        <v>1</v>
      </c>
      <c r="X190">
        <v>0</v>
      </c>
      <c r="Y190">
        <v>1</v>
      </c>
      <c r="Z190">
        <f>'Résultat (Ln)'!F$30+'Résultat (Ln)'!F$31*Données!S190+'Résultat (Ln)'!F$32*Données!T190+'Résultat (Ln)'!F$33*Données!U190+'Résultat (Ln)'!F$34*Données!V190+'Résultat (Ln)'!F$35*Données!W190+'Résultat (Ln)'!F$36*Données!X190+'Résultat (Ln)'!F$37*Données!Y190</f>
        <v>113079.7022362319</v>
      </c>
      <c r="AA190">
        <f t="shared" si="11"/>
        <v>10920.297763768103</v>
      </c>
    </row>
    <row r="191" spans="1:27" x14ac:dyDescent="0.25">
      <c r="A191">
        <v>97000</v>
      </c>
      <c r="B191">
        <v>1</v>
      </c>
      <c r="C191">
        <v>36.599998474121087</v>
      </c>
      <c r="D191">
        <v>0</v>
      </c>
      <c r="E191">
        <v>135000</v>
      </c>
      <c r="F191">
        <v>2708</v>
      </c>
      <c r="G191">
        <v>1</v>
      </c>
      <c r="H191">
        <v>0</v>
      </c>
      <c r="I191">
        <v>0</v>
      </c>
      <c r="J191">
        <v>28.20000076293945</v>
      </c>
      <c r="K191">
        <v>1</v>
      </c>
      <c r="L191">
        <f>Résultats!G$32+Résultats!G$33*Données!C191+Résultats!G$34*Données!D191+Résultats!G$35*Données!E191+Résultats!G$36*Données!F191+Résultats!G$37*Données!G191+Résultats!G$38*Données!H191+Résultats!G$39*Données!I191</f>
        <v>113905.77805718148</v>
      </c>
      <c r="M191">
        <f t="shared" si="8"/>
        <v>-16905.77805718148</v>
      </c>
      <c r="Q191">
        <v>187000</v>
      </c>
      <c r="R191">
        <v>1</v>
      </c>
      <c r="S191">
        <v>32</v>
      </c>
      <c r="T191">
        <v>0</v>
      </c>
      <c r="U191">
        <f t="shared" si="9"/>
        <v>12.429216196844383</v>
      </c>
      <c r="V191">
        <f t="shared" si="10"/>
        <v>9.2268040980068484</v>
      </c>
      <c r="W191">
        <v>1</v>
      </c>
      <c r="X191">
        <v>0</v>
      </c>
      <c r="Y191">
        <v>0</v>
      </c>
      <c r="Z191">
        <f>'Résultat (Ln)'!F$30+'Résultat (Ln)'!F$31*Données!S191+'Résultat (Ln)'!F$32*Données!T191+'Résultat (Ln)'!F$33*Données!U191+'Résultat (Ln)'!F$34*Données!V191+'Résultat (Ln)'!F$35*Données!W191+'Résultat (Ln)'!F$36*Données!X191+'Résultat (Ln)'!F$37*Données!Y191</f>
        <v>204919.2226145491</v>
      </c>
      <c r="AA191">
        <f t="shared" si="11"/>
        <v>-17919.2226145491</v>
      </c>
    </row>
    <row r="192" spans="1:27" x14ac:dyDescent="0.25">
      <c r="A192">
        <v>96000</v>
      </c>
      <c r="B192">
        <v>1</v>
      </c>
      <c r="C192">
        <v>34</v>
      </c>
      <c r="D192">
        <v>0</v>
      </c>
      <c r="E192">
        <v>120000</v>
      </c>
      <c r="F192">
        <v>2132</v>
      </c>
      <c r="G192">
        <v>1</v>
      </c>
      <c r="H192">
        <v>0</v>
      </c>
      <c r="I192">
        <v>0</v>
      </c>
      <c r="J192">
        <v>28</v>
      </c>
      <c r="K192">
        <v>1</v>
      </c>
      <c r="L192">
        <f>Résultats!G$32+Résultats!G$33*Données!C192+Résultats!G$34*Données!D192+Résultats!G$35*Données!E192+Résultats!G$36*Données!F192+Résultats!G$37*Données!G192+Résultats!G$38*Données!H192+Résultats!G$39*Données!I192</f>
        <v>102798.77227144263</v>
      </c>
      <c r="M192">
        <f t="shared" si="8"/>
        <v>-6798.7722714426345</v>
      </c>
      <c r="Q192">
        <v>97000</v>
      </c>
      <c r="R192">
        <v>1</v>
      </c>
      <c r="S192">
        <v>36.599998474121087</v>
      </c>
      <c r="T192">
        <v>0</v>
      </c>
      <c r="U192">
        <f t="shared" si="9"/>
        <v>11.813030057420567</v>
      </c>
      <c r="V192">
        <f t="shared" si="10"/>
        <v>7.9039656340321658</v>
      </c>
      <c r="W192">
        <v>1</v>
      </c>
      <c r="X192">
        <v>0</v>
      </c>
      <c r="Y192">
        <v>0</v>
      </c>
      <c r="Z192">
        <f>'Résultat (Ln)'!F$30+'Résultat (Ln)'!F$31*Données!S192+'Résultat (Ln)'!F$32*Données!T192+'Résultat (Ln)'!F$33*Données!U192+'Résultat (Ln)'!F$34*Données!V192+'Résultat (Ln)'!F$35*Données!W192+'Résultat (Ln)'!F$36*Données!X192+'Résultat (Ln)'!F$37*Données!Y192</f>
        <v>107388.13341556756</v>
      </c>
      <c r="AA192">
        <f t="shared" si="11"/>
        <v>-10388.133415567558</v>
      </c>
    </row>
    <row r="193" spans="1:27" x14ac:dyDescent="0.25">
      <c r="A193">
        <v>124000</v>
      </c>
      <c r="B193">
        <v>1</v>
      </c>
      <c r="C193">
        <v>34</v>
      </c>
      <c r="D193">
        <v>0</v>
      </c>
      <c r="E193">
        <v>1329000</v>
      </c>
      <c r="F193">
        <v>3366</v>
      </c>
      <c r="G193">
        <v>0</v>
      </c>
      <c r="H193">
        <v>0</v>
      </c>
      <c r="I193">
        <v>0</v>
      </c>
      <c r="J193">
        <v>29</v>
      </c>
      <c r="K193">
        <v>1</v>
      </c>
      <c r="L193">
        <f>Résultats!G$32+Résultats!G$33*Données!C193+Résultats!G$34*Données!D193+Résultats!G$35*Données!E193+Résultats!G$36*Données!F193+Résultats!G$37*Données!G193+Résultats!G$38*Données!H193+Résultats!G$39*Données!I193</f>
        <v>662719.8852249342</v>
      </c>
      <c r="M193">
        <f t="shared" si="8"/>
        <v>-538719.8852249342</v>
      </c>
      <c r="Q193">
        <v>96000</v>
      </c>
      <c r="R193">
        <v>1</v>
      </c>
      <c r="S193">
        <v>34</v>
      </c>
      <c r="T193">
        <v>0</v>
      </c>
      <c r="U193">
        <f t="shared" si="9"/>
        <v>11.695247021764184</v>
      </c>
      <c r="V193">
        <f t="shared" si="10"/>
        <v>7.664815785285735</v>
      </c>
      <c r="W193">
        <v>1</v>
      </c>
      <c r="X193">
        <v>0</v>
      </c>
      <c r="Y193">
        <v>0</v>
      </c>
      <c r="Z193">
        <f>'Résultat (Ln)'!F$30+'Résultat (Ln)'!F$31*Données!S193+'Résultat (Ln)'!F$32*Données!T193+'Résultat (Ln)'!F$33*Données!U193+'Résultat (Ln)'!F$34*Données!V193+'Résultat (Ln)'!F$35*Données!W193+'Résultat (Ln)'!F$36*Données!X193+'Résultat (Ln)'!F$37*Données!Y193</f>
        <v>84877.862415609314</v>
      </c>
      <c r="AA193">
        <f t="shared" si="11"/>
        <v>11122.137584390686</v>
      </c>
    </row>
    <row r="194" spans="1:27" x14ac:dyDescent="0.25">
      <c r="A194">
        <v>135000</v>
      </c>
      <c r="B194">
        <v>1</v>
      </c>
      <c r="C194">
        <v>33.900001525878913</v>
      </c>
      <c r="D194">
        <v>0</v>
      </c>
      <c r="E194">
        <v>155000</v>
      </c>
      <c r="F194">
        <v>3366</v>
      </c>
      <c r="G194">
        <v>1</v>
      </c>
      <c r="H194">
        <v>0</v>
      </c>
      <c r="I194">
        <v>1</v>
      </c>
      <c r="J194">
        <v>21.180000305175781</v>
      </c>
      <c r="K194">
        <v>1</v>
      </c>
      <c r="L194">
        <f>Résultats!G$32+Résultats!G$33*Données!C194+Résultats!G$34*Données!D194+Résultats!G$35*Données!E194+Résultats!G$36*Données!F194+Résultats!G$37*Données!G194+Résultats!G$38*Données!H194+Résultats!G$39*Données!I194</f>
        <v>131343.95785611594</v>
      </c>
      <c r="M194">
        <f t="shared" si="8"/>
        <v>3656.0421438840567</v>
      </c>
      <c r="Q194">
        <v>124000</v>
      </c>
      <c r="R194">
        <v>1</v>
      </c>
      <c r="S194">
        <v>34</v>
      </c>
      <c r="T194">
        <v>0</v>
      </c>
      <c r="U194">
        <f t="shared" si="9"/>
        <v>14.099937337695382</v>
      </c>
      <c r="V194">
        <f t="shared" si="10"/>
        <v>8.1214803747507514</v>
      </c>
      <c r="W194">
        <v>0</v>
      </c>
      <c r="X194">
        <v>0</v>
      </c>
      <c r="Y194">
        <v>0</v>
      </c>
      <c r="Z194">
        <f>'Résultat (Ln)'!F$30+'Résultat (Ln)'!F$31*Données!S194+'Résultat (Ln)'!F$32*Données!T194+'Résultat (Ln)'!F$33*Données!U194+'Résultat (Ln)'!F$34*Données!V194+'Résultat (Ln)'!F$35*Données!W194+'Résultat (Ln)'!F$36*Données!X194+'Résultat (Ln)'!F$37*Données!Y194</f>
        <v>350943.49244978291</v>
      </c>
      <c r="AA194">
        <f t="shared" si="11"/>
        <v>-226943.49244978291</v>
      </c>
    </row>
    <row r="195" spans="1:27" x14ac:dyDescent="0.25">
      <c r="A195">
        <v>180000</v>
      </c>
      <c r="B195">
        <v>1</v>
      </c>
      <c r="C195">
        <v>26</v>
      </c>
      <c r="D195">
        <v>0</v>
      </c>
      <c r="E195">
        <v>225000</v>
      </c>
      <c r="F195">
        <v>8080</v>
      </c>
      <c r="G195">
        <v>1</v>
      </c>
      <c r="H195">
        <v>0</v>
      </c>
      <c r="I195">
        <v>1</v>
      </c>
      <c r="J195">
        <v>19</v>
      </c>
      <c r="K195">
        <v>1</v>
      </c>
      <c r="L195">
        <f>Résultats!G$32+Résultats!G$33*Données!C195+Résultats!G$34*Données!D195+Résultats!G$35*Données!E195+Résultats!G$36*Données!F195+Résultats!G$37*Données!G195+Résultats!G$38*Données!H195+Résultats!G$39*Données!I195</f>
        <v>164090.9185576103</v>
      </c>
      <c r="M195">
        <f t="shared" ref="M195:M258" si="12">A195-L195</f>
        <v>15909.081442389695</v>
      </c>
      <c r="Q195">
        <v>135000</v>
      </c>
      <c r="R195">
        <v>1</v>
      </c>
      <c r="S195">
        <v>33.900001525878913</v>
      </c>
      <c r="T195">
        <v>0</v>
      </c>
      <c r="U195">
        <f t="shared" si="9"/>
        <v>11.951180395901384</v>
      </c>
      <c r="V195">
        <f t="shared" si="10"/>
        <v>8.1214803747507514</v>
      </c>
      <c r="W195">
        <v>1</v>
      </c>
      <c r="X195">
        <v>0</v>
      </c>
      <c r="Y195">
        <v>1</v>
      </c>
      <c r="Z195">
        <f>'Résultat (Ln)'!F$30+'Résultat (Ln)'!F$31*Données!S195+'Résultat (Ln)'!F$32*Données!T195+'Résultat (Ln)'!F$33*Données!U195+'Résultat (Ln)'!F$34*Données!V195+'Résultat (Ln)'!F$35*Données!W195+'Résultat (Ln)'!F$36*Données!X195+'Résultat (Ln)'!F$37*Données!Y195</f>
        <v>139085.03459495527</v>
      </c>
      <c r="AA195">
        <f t="shared" si="11"/>
        <v>-4085.034594955272</v>
      </c>
    </row>
    <row r="196" spans="1:27" x14ac:dyDescent="0.25">
      <c r="A196">
        <v>144000</v>
      </c>
      <c r="B196">
        <v>1</v>
      </c>
      <c r="C196">
        <v>35</v>
      </c>
      <c r="D196">
        <v>0</v>
      </c>
      <c r="E196">
        <v>160000</v>
      </c>
      <c r="F196">
        <v>3357</v>
      </c>
      <c r="G196">
        <v>1</v>
      </c>
      <c r="H196">
        <v>0</v>
      </c>
      <c r="I196">
        <v>0</v>
      </c>
      <c r="J196">
        <v>22</v>
      </c>
      <c r="K196">
        <v>1</v>
      </c>
      <c r="L196">
        <f>Résultats!G$32+Résultats!G$33*Données!C196+Résultats!G$34*Données!D196+Résultats!G$35*Données!E196+Résultats!G$36*Données!F196+Résultats!G$37*Données!G196+Résultats!G$38*Données!H196+Résultats!G$39*Données!I196</f>
        <v>124999.36292051604</v>
      </c>
      <c r="M196">
        <f t="shared" si="12"/>
        <v>19000.63707948396</v>
      </c>
      <c r="Q196">
        <v>180000</v>
      </c>
      <c r="R196">
        <v>1</v>
      </c>
      <c r="S196">
        <v>26</v>
      </c>
      <c r="T196">
        <v>0</v>
      </c>
      <c r="U196">
        <f t="shared" ref="U196:U259" si="13">LN(E195)</f>
        <v>12.323855681186558</v>
      </c>
      <c r="V196">
        <f t="shared" ref="V196:V259" si="14">LN(F195)</f>
        <v>8.9971471515151418</v>
      </c>
      <c r="W196">
        <v>1</v>
      </c>
      <c r="X196">
        <v>0</v>
      </c>
      <c r="Y196">
        <v>1</v>
      </c>
      <c r="Z196">
        <f>'Résultat (Ln)'!F$30+'Résultat (Ln)'!F$31*Données!S196+'Résultat (Ln)'!F$32*Données!T196+'Résultat (Ln)'!F$33*Données!U196+'Résultat (Ln)'!F$34*Données!V196+'Résultat (Ln)'!F$35*Données!W196+'Résultat (Ln)'!F$36*Données!X196+'Résultat (Ln)'!F$37*Données!Y196</f>
        <v>193938.81641168619</v>
      </c>
      <c r="AA196">
        <f t="shared" ref="AA196:AA259" si="15">Q196-Z196</f>
        <v>-13938.816411686188</v>
      </c>
    </row>
    <row r="197" spans="1:27" x14ac:dyDescent="0.25">
      <c r="A197">
        <v>287000</v>
      </c>
      <c r="B197">
        <v>1</v>
      </c>
      <c r="C197">
        <v>34.099998474121087</v>
      </c>
      <c r="D197">
        <v>0</v>
      </c>
      <c r="E197">
        <v>325000</v>
      </c>
      <c r="F197">
        <v>9303</v>
      </c>
      <c r="G197">
        <v>1</v>
      </c>
      <c r="H197">
        <v>0</v>
      </c>
      <c r="I197">
        <v>0</v>
      </c>
      <c r="J197">
        <v>30.879999160766602</v>
      </c>
      <c r="K197">
        <v>1</v>
      </c>
      <c r="L197">
        <f>Résultats!G$32+Résultats!G$33*Données!C197+Résultats!G$34*Données!D197+Résultats!G$35*Données!E197+Résultats!G$36*Données!F197+Résultats!G$37*Données!G197+Résultats!G$38*Données!H197+Résultats!G$39*Données!I197</f>
        <v>212534.93083434459</v>
      </c>
      <c r="M197">
        <f t="shared" si="12"/>
        <v>74465.069165655412</v>
      </c>
      <c r="Q197">
        <v>144000</v>
      </c>
      <c r="R197">
        <v>1</v>
      </c>
      <c r="S197">
        <v>35</v>
      </c>
      <c r="T197">
        <v>0</v>
      </c>
      <c r="U197">
        <f t="shared" si="13"/>
        <v>11.982929094215963</v>
      </c>
      <c r="V197">
        <f t="shared" si="14"/>
        <v>8.118802996980035</v>
      </c>
      <c r="W197">
        <v>1</v>
      </c>
      <c r="X197">
        <v>0</v>
      </c>
      <c r="Y197">
        <v>0</v>
      </c>
      <c r="Z197">
        <f>'Résultat (Ln)'!F$30+'Résultat (Ln)'!F$31*Données!S197+'Résultat (Ln)'!F$32*Données!T197+'Résultat (Ln)'!F$33*Données!U197+'Résultat (Ln)'!F$34*Données!V197+'Résultat (Ln)'!F$35*Données!W197+'Résultat (Ln)'!F$36*Données!X197+'Résultat (Ln)'!F$37*Données!Y197</f>
        <v>129670.57739186524</v>
      </c>
      <c r="AA197">
        <f t="shared" si="15"/>
        <v>14329.422608134759</v>
      </c>
    </row>
    <row r="198" spans="1:27" x14ac:dyDescent="0.25">
      <c r="A198">
        <v>164000</v>
      </c>
      <c r="B198">
        <v>1</v>
      </c>
      <c r="C198">
        <v>38.400001525878913</v>
      </c>
      <c r="D198">
        <v>0</v>
      </c>
      <c r="E198">
        <v>204399.9938964844</v>
      </c>
      <c r="F198">
        <v>9167</v>
      </c>
      <c r="G198">
        <v>0</v>
      </c>
      <c r="H198">
        <v>1</v>
      </c>
      <c r="I198">
        <v>0</v>
      </c>
      <c r="J198">
        <v>20.909999847412109</v>
      </c>
      <c r="K198">
        <v>1</v>
      </c>
      <c r="L198">
        <f>Résultats!G$32+Résultats!G$33*Données!C198+Résultats!G$34*Données!D198+Résultats!G$35*Données!E198+Résultats!G$36*Données!F198+Résultats!G$37*Données!G198+Résultats!G$38*Données!H198+Résultats!G$39*Données!I198</f>
        <v>152254.21587607131</v>
      </c>
      <c r="M198">
        <f t="shared" si="12"/>
        <v>11745.784123928694</v>
      </c>
      <c r="Q198">
        <v>287000</v>
      </c>
      <c r="R198">
        <v>1</v>
      </c>
      <c r="S198">
        <v>34.099998474121087</v>
      </c>
      <c r="T198">
        <v>0</v>
      </c>
      <c r="U198">
        <f t="shared" si="13"/>
        <v>12.691580461311874</v>
      </c>
      <c r="V198">
        <f t="shared" si="14"/>
        <v>9.1380922077685582</v>
      </c>
      <c r="W198">
        <v>1</v>
      </c>
      <c r="X198">
        <v>0</v>
      </c>
      <c r="Y198">
        <v>0</v>
      </c>
      <c r="Z198">
        <f>'Résultat (Ln)'!F$30+'Résultat (Ln)'!F$31*Données!S198+'Résultat (Ln)'!F$32*Données!T198+'Résultat (Ln)'!F$33*Données!U198+'Résultat (Ln)'!F$34*Données!V198+'Résultat (Ln)'!F$35*Données!W198+'Résultat (Ln)'!F$36*Données!X198+'Résultat (Ln)'!F$37*Données!Y198</f>
        <v>233121.79741559608</v>
      </c>
      <c r="AA198">
        <f t="shared" si="15"/>
        <v>53878.202584403916</v>
      </c>
    </row>
    <row r="199" spans="1:27" x14ac:dyDescent="0.25">
      <c r="A199">
        <v>145000</v>
      </c>
      <c r="B199">
        <v>1</v>
      </c>
      <c r="C199">
        <v>30</v>
      </c>
      <c r="D199">
        <v>0</v>
      </c>
      <c r="E199">
        <v>185000</v>
      </c>
      <c r="F199">
        <v>3328</v>
      </c>
      <c r="G199">
        <v>1</v>
      </c>
      <c r="H199">
        <v>0</v>
      </c>
      <c r="I199">
        <v>1</v>
      </c>
      <c r="J199">
        <v>25</v>
      </c>
      <c r="K199">
        <v>1</v>
      </c>
      <c r="L199">
        <f>Résultats!G$32+Résultats!G$33*Données!C199+Résultats!G$34*Données!D199+Résultats!G$35*Données!E199+Résultats!G$36*Données!F199+Résultats!G$37*Données!G199+Résultats!G$38*Données!H199+Résultats!G$39*Données!I199</f>
        <v>140799.10376510478</v>
      </c>
      <c r="M199">
        <f t="shared" si="12"/>
        <v>4200.8962348952191</v>
      </c>
      <c r="Q199">
        <v>164000</v>
      </c>
      <c r="R199">
        <v>1</v>
      </c>
      <c r="S199">
        <v>38.400001525878913</v>
      </c>
      <c r="T199">
        <v>0</v>
      </c>
      <c r="U199">
        <f t="shared" si="13"/>
        <v>12.227834107451041</v>
      </c>
      <c r="V199">
        <f t="shared" si="14"/>
        <v>9.1233653579617755</v>
      </c>
      <c r="W199">
        <v>0</v>
      </c>
      <c r="X199">
        <v>1</v>
      </c>
      <c r="Y199">
        <v>0</v>
      </c>
      <c r="Z199">
        <f>'Résultat (Ln)'!F$30+'Résultat (Ln)'!F$31*Données!S199+'Résultat (Ln)'!F$32*Données!T199+'Résultat (Ln)'!F$33*Données!U199+'Résultat (Ln)'!F$34*Données!V199+'Résultat (Ln)'!F$35*Données!W199+'Résultat (Ln)'!F$36*Données!X199+'Résultat (Ln)'!F$37*Données!Y199</f>
        <v>183560.42813549013</v>
      </c>
      <c r="AA199">
        <f t="shared" si="15"/>
        <v>-19560.428135490132</v>
      </c>
    </row>
    <row r="200" spans="1:27" x14ac:dyDescent="0.25">
      <c r="A200">
        <v>176000</v>
      </c>
      <c r="B200">
        <v>1</v>
      </c>
      <c r="C200">
        <v>70</v>
      </c>
      <c r="D200">
        <v>0</v>
      </c>
      <c r="E200">
        <v>195000</v>
      </c>
      <c r="F200">
        <v>3150</v>
      </c>
      <c r="G200">
        <v>0</v>
      </c>
      <c r="H200">
        <v>0</v>
      </c>
      <c r="I200">
        <v>0</v>
      </c>
      <c r="J200">
        <v>61.900001525878913</v>
      </c>
      <c r="K200">
        <v>1</v>
      </c>
      <c r="L200">
        <f>Résultats!G$32+Résultats!G$33*Données!C200+Résultats!G$34*Données!D200+Résultats!G$35*Données!E200+Résultats!G$36*Données!F200+Résultats!G$37*Données!G200+Résultats!G$38*Données!H200+Résultats!G$39*Données!I200</f>
        <v>174128.45012741833</v>
      </c>
      <c r="M200">
        <f t="shared" si="12"/>
        <v>1871.5498725816724</v>
      </c>
      <c r="Q200">
        <v>145000</v>
      </c>
      <c r="R200">
        <v>1</v>
      </c>
      <c r="S200">
        <v>30</v>
      </c>
      <c r="T200">
        <v>0</v>
      </c>
      <c r="U200">
        <f t="shared" si="13"/>
        <v>12.128111104060462</v>
      </c>
      <c r="V200">
        <f t="shared" si="14"/>
        <v>8.1101268019410995</v>
      </c>
      <c r="W200">
        <v>1</v>
      </c>
      <c r="X200">
        <v>0</v>
      </c>
      <c r="Y200">
        <v>1</v>
      </c>
      <c r="Z200">
        <f>'Résultat (Ln)'!F$30+'Résultat (Ln)'!F$31*Données!S200+'Résultat (Ln)'!F$32*Données!T200+'Résultat (Ln)'!F$33*Données!U200+'Résultat (Ln)'!F$34*Données!V200+'Résultat (Ln)'!F$35*Données!W200+'Résultat (Ln)'!F$36*Données!X200+'Résultat (Ln)'!F$37*Données!Y200</f>
        <v>152966.84047036365</v>
      </c>
      <c r="AA200">
        <f t="shared" si="15"/>
        <v>-7966.8404703636479</v>
      </c>
    </row>
    <row r="201" spans="1:27" x14ac:dyDescent="0.25">
      <c r="A201">
        <v>450000</v>
      </c>
      <c r="B201">
        <v>1</v>
      </c>
      <c r="C201">
        <v>47</v>
      </c>
      <c r="D201">
        <v>0</v>
      </c>
      <c r="E201">
        <v>620000</v>
      </c>
      <c r="F201">
        <v>12918</v>
      </c>
      <c r="G201">
        <v>1</v>
      </c>
      <c r="H201">
        <v>0</v>
      </c>
      <c r="I201">
        <v>0</v>
      </c>
      <c r="J201">
        <v>36</v>
      </c>
      <c r="K201">
        <v>1</v>
      </c>
      <c r="L201">
        <f>Résultats!G$32+Résultats!G$33*Données!C201+Résultats!G$34*Données!D201+Résultats!G$35*Données!E201+Résultats!G$36*Données!F201+Résultats!G$37*Données!G201+Résultats!G$38*Données!H201+Résultats!G$39*Données!I201</f>
        <v>372109.09606332547</v>
      </c>
      <c r="M201">
        <f t="shared" si="12"/>
        <v>77890.903936674527</v>
      </c>
      <c r="Q201">
        <v>176000</v>
      </c>
      <c r="R201">
        <v>1</v>
      </c>
      <c r="S201">
        <v>70</v>
      </c>
      <c r="T201">
        <v>0</v>
      </c>
      <c r="U201">
        <f t="shared" si="13"/>
        <v>12.180754837545884</v>
      </c>
      <c r="V201">
        <f t="shared" si="14"/>
        <v>8.0551577318196781</v>
      </c>
      <c r="W201">
        <v>0</v>
      </c>
      <c r="X201">
        <v>0</v>
      </c>
      <c r="Y201">
        <v>0</v>
      </c>
      <c r="Z201">
        <f>'Résultat (Ln)'!F$30+'Résultat (Ln)'!F$31*Données!S201+'Résultat (Ln)'!F$32*Données!T201+'Résultat (Ln)'!F$33*Données!U201+'Résultat (Ln)'!F$34*Données!V201+'Résultat (Ln)'!F$35*Données!W201+'Résultat (Ln)'!F$36*Données!X201+'Résultat (Ln)'!F$37*Données!Y201</f>
        <v>187349.04113823478</v>
      </c>
      <c r="AA201">
        <f t="shared" si="15"/>
        <v>-11349.041138234781</v>
      </c>
    </row>
    <row r="202" spans="1:27" x14ac:dyDescent="0.25">
      <c r="A202">
        <v>120000</v>
      </c>
      <c r="B202">
        <v>1</v>
      </c>
      <c r="C202">
        <v>25</v>
      </c>
      <c r="D202">
        <v>0</v>
      </c>
      <c r="E202">
        <v>129000</v>
      </c>
      <c r="F202">
        <v>2500</v>
      </c>
      <c r="G202">
        <v>1</v>
      </c>
      <c r="H202">
        <v>0</v>
      </c>
      <c r="I202">
        <v>1</v>
      </c>
      <c r="J202">
        <v>20</v>
      </c>
      <c r="K202">
        <v>1</v>
      </c>
      <c r="L202">
        <f>Résultats!G$32+Résultats!G$33*Données!C202+Résultats!G$34*Données!D202+Résultats!G$35*Données!E202+Résultats!G$36*Données!F202+Résultats!G$37*Données!G202+Résultats!G$38*Données!H202+Résultats!G$39*Données!I202</f>
        <v>107301.88088500357</v>
      </c>
      <c r="M202">
        <f t="shared" si="12"/>
        <v>12698.119114996429</v>
      </c>
      <c r="Q202">
        <v>450000</v>
      </c>
      <c r="R202">
        <v>1</v>
      </c>
      <c r="S202">
        <v>47</v>
      </c>
      <c r="T202">
        <v>0</v>
      </c>
      <c r="U202">
        <f t="shared" si="13"/>
        <v>13.337474757021274</v>
      </c>
      <c r="V202">
        <f t="shared" si="14"/>
        <v>9.4663769665924189</v>
      </c>
      <c r="W202">
        <v>1</v>
      </c>
      <c r="X202">
        <v>0</v>
      </c>
      <c r="Y202">
        <v>0</v>
      </c>
      <c r="Z202">
        <f>'Résultat (Ln)'!F$30+'Résultat (Ln)'!F$31*Données!S202+'Résultat (Ln)'!F$32*Données!T202+'Résultat (Ln)'!F$33*Données!U202+'Résultat (Ln)'!F$34*Données!V202+'Résultat (Ln)'!F$35*Données!W202+'Résultat (Ln)'!F$36*Données!X202+'Résultat (Ln)'!F$37*Données!Y202</f>
        <v>327330.13899475359</v>
      </c>
      <c r="AA202">
        <f t="shared" si="15"/>
        <v>122669.86100524641</v>
      </c>
    </row>
    <row r="203" spans="1:27" x14ac:dyDescent="0.25">
      <c r="A203">
        <v>99000</v>
      </c>
      <c r="B203">
        <v>1</v>
      </c>
      <c r="C203">
        <v>32</v>
      </c>
      <c r="D203">
        <v>0</v>
      </c>
      <c r="E203">
        <v>110000</v>
      </c>
      <c r="F203">
        <v>3029</v>
      </c>
      <c r="G203">
        <v>1</v>
      </c>
      <c r="H203">
        <v>0</v>
      </c>
      <c r="I203">
        <v>1</v>
      </c>
      <c r="J203">
        <v>26</v>
      </c>
      <c r="K203">
        <v>1</v>
      </c>
      <c r="L203">
        <f>Résultats!G$32+Résultats!G$33*Données!C203+Résultats!G$34*Données!D203+Résultats!G$35*Données!E203+Résultats!G$36*Données!F203+Résultats!G$37*Données!G203+Résultats!G$38*Données!H203+Résultats!G$39*Données!I203</f>
        <v>107495.55095053275</v>
      </c>
      <c r="M203">
        <f t="shared" si="12"/>
        <v>-8495.55095053275</v>
      </c>
      <c r="Q203">
        <v>120000</v>
      </c>
      <c r="R203">
        <v>1</v>
      </c>
      <c r="S203">
        <v>25</v>
      </c>
      <c r="T203">
        <v>0</v>
      </c>
      <c r="U203">
        <f t="shared" si="13"/>
        <v>11.76756768334381</v>
      </c>
      <c r="V203">
        <f t="shared" si="14"/>
        <v>7.8240460108562919</v>
      </c>
      <c r="W203">
        <v>1</v>
      </c>
      <c r="X203">
        <v>0</v>
      </c>
      <c r="Y203">
        <v>1</v>
      </c>
      <c r="Z203">
        <f>'Résultat (Ln)'!F$30+'Résultat (Ln)'!F$31*Données!S203+'Résultat (Ln)'!F$32*Données!T203+'Résultat (Ln)'!F$33*Données!U203+'Résultat (Ln)'!F$34*Données!V203+'Résultat (Ln)'!F$35*Données!W203+'Résultat (Ln)'!F$36*Données!X203+'Résultat (Ln)'!F$37*Données!Y203</f>
        <v>100184.61681715028</v>
      </c>
      <c r="AA203">
        <f t="shared" si="15"/>
        <v>19815.38318284972</v>
      </c>
    </row>
    <row r="204" spans="1:27" x14ac:dyDescent="0.25">
      <c r="A204">
        <v>165000</v>
      </c>
      <c r="B204">
        <v>1</v>
      </c>
      <c r="C204">
        <v>37</v>
      </c>
      <c r="D204">
        <v>0</v>
      </c>
      <c r="E204">
        <v>190000</v>
      </c>
      <c r="F204">
        <v>2609</v>
      </c>
      <c r="G204">
        <v>1</v>
      </c>
      <c r="H204">
        <v>0</v>
      </c>
      <c r="I204">
        <v>0</v>
      </c>
      <c r="J204">
        <v>32</v>
      </c>
      <c r="K204">
        <v>1</v>
      </c>
      <c r="L204">
        <f>Résultats!G$32+Résultats!G$33*Données!C204+Résultats!G$34*Données!D204+Résultats!G$35*Données!E204+Résultats!G$36*Données!F204+Résultats!G$37*Données!G204+Résultats!G$38*Données!H204+Résultats!G$39*Données!I204</f>
        <v>139855.83678934476</v>
      </c>
      <c r="M204">
        <f t="shared" si="12"/>
        <v>25144.163210655242</v>
      </c>
      <c r="Q204">
        <v>99000</v>
      </c>
      <c r="R204">
        <v>1</v>
      </c>
      <c r="S204">
        <v>32</v>
      </c>
      <c r="T204">
        <v>0</v>
      </c>
      <c r="U204">
        <f t="shared" si="13"/>
        <v>11.608235644774552</v>
      </c>
      <c r="V204">
        <f t="shared" si="14"/>
        <v>8.0159878110272373</v>
      </c>
      <c r="W204">
        <v>1</v>
      </c>
      <c r="X204">
        <v>0</v>
      </c>
      <c r="Y204">
        <v>1</v>
      </c>
      <c r="Z204">
        <f>'Résultat (Ln)'!F$30+'Résultat (Ln)'!F$31*Données!S204+'Résultat (Ln)'!F$32*Données!T204+'Résultat (Ln)'!F$33*Données!U204+'Résultat (Ln)'!F$34*Données!V204+'Résultat (Ln)'!F$35*Données!W204+'Résultat (Ln)'!F$36*Données!X204+'Résultat (Ln)'!F$37*Données!Y204</f>
        <v>97042.375458446462</v>
      </c>
      <c r="AA204">
        <f t="shared" si="15"/>
        <v>1957.6245415535377</v>
      </c>
    </row>
    <row r="205" spans="1:27" x14ac:dyDescent="0.25">
      <c r="A205">
        <v>185000</v>
      </c>
      <c r="B205">
        <v>1</v>
      </c>
      <c r="C205">
        <v>24</v>
      </c>
      <c r="D205">
        <v>0</v>
      </c>
      <c r="E205">
        <v>264000</v>
      </c>
      <c r="F205">
        <v>7350</v>
      </c>
      <c r="G205">
        <v>1</v>
      </c>
      <c r="H205">
        <v>0</v>
      </c>
      <c r="I205">
        <v>0</v>
      </c>
      <c r="J205">
        <v>16</v>
      </c>
      <c r="K205">
        <v>1</v>
      </c>
      <c r="L205">
        <f>Résultats!G$32+Résultats!G$33*Données!C205+Résultats!G$34*Données!D205+Résultats!G$35*Données!E205+Résultats!G$36*Données!F205+Résultats!G$37*Données!G205+Résultats!G$38*Données!H205+Résultats!G$39*Données!I205</f>
        <v>168664.71364363647</v>
      </c>
      <c r="M205">
        <f t="shared" si="12"/>
        <v>16335.286356363533</v>
      </c>
      <c r="Q205">
        <v>165000</v>
      </c>
      <c r="R205">
        <v>1</v>
      </c>
      <c r="S205">
        <v>37</v>
      </c>
      <c r="T205">
        <v>0</v>
      </c>
      <c r="U205">
        <f t="shared" si="13"/>
        <v>12.154779351142624</v>
      </c>
      <c r="V205">
        <f t="shared" si="14"/>
        <v>7.8667222851367287</v>
      </c>
      <c r="W205">
        <v>1</v>
      </c>
      <c r="X205">
        <v>0</v>
      </c>
      <c r="Y205">
        <v>0</v>
      </c>
      <c r="Z205">
        <f>'Résultat (Ln)'!F$30+'Résultat (Ln)'!F$31*Données!S205+'Résultat (Ln)'!F$32*Données!T205+'Résultat (Ln)'!F$33*Données!U205+'Résultat (Ln)'!F$34*Données!V205+'Résultat (Ln)'!F$35*Données!W205+'Résultat (Ln)'!F$36*Données!X205+'Résultat (Ln)'!F$37*Données!Y205</f>
        <v>143466.44152202384</v>
      </c>
      <c r="AA205">
        <f t="shared" si="15"/>
        <v>21533.558477976156</v>
      </c>
    </row>
    <row r="206" spans="1:27" x14ac:dyDescent="0.25">
      <c r="A206">
        <v>130000</v>
      </c>
      <c r="B206">
        <v>1</v>
      </c>
      <c r="C206">
        <v>33.299999237060547</v>
      </c>
      <c r="D206">
        <v>0</v>
      </c>
      <c r="E206">
        <v>280000</v>
      </c>
      <c r="F206">
        <v>4225</v>
      </c>
      <c r="G206">
        <v>1</v>
      </c>
      <c r="H206">
        <v>0</v>
      </c>
      <c r="I206">
        <v>0</v>
      </c>
      <c r="J206">
        <v>33</v>
      </c>
      <c r="K206">
        <v>1</v>
      </c>
      <c r="L206">
        <f>Résultats!G$32+Résultats!G$33*Données!C206+Résultats!G$34*Données!D206+Résultats!G$35*Données!E206+Résultats!G$36*Données!F206+Résultats!G$37*Données!G206+Résultats!G$38*Données!H206+Résultats!G$39*Données!I206</f>
        <v>180763.0140738404</v>
      </c>
      <c r="M206">
        <f t="shared" si="12"/>
        <v>-50763.014073840401</v>
      </c>
      <c r="Q206">
        <v>185000</v>
      </c>
      <c r="R206">
        <v>1</v>
      </c>
      <c r="S206">
        <v>24</v>
      </c>
      <c r="T206">
        <v>0</v>
      </c>
      <c r="U206">
        <f t="shared" si="13"/>
        <v>12.483704382128453</v>
      </c>
      <c r="V206">
        <f t="shared" si="14"/>
        <v>8.9024555922068824</v>
      </c>
      <c r="W206">
        <v>1</v>
      </c>
      <c r="X206">
        <v>0</v>
      </c>
      <c r="Y206">
        <v>0</v>
      </c>
      <c r="Z206">
        <f>'Résultat (Ln)'!F$30+'Résultat (Ln)'!F$31*Données!S206+'Résultat (Ln)'!F$32*Données!T206+'Résultat (Ln)'!F$33*Données!U206+'Résultat (Ln)'!F$34*Données!V206+'Résultat (Ln)'!F$35*Données!W206+'Résultat (Ln)'!F$36*Données!X206+'Résultat (Ln)'!F$37*Données!Y206</f>
        <v>191887.17572618302</v>
      </c>
      <c r="AA206">
        <f t="shared" si="15"/>
        <v>-6887.1757261830207</v>
      </c>
    </row>
    <row r="207" spans="1:27" x14ac:dyDescent="0.25">
      <c r="A207">
        <v>90000</v>
      </c>
      <c r="B207">
        <v>1</v>
      </c>
      <c r="C207">
        <v>35</v>
      </c>
      <c r="D207">
        <v>0</v>
      </c>
      <c r="E207">
        <v>145000</v>
      </c>
      <c r="F207">
        <v>2267</v>
      </c>
      <c r="G207">
        <v>1</v>
      </c>
      <c r="H207">
        <v>0</v>
      </c>
      <c r="I207">
        <v>0</v>
      </c>
      <c r="J207">
        <v>20</v>
      </c>
      <c r="K207">
        <v>1</v>
      </c>
      <c r="L207">
        <f>Résultats!G$32+Résultats!G$33*Données!C207+Résultats!G$34*Données!D207+Résultats!G$35*Données!E207+Résultats!G$36*Données!F207+Résultats!G$37*Données!G207+Résultats!G$38*Données!H207+Résultats!G$39*Données!I207</f>
        <v>115882.8756617529</v>
      </c>
      <c r="M207">
        <f t="shared" si="12"/>
        <v>-25882.8756617529</v>
      </c>
      <c r="Q207">
        <v>130000</v>
      </c>
      <c r="R207">
        <v>1</v>
      </c>
      <c r="S207">
        <v>33.299999237060547</v>
      </c>
      <c r="T207">
        <v>0</v>
      </c>
      <c r="U207">
        <f t="shared" si="13"/>
        <v>12.542544882151386</v>
      </c>
      <c r="V207">
        <f t="shared" si="14"/>
        <v>8.3487745397912736</v>
      </c>
      <c r="W207">
        <v>1</v>
      </c>
      <c r="X207">
        <v>0</v>
      </c>
      <c r="Y207">
        <v>0</v>
      </c>
      <c r="Z207">
        <f>'Résultat (Ln)'!F$30+'Résultat (Ln)'!F$31*Données!S207+'Résultat (Ln)'!F$32*Données!T207+'Résultat (Ln)'!F$33*Données!U207+'Résultat (Ln)'!F$34*Données!V207+'Résultat (Ln)'!F$35*Données!W207+'Résultat (Ln)'!F$36*Données!X207+'Résultat (Ln)'!F$37*Données!Y207</f>
        <v>194031.17241755809</v>
      </c>
      <c r="AA207">
        <f t="shared" si="15"/>
        <v>-64031.172417558089</v>
      </c>
    </row>
    <row r="208" spans="1:27" x14ac:dyDescent="0.25">
      <c r="A208">
        <v>116000</v>
      </c>
      <c r="B208">
        <v>1</v>
      </c>
      <c r="C208">
        <v>33.700000762939453</v>
      </c>
      <c r="D208">
        <v>0</v>
      </c>
      <c r="E208">
        <v>145000</v>
      </c>
      <c r="F208">
        <v>5833</v>
      </c>
      <c r="G208">
        <v>0</v>
      </c>
      <c r="H208">
        <v>0</v>
      </c>
      <c r="I208">
        <v>1</v>
      </c>
      <c r="J208">
        <v>18.809999465942379</v>
      </c>
      <c r="K208">
        <v>1</v>
      </c>
      <c r="L208">
        <f>Résultats!G$32+Résultats!G$33*Données!C208+Résultats!G$34*Données!D208+Résultats!G$35*Données!E208+Résultats!G$36*Données!F208+Résultats!G$37*Données!G208+Résultats!G$38*Données!H208+Résultats!G$39*Données!I208</f>
        <v>124208.59316747122</v>
      </c>
      <c r="M208">
        <f t="shared" si="12"/>
        <v>-8208.5931674712192</v>
      </c>
      <c r="Q208">
        <v>90000</v>
      </c>
      <c r="R208">
        <v>1</v>
      </c>
      <c r="S208">
        <v>35</v>
      </c>
      <c r="T208">
        <v>0</v>
      </c>
      <c r="U208">
        <f t="shared" si="13"/>
        <v>11.884489021402711</v>
      </c>
      <c r="V208">
        <f t="shared" si="14"/>
        <v>7.726212650507529</v>
      </c>
      <c r="W208">
        <v>1</v>
      </c>
      <c r="X208">
        <v>0</v>
      </c>
      <c r="Y208">
        <v>0</v>
      </c>
      <c r="Z208">
        <f>'Résultat (Ln)'!F$30+'Résultat (Ln)'!F$31*Données!S208+'Résultat (Ln)'!F$32*Données!T208+'Résultat (Ln)'!F$33*Données!U208+'Résultat (Ln)'!F$34*Données!V208+'Résultat (Ln)'!F$35*Données!W208+'Résultat (Ln)'!F$36*Données!X208+'Résultat (Ln)'!F$37*Données!Y208</f>
        <v>108107.7304864638</v>
      </c>
      <c r="AA208">
        <f t="shared" si="15"/>
        <v>-18107.730486463799</v>
      </c>
    </row>
    <row r="209" spans="1:27" x14ac:dyDescent="0.25">
      <c r="A209">
        <v>105000</v>
      </c>
      <c r="B209">
        <v>1</v>
      </c>
      <c r="C209">
        <v>42</v>
      </c>
      <c r="D209">
        <v>0</v>
      </c>
      <c r="E209">
        <v>110000</v>
      </c>
      <c r="F209">
        <v>3000</v>
      </c>
      <c r="G209">
        <v>0</v>
      </c>
      <c r="H209">
        <v>0</v>
      </c>
      <c r="I209">
        <v>0</v>
      </c>
      <c r="J209">
        <v>36</v>
      </c>
      <c r="K209">
        <v>0</v>
      </c>
      <c r="L209">
        <f>Résultats!G$32+Résultats!G$33*Données!C209+Résultats!G$34*Données!D209+Résultats!G$35*Données!E209+Résultats!G$36*Données!F209+Résultats!G$37*Données!G209+Résultats!G$38*Données!H209+Résultats!G$39*Données!I209</f>
        <v>101983.98357008571</v>
      </c>
      <c r="M209">
        <f t="shared" si="12"/>
        <v>3016.0164299142925</v>
      </c>
      <c r="Q209">
        <v>116000</v>
      </c>
      <c r="R209">
        <v>1</v>
      </c>
      <c r="S209">
        <v>33.700000762939453</v>
      </c>
      <c r="T209">
        <v>0</v>
      </c>
      <c r="U209">
        <f t="shared" si="13"/>
        <v>11.884489021402711</v>
      </c>
      <c r="V209">
        <f t="shared" si="14"/>
        <v>8.6712867267536371</v>
      </c>
      <c r="W209">
        <v>0</v>
      </c>
      <c r="X209">
        <v>0</v>
      </c>
      <c r="Y209">
        <v>1</v>
      </c>
      <c r="Z209">
        <f>'Résultat (Ln)'!F$30+'Résultat (Ln)'!F$31*Données!S209+'Résultat (Ln)'!F$32*Données!T209+'Résultat (Ln)'!F$33*Données!U209+'Résultat (Ln)'!F$34*Données!V209+'Résultat (Ln)'!F$35*Données!W209+'Résultat (Ln)'!F$36*Données!X209+'Résultat (Ln)'!F$37*Données!Y209</f>
        <v>142597.3300163511</v>
      </c>
      <c r="AA209">
        <f t="shared" si="15"/>
        <v>-26597.330016351101</v>
      </c>
    </row>
    <row r="210" spans="1:27" x14ac:dyDescent="0.25">
      <c r="A210">
        <v>147000</v>
      </c>
      <c r="B210">
        <v>1</v>
      </c>
      <c r="C210">
        <v>37</v>
      </c>
      <c r="D210">
        <v>1</v>
      </c>
      <c r="E210">
        <v>164000</v>
      </c>
      <c r="F210">
        <v>4945</v>
      </c>
      <c r="G210">
        <v>1</v>
      </c>
      <c r="H210">
        <v>0</v>
      </c>
      <c r="I210">
        <v>1</v>
      </c>
      <c r="J210">
        <v>22</v>
      </c>
      <c r="K210">
        <v>1</v>
      </c>
      <c r="L210">
        <f>Résultats!G$32+Résultats!G$33*Données!C210+Résultats!G$34*Données!D210+Résultats!G$35*Données!E210+Résultats!G$36*Données!F210+Résultats!G$37*Données!G210+Résultats!G$38*Données!H210+Résultats!G$39*Données!I210</f>
        <v>147015.42866252159</v>
      </c>
      <c r="M210">
        <f t="shared" si="12"/>
        <v>-15.428662521590013</v>
      </c>
      <c r="Q210">
        <v>105000</v>
      </c>
      <c r="R210">
        <v>1</v>
      </c>
      <c r="S210">
        <v>42</v>
      </c>
      <c r="T210">
        <v>0</v>
      </c>
      <c r="U210">
        <f t="shared" si="13"/>
        <v>11.608235644774552</v>
      </c>
      <c r="V210">
        <f t="shared" si="14"/>
        <v>8.0063675676502459</v>
      </c>
      <c r="W210">
        <v>0</v>
      </c>
      <c r="X210">
        <v>0</v>
      </c>
      <c r="Y210">
        <v>0</v>
      </c>
      <c r="Z210">
        <f>'Résultat (Ln)'!F$30+'Résultat (Ln)'!F$31*Données!S210+'Résultat (Ln)'!F$32*Données!T210+'Résultat (Ln)'!F$33*Données!U210+'Résultat (Ln)'!F$34*Données!V210+'Résultat (Ln)'!F$35*Données!W210+'Résultat (Ln)'!F$36*Données!X210+'Résultat (Ln)'!F$37*Données!Y210</f>
        <v>90392.016016201291</v>
      </c>
      <c r="AA210">
        <f t="shared" si="15"/>
        <v>14607.983983798709</v>
      </c>
    </row>
    <row r="211" spans="1:27" x14ac:dyDescent="0.25">
      <c r="A211">
        <v>95000</v>
      </c>
      <c r="B211">
        <v>1</v>
      </c>
      <c r="C211">
        <v>39</v>
      </c>
      <c r="D211">
        <v>0</v>
      </c>
      <c r="E211">
        <v>147000</v>
      </c>
      <c r="F211">
        <v>3072</v>
      </c>
      <c r="G211">
        <v>1</v>
      </c>
      <c r="H211">
        <v>0</v>
      </c>
      <c r="I211">
        <v>0</v>
      </c>
      <c r="J211">
        <v>36</v>
      </c>
      <c r="K211">
        <v>1</v>
      </c>
      <c r="L211">
        <f>Résultats!G$32+Résultats!G$33*Données!C211+Résultats!G$34*Données!D211+Résultats!G$35*Données!E211+Résultats!G$36*Données!F211+Résultats!G$37*Données!G211+Résultats!G$38*Données!H211+Résultats!G$39*Données!I211</f>
        <v>122971.3825450025</v>
      </c>
      <c r="M211">
        <f t="shared" si="12"/>
        <v>-27971.382545002503</v>
      </c>
      <c r="Q211">
        <v>147000</v>
      </c>
      <c r="R211">
        <v>1</v>
      </c>
      <c r="S211">
        <v>37</v>
      </c>
      <c r="T211">
        <v>1</v>
      </c>
      <c r="U211">
        <f t="shared" si="13"/>
        <v>12.007621706806335</v>
      </c>
      <c r="V211">
        <f t="shared" si="14"/>
        <v>8.506132244056813</v>
      </c>
      <c r="W211">
        <v>1</v>
      </c>
      <c r="X211">
        <v>0</v>
      </c>
      <c r="Y211">
        <v>1</v>
      </c>
      <c r="Z211">
        <f>'Résultat (Ln)'!F$30+'Résultat (Ln)'!F$31*Données!S211+'Résultat (Ln)'!F$32*Données!T211+'Résultat (Ln)'!F$33*Données!U211+'Résultat (Ln)'!F$34*Données!V211+'Résultat (Ln)'!F$35*Données!W211+'Résultat (Ln)'!F$36*Données!X211+'Résultat (Ln)'!F$37*Données!Y211</f>
        <v>164060.2966810588</v>
      </c>
      <c r="AA211">
        <f t="shared" si="15"/>
        <v>-17060.296681058797</v>
      </c>
    </row>
    <row r="212" spans="1:27" x14ac:dyDescent="0.25">
      <c r="A212">
        <v>116000</v>
      </c>
      <c r="B212">
        <v>1</v>
      </c>
      <c r="C212">
        <v>32</v>
      </c>
      <c r="D212">
        <v>0</v>
      </c>
      <c r="E212">
        <v>129000</v>
      </c>
      <c r="F212">
        <v>3640</v>
      </c>
      <c r="G212">
        <v>1</v>
      </c>
      <c r="H212">
        <v>0</v>
      </c>
      <c r="I212">
        <v>1</v>
      </c>
      <c r="J212">
        <v>31</v>
      </c>
      <c r="K212">
        <v>1</v>
      </c>
      <c r="L212">
        <f>Résultats!G$32+Résultats!G$33*Données!C212+Résultats!G$34*Données!D212+Résultats!G$35*Données!E212+Résultats!G$36*Données!F212+Résultats!G$37*Données!G212+Résultats!G$38*Données!H212+Résultats!G$39*Données!I212</f>
        <v>117551.65113578933</v>
      </c>
      <c r="M212">
        <f t="shared" si="12"/>
        <v>-1551.6511357893323</v>
      </c>
      <c r="Q212">
        <v>95000</v>
      </c>
      <c r="R212">
        <v>1</v>
      </c>
      <c r="S212">
        <v>39</v>
      </c>
      <c r="T212">
        <v>0</v>
      </c>
      <c r="U212">
        <f t="shared" si="13"/>
        <v>11.898187865760873</v>
      </c>
      <c r="V212">
        <f t="shared" si="14"/>
        <v>8.0300840942675631</v>
      </c>
      <c r="W212">
        <v>1</v>
      </c>
      <c r="X212">
        <v>0</v>
      </c>
      <c r="Y212">
        <v>0</v>
      </c>
      <c r="Z212">
        <f>'Résultat (Ln)'!F$30+'Résultat (Ln)'!F$31*Données!S212+'Résultat (Ln)'!F$32*Données!T212+'Résultat (Ln)'!F$33*Données!U212+'Résultat (Ln)'!F$34*Données!V212+'Résultat (Ln)'!F$35*Données!W212+'Résultat (Ln)'!F$36*Données!X212+'Résultat (Ln)'!F$37*Données!Y212</f>
        <v>122986.66531889212</v>
      </c>
      <c r="AA212">
        <f t="shared" si="15"/>
        <v>-27986.665318892119</v>
      </c>
    </row>
    <row r="213" spans="1:27" x14ac:dyDescent="0.25">
      <c r="A213">
        <v>152000</v>
      </c>
      <c r="B213">
        <v>1</v>
      </c>
      <c r="C213">
        <v>37</v>
      </c>
      <c r="D213">
        <v>0</v>
      </c>
      <c r="E213">
        <v>169000</v>
      </c>
      <c r="F213">
        <v>5250</v>
      </c>
      <c r="G213">
        <v>1</v>
      </c>
      <c r="H213">
        <v>0</v>
      </c>
      <c r="I213">
        <v>0</v>
      </c>
      <c r="J213">
        <v>26</v>
      </c>
      <c r="K213">
        <v>1</v>
      </c>
      <c r="L213">
        <f>Résultats!G$32+Résultats!G$33*Données!C213+Résultats!G$34*Données!D213+Résultats!G$35*Données!E213+Résultats!G$36*Données!F213+Résultats!G$37*Données!G213+Résultats!G$38*Données!H213+Résultats!G$39*Données!I213</f>
        <v>135167.51458018087</v>
      </c>
      <c r="M213">
        <f t="shared" si="12"/>
        <v>16832.485419819131</v>
      </c>
      <c r="Q213">
        <v>116000</v>
      </c>
      <c r="R213">
        <v>1</v>
      </c>
      <c r="S213">
        <v>32</v>
      </c>
      <c r="T213">
        <v>0</v>
      </c>
      <c r="U213">
        <f t="shared" si="13"/>
        <v>11.76756768334381</v>
      </c>
      <c r="V213">
        <f t="shared" si="14"/>
        <v>8.1997389606307856</v>
      </c>
      <c r="W213">
        <v>1</v>
      </c>
      <c r="X213">
        <v>0</v>
      </c>
      <c r="Y213">
        <v>1</v>
      </c>
      <c r="Z213">
        <f>'Résultat (Ln)'!F$30+'Résultat (Ln)'!F$31*Données!S213+'Résultat (Ln)'!F$32*Données!T213+'Résultat (Ln)'!F$33*Données!U213+'Résultat (Ln)'!F$34*Données!V213+'Résultat (Ln)'!F$35*Données!W213+'Résultat (Ln)'!F$36*Données!X213+'Résultat (Ln)'!F$37*Données!Y213</f>
        <v>119275.51026040695</v>
      </c>
      <c r="AA213">
        <f t="shared" si="15"/>
        <v>-3275.5102604069543</v>
      </c>
    </row>
    <row r="214" spans="1:27" x14ac:dyDescent="0.25">
      <c r="A214">
        <v>135000</v>
      </c>
      <c r="B214">
        <v>1</v>
      </c>
      <c r="C214">
        <v>29.60000038146973</v>
      </c>
      <c r="D214">
        <v>0</v>
      </c>
      <c r="E214">
        <v>192000</v>
      </c>
      <c r="F214">
        <v>3485</v>
      </c>
      <c r="G214">
        <v>0</v>
      </c>
      <c r="H214">
        <v>0</v>
      </c>
      <c r="I214">
        <v>0</v>
      </c>
      <c r="J214">
        <v>27</v>
      </c>
      <c r="K214">
        <v>0</v>
      </c>
      <c r="L214">
        <f>Résultats!G$32+Résultats!G$33*Données!C214+Résultats!G$34*Données!D214+Résultats!G$35*Données!E214+Résultats!G$36*Données!F214+Résultats!G$37*Données!G214+Résultats!G$38*Données!H214+Résultats!G$39*Données!I214</f>
        <v>126970.46621075521</v>
      </c>
      <c r="M214">
        <f t="shared" si="12"/>
        <v>8029.533789244786</v>
      </c>
      <c r="Q214">
        <v>152000</v>
      </c>
      <c r="R214">
        <v>1</v>
      </c>
      <c r="S214">
        <v>37</v>
      </c>
      <c r="T214">
        <v>0</v>
      </c>
      <c r="U214">
        <f t="shared" si="13"/>
        <v>12.037653993905211</v>
      </c>
      <c r="V214">
        <f t="shared" si="14"/>
        <v>8.5659833555856686</v>
      </c>
      <c r="W214">
        <v>1</v>
      </c>
      <c r="X214">
        <v>0</v>
      </c>
      <c r="Y214">
        <v>0</v>
      </c>
      <c r="Z214">
        <f>'Résultat (Ln)'!F$30+'Résultat (Ln)'!F$31*Données!S214+'Résultat (Ln)'!F$32*Données!T214+'Résultat (Ln)'!F$33*Données!U214+'Résultat (Ln)'!F$34*Données!V214+'Résultat (Ln)'!F$35*Données!W214+'Résultat (Ln)'!F$36*Données!X214+'Résultat (Ln)'!F$37*Données!Y214</f>
        <v>150522.45366719904</v>
      </c>
      <c r="AA214">
        <f t="shared" si="15"/>
        <v>1477.5463328009646</v>
      </c>
    </row>
    <row r="215" spans="1:27" x14ac:dyDescent="0.25">
      <c r="A215">
        <v>304000</v>
      </c>
      <c r="B215">
        <v>1</v>
      </c>
      <c r="C215">
        <v>37.299999237060547</v>
      </c>
      <c r="D215">
        <v>0</v>
      </c>
      <c r="E215">
        <v>380000</v>
      </c>
      <c r="F215">
        <v>7700</v>
      </c>
      <c r="G215">
        <v>1</v>
      </c>
      <c r="H215">
        <v>0</v>
      </c>
      <c r="I215">
        <v>1</v>
      </c>
      <c r="J215">
        <v>26.780000686645511</v>
      </c>
      <c r="K215">
        <v>1</v>
      </c>
      <c r="L215">
        <f>Résultats!G$32+Résultats!G$33*Données!C215+Résultats!G$34*Données!D215+Résultats!G$35*Données!E215+Résultats!G$36*Données!F215+Résultats!G$37*Données!G215+Résultats!G$38*Données!H215+Résultats!G$39*Données!I215</f>
        <v>248712.29041054362</v>
      </c>
      <c r="M215">
        <f t="shared" si="12"/>
        <v>55287.709589456383</v>
      </c>
      <c r="Q215">
        <v>135000</v>
      </c>
      <c r="R215">
        <v>1</v>
      </c>
      <c r="S215">
        <v>29.60000038146973</v>
      </c>
      <c r="T215">
        <v>0</v>
      </c>
      <c r="U215">
        <f t="shared" si="13"/>
        <v>12.165250651009918</v>
      </c>
      <c r="V215">
        <f t="shared" si="14"/>
        <v>8.1562233231946237</v>
      </c>
      <c r="W215">
        <v>0</v>
      </c>
      <c r="X215">
        <v>0</v>
      </c>
      <c r="Y215">
        <v>0</v>
      </c>
      <c r="Z215">
        <f>'Résultat (Ln)'!F$30+'Résultat (Ln)'!F$31*Données!S215+'Résultat (Ln)'!F$32*Données!T215+'Résultat (Ln)'!F$33*Données!U215+'Résultat (Ln)'!F$34*Données!V215+'Résultat (Ln)'!F$35*Données!W215+'Résultat (Ln)'!F$36*Données!X215+'Résultat (Ln)'!F$37*Données!Y215</f>
        <v>139151.07102316557</v>
      </c>
      <c r="AA215">
        <f t="shared" si="15"/>
        <v>-4151.0710231655685</v>
      </c>
    </row>
    <row r="216" spans="1:27" x14ac:dyDescent="0.25">
      <c r="A216">
        <v>138000</v>
      </c>
      <c r="B216">
        <v>1</v>
      </c>
      <c r="C216">
        <v>34</v>
      </c>
      <c r="D216">
        <v>0</v>
      </c>
      <c r="E216">
        <v>154000</v>
      </c>
      <c r="F216">
        <v>3643</v>
      </c>
      <c r="G216">
        <v>0</v>
      </c>
      <c r="H216">
        <v>0</v>
      </c>
      <c r="I216">
        <v>0</v>
      </c>
      <c r="J216">
        <v>25</v>
      </c>
      <c r="K216">
        <v>1</v>
      </c>
      <c r="L216">
        <f>Résultats!G$32+Résultats!G$33*Données!C216+Résultats!G$34*Données!D216+Résultats!G$35*Données!E216+Résultats!G$36*Données!F216+Résultats!G$37*Données!G216+Résultats!G$38*Données!H216+Résultats!G$39*Données!I216</f>
        <v>114586.5616349201</v>
      </c>
      <c r="M216">
        <f t="shared" si="12"/>
        <v>23413.438365079899</v>
      </c>
      <c r="Q216">
        <v>304000</v>
      </c>
      <c r="R216">
        <v>1</v>
      </c>
      <c r="S216">
        <v>37.299999237060547</v>
      </c>
      <c r="T216">
        <v>0</v>
      </c>
      <c r="U216">
        <f t="shared" si="13"/>
        <v>12.847926531702569</v>
      </c>
      <c r="V216">
        <f t="shared" si="14"/>
        <v>8.9489756078417759</v>
      </c>
      <c r="W216">
        <v>1</v>
      </c>
      <c r="X216">
        <v>0</v>
      </c>
      <c r="Y216">
        <v>1</v>
      </c>
      <c r="Z216">
        <f>'Résultat (Ln)'!F$30+'Résultat (Ln)'!F$31*Données!S216+'Résultat (Ln)'!F$32*Données!T216+'Résultat (Ln)'!F$33*Données!U216+'Résultat (Ln)'!F$34*Données!V216+'Résultat (Ln)'!F$35*Données!W216+'Résultat (Ln)'!F$36*Données!X216+'Résultat (Ln)'!F$37*Données!Y216</f>
        <v>262574.94094656006</v>
      </c>
      <c r="AA216">
        <f t="shared" si="15"/>
        <v>41425.059053439938</v>
      </c>
    </row>
    <row r="217" spans="1:27" x14ac:dyDescent="0.25">
      <c r="A217">
        <v>100000</v>
      </c>
      <c r="B217">
        <v>1</v>
      </c>
      <c r="C217">
        <v>23</v>
      </c>
      <c r="D217">
        <v>0</v>
      </c>
      <c r="E217">
        <v>184000</v>
      </c>
      <c r="F217">
        <v>5629</v>
      </c>
      <c r="G217">
        <v>1</v>
      </c>
      <c r="H217">
        <v>6</v>
      </c>
      <c r="I217">
        <v>0</v>
      </c>
      <c r="J217">
        <v>23</v>
      </c>
      <c r="K217">
        <v>1</v>
      </c>
      <c r="L217">
        <f>Résultats!G$32+Résultats!G$33*Données!C217+Résultats!G$34*Données!D217+Résultats!G$35*Données!E217+Résultats!G$36*Données!F217+Résultats!G$37*Données!G217+Résultats!G$38*Données!H217+Résultats!G$39*Données!I217</f>
        <v>117073.19083917915</v>
      </c>
      <c r="M217">
        <f t="shared" si="12"/>
        <v>-17073.190839179151</v>
      </c>
      <c r="Q217">
        <v>138000</v>
      </c>
      <c r="R217">
        <v>1</v>
      </c>
      <c r="S217">
        <v>34</v>
      </c>
      <c r="T217">
        <v>0</v>
      </c>
      <c r="U217">
        <f t="shared" si="13"/>
        <v>11.944707881395766</v>
      </c>
      <c r="V217">
        <f t="shared" si="14"/>
        <v>8.2005627970085637</v>
      </c>
      <c r="W217">
        <v>0</v>
      </c>
      <c r="X217">
        <v>0</v>
      </c>
      <c r="Y217">
        <v>0</v>
      </c>
      <c r="Z217">
        <f>'Résultat (Ln)'!F$30+'Résultat (Ln)'!F$31*Données!S217+'Résultat (Ln)'!F$32*Données!T217+'Résultat (Ln)'!F$33*Données!U217+'Résultat (Ln)'!F$34*Données!V217+'Résultat (Ln)'!F$35*Données!W217+'Résultat (Ln)'!F$36*Données!X217+'Résultat (Ln)'!F$37*Données!Y217</f>
        <v>122130.37942021663</v>
      </c>
      <c r="AA217">
        <f t="shared" si="15"/>
        <v>15869.620579783368</v>
      </c>
    </row>
    <row r="218" spans="1:27" x14ac:dyDescent="0.25">
      <c r="A218">
        <v>110000</v>
      </c>
      <c r="B218">
        <v>1</v>
      </c>
      <c r="C218">
        <v>34</v>
      </c>
      <c r="D218">
        <v>0</v>
      </c>
      <c r="E218">
        <v>140000</v>
      </c>
      <c r="F218">
        <v>3644</v>
      </c>
      <c r="G218">
        <v>0</v>
      </c>
      <c r="H218">
        <v>0</v>
      </c>
      <c r="I218">
        <v>0</v>
      </c>
      <c r="J218">
        <v>31</v>
      </c>
      <c r="K218">
        <v>0</v>
      </c>
      <c r="L218">
        <f>Résultats!G$32+Résultats!G$33*Données!C218+Résultats!G$34*Données!D218+Résultats!G$35*Données!E218+Résultats!G$36*Données!F218+Résultats!G$37*Données!G218+Résultats!G$38*Données!H218+Résultats!G$39*Données!I218</f>
        <v>108051.15366086918</v>
      </c>
      <c r="M218">
        <f t="shared" si="12"/>
        <v>1948.8463391308178</v>
      </c>
      <c r="Q218">
        <v>100000</v>
      </c>
      <c r="R218">
        <v>1</v>
      </c>
      <c r="S218">
        <v>23</v>
      </c>
      <c r="T218">
        <v>0</v>
      </c>
      <c r="U218">
        <f t="shared" si="13"/>
        <v>12.122691036591123</v>
      </c>
      <c r="V218">
        <f t="shared" si="14"/>
        <v>8.635687085464026</v>
      </c>
      <c r="W218">
        <v>1</v>
      </c>
      <c r="X218">
        <v>6</v>
      </c>
      <c r="Y218">
        <v>0</v>
      </c>
      <c r="Z218">
        <f>'Résultat (Ln)'!F$30+'Résultat (Ln)'!F$31*Données!S218+'Résultat (Ln)'!F$32*Données!T218+'Résultat (Ln)'!F$33*Données!U218+'Résultat (Ln)'!F$34*Données!V218+'Résultat (Ln)'!F$35*Données!W218+'Résultat (Ln)'!F$36*Données!X218+'Résultat (Ln)'!F$37*Données!Y218</f>
        <v>143419.13598487116</v>
      </c>
      <c r="AA218">
        <f t="shared" si="15"/>
        <v>-43419.135984871158</v>
      </c>
    </row>
    <row r="219" spans="1:27" x14ac:dyDescent="0.25">
      <c r="A219">
        <v>116000</v>
      </c>
      <c r="B219">
        <v>1</v>
      </c>
      <c r="C219">
        <v>37</v>
      </c>
      <c r="D219">
        <v>1</v>
      </c>
      <c r="E219">
        <v>129000</v>
      </c>
      <c r="F219">
        <v>4166</v>
      </c>
      <c r="G219">
        <v>0</v>
      </c>
      <c r="H219">
        <v>0</v>
      </c>
      <c r="I219">
        <v>1</v>
      </c>
      <c r="J219">
        <v>31</v>
      </c>
      <c r="K219">
        <v>0</v>
      </c>
      <c r="L219">
        <f>Résultats!G$32+Résultats!G$33*Données!C219+Résultats!G$34*Données!D219+Résultats!G$35*Données!E219+Résultats!G$36*Données!F219+Résultats!G$37*Données!G219+Résultats!G$38*Données!H219+Résultats!G$39*Données!I219</f>
        <v>122145.90942000746</v>
      </c>
      <c r="M219">
        <f t="shared" si="12"/>
        <v>-6145.9094200074614</v>
      </c>
      <c r="Q219">
        <v>110000</v>
      </c>
      <c r="R219">
        <v>1</v>
      </c>
      <c r="S219">
        <v>34</v>
      </c>
      <c r="T219">
        <v>0</v>
      </c>
      <c r="U219">
        <f t="shared" si="13"/>
        <v>11.849397701591441</v>
      </c>
      <c r="V219">
        <f t="shared" si="14"/>
        <v>8.200837258379849</v>
      </c>
      <c r="W219">
        <v>0</v>
      </c>
      <c r="X219">
        <v>0</v>
      </c>
      <c r="Y219">
        <v>0</v>
      </c>
      <c r="Z219">
        <f>'Résultat (Ln)'!F$30+'Résultat (Ln)'!F$31*Données!S219+'Résultat (Ln)'!F$32*Données!T219+'Résultat (Ln)'!F$33*Données!U219+'Résultat (Ln)'!F$34*Données!V219+'Résultat (Ln)'!F$35*Données!W219+'Résultat (Ln)'!F$36*Données!X219+'Résultat (Ln)'!F$37*Données!Y219</f>
        <v>111921.24820029104</v>
      </c>
      <c r="AA219">
        <f t="shared" si="15"/>
        <v>-1921.2482002910401</v>
      </c>
    </row>
    <row r="220" spans="1:27" x14ac:dyDescent="0.25">
      <c r="A220">
        <v>136000</v>
      </c>
      <c r="B220">
        <v>1</v>
      </c>
      <c r="C220">
        <v>28</v>
      </c>
      <c r="D220">
        <v>0</v>
      </c>
      <c r="E220">
        <v>170000</v>
      </c>
      <c r="F220">
        <v>4333</v>
      </c>
      <c r="G220">
        <v>1</v>
      </c>
      <c r="H220">
        <v>0</v>
      </c>
      <c r="I220">
        <v>0</v>
      </c>
      <c r="J220">
        <v>22</v>
      </c>
      <c r="K220">
        <v>1</v>
      </c>
      <c r="L220">
        <f>Résultats!G$32+Résultats!G$33*Données!C220+Résultats!G$34*Données!D220+Résultats!G$35*Données!E220+Résultats!G$36*Données!F220+Résultats!G$37*Données!G220+Résultats!G$38*Données!H220+Résultats!G$39*Données!I220</f>
        <v>123519.48342239579</v>
      </c>
      <c r="M220">
        <f t="shared" si="12"/>
        <v>12480.516577604212</v>
      </c>
      <c r="Q220">
        <v>116000</v>
      </c>
      <c r="R220">
        <v>1</v>
      </c>
      <c r="S220">
        <v>37</v>
      </c>
      <c r="T220">
        <v>1</v>
      </c>
      <c r="U220">
        <f t="shared" si="13"/>
        <v>11.76756768334381</v>
      </c>
      <c r="V220">
        <f t="shared" si="14"/>
        <v>8.334711621820917</v>
      </c>
      <c r="W220">
        <v>0</v>
      </c>
      <c r="X220">
        <v>0</v>
      </c>
      <c r="Y220">
        <v>1</v>
      </c>
      <c r="Z220">
        <f>'Résultat (Ln)'!F$30+'Résultat (Ln)'!F$31*Données!S220+'Résultat (Ln)'!F$32*Données!T220+'Résultat (Ln)'!F$33*Données!U220+'Résultat (Ln)'!F$34*Données!V220+'Résultat (Ln)'!F$35*Données!W220+'Résultat (Ln)'!F$36*Données!X220+'Résultat (Ln)'!F$37*Données!Y220</f>
        <v>129005.91154158869</v>
      </c>
      <c r="AA220">
        <f t="shared" si="15"/>
        <v>-13005.911541588692</v>
      </c>
    </row>
    <row r="221" spans="1:27" x14ac:dyDescent="0.25">
      <c r="A221">
        <v>44000</v>
      </c>
      <c r="B221">
        <v>1</v>
      </c>
      <c r="C221">
        <v>33</v>
      </c>
      <c r="D221">
        <v>0</v>
      </c>
      <c r="E221">
        <v>55000</v>
      </c>
      <c r="F221">
        <v>1833</v>
      </c>
      <c r="G221">
        <v>0</v>
      </c>
      <c r="H221">
        <v>0</v>
      </c>
      <c r="I221">
        <v>1</v>
      </c>
      <c r="J221">
        <v>25</v>
      </c>
      <c r="K221">
        <v>0</v>
      </c>
      <c r="L221">
        <f>Résultats!G$32+Résultats!G$33*Données!C221+Résultats!G$34*Données!D221+Résultats!G$35*Données!E221+Résultats!G$36*Données!F221+Résultats!G$37*Données!G221+Résultats!G$38*Données!H221+Résultats!G$39*Données!I221</f>
        <v>73627.579382163778</v>
      </c>
      <c r="M221">
        <f t="shared" si="12"/>
        <v>-29627.579382163778</v>
      </c>
      <c r="Q221">
        <v>136000</v>
      </c>
      <c r="R221">
        <v>1</v>
      </c>
      <c r="S221">
        <v>28</v>
      </c>
      <c r="T221">
        <v>0</v>
      </c>
      <c r="U221">
        <f t="shared" si="13"/>
        <v>12.043553716032399</v>
      </c>
      <c r="V221">
        <f t="shared" si="14"/>
        <v>8.3740154217399088</v>
      </c>
      <c r="W221">
        <v>1</v>
      </c>
      <c r="X221">
        <v>0</v>
      </c>
      <c r="Y221">
        <v>0</v>
      </c>
      <c r="Z221">
        <f>'Résultat (Ln)'!F$30+'Résultat (Ln)'!F$31*Données!S221+'Résultat (Ln)'!F$32*Données!T221+'Résultat (Ln)'!F$33*Données!U221+'Résultat (Ln)'!F$34*Données!V221+'Résultat (Ln)'!F$35*Données!W221+'Résultat (Ln)'!F$36*Données!X221+'Résultat (Ln)'!F$37*Données!Y221</f>
        <v>134772.6160840099</v>
      </c>
      <c r="AA221">
        <f t="shared" si="15"/>
        <v>1227.3839159900963</v>
      </c>
    </row>
    <row r="222" spans="1:27" x14ac:dyDescent="0.25">
      <c r="A222">
        <v>258000</v>
      </c>
      <c r="B222">
        <v>1</v>
      </c>
      <c r="C222">
        <v>33</v>
      </c>
      <c r="D222">
        <v>0</v>
      </c>
      <c r="E222">
        <v>287000</v>
      </c>
      <c r="F222">
        <v>5726</v>
      </c>
      <c r="G222">
        <v>1</v>
      </c>
      <c r="H222">
        <v>0</v>
      </c>
      <c r="I222">
        <v>0</v>
      </c>
      <c r="J222">
        <v>27</v>
      </c>
      <c r="K222">
        <v>1</v>
      </c>
      <c r="L222">
        <f>Résultats!G$32+Résultats!G$33*Données!C222+Résultats!G$34*Données!D222+Résultats!G$35*Données!E222+Résultats!G$36*Données!F222+Résultats!G$37*Données!G222+Résultats!G$38*Données!H222+Résultats!G$39*Données!I222</f>
        <v>186595.70555317885</v>
      </c>
      <c r="M222">
        <f t="shared" si="12"/>
        <v>71404.29444682115</v>
      </c>
      <c r="Q222">
        <v>44000</v>
      </c>
      <c r="R222">
        <v>1</v>
      </c>
      <c r="S222">
        <v>33</v>
      </c>
      <c r="T222">
        <v>0</v>
      </c>
      <c r="U222">
        <f t="shared" si="13"/>
        <v>10.915088464214607</v>
      </c>
      <c r="V222">
        <f t="shared" si="14"/>
        <v>7.5137092478397047</v>
      </c>
      <c r="W222">
        <v>0</v>
      </c>
      <c r="X222">
        <v>0</v>
      </c>
      <c r="Y222">
        <v>1</v>
      </c>
      <c r="Z222">
        <f>'Résultat (Ln)'!F$30+'Résultat (Ln)'!F$31*Données!S222+'Résultat (Ln)'!F$32*Données!T222+'Résultat (Ln)'!F$33*Données!U222+'Résultat (Ln)'!F$34*Données!V222+'Résultat (Ln)'!F$35*Données!W222+'Résultat (Ln)'!F$36*Données!X222+'Résultat (Ln)'!F$37*Données!Y222</f>
        <v>5361.2804012359411</v>
      </c>
      <c r="AA222">
        <f t="shared" si="15"/>
        <v>38638.719598764059</v>
      </c>
    </row>
    <row r="223" spans="1:27" x14ac:dyDescent="0.25">
      <c r="A223">
        <v>90000</v>
      </c>
      <c r="B223">
        <v>1</v>
      </c>
      <c r="C223">
        <v>36.099998474121087</v>
      </c>
      <c r="D223">
        <v>1</v>
      </c>
      <c r="E223">
        <v>129899.9938964844</v>
      </c>
      <c r="F223">
        <v>1750</v>
      </c>
      <c r="G223">
        <v>1</v>
      </c>
      <c r="H223">
        <v>1</v>
      </c>
      <c r="I223">
        <v>0</v>
      </c>
      <c r="J223">
        <v>28.829999923706058</v>
      </c>
      <c r="K223">
        <v>1</v>
      </c>
      <c r="L223">
        <f>Résultats!G$32+Résultats!G$33*Données!C223+Résultats!G$34*Données!D223+Résultats!G$35*Données!E223+Résultats!G$36*Données!F223+Résultats!G$37*Données!G223+Résultats!G$38*Données!H223+Résultats!G$39*Données!I223</f>
        <v>112316.55028705479</v>
      </c>
      <c r="M223">
        <f t="shared" si="12"/>
        <v>-22316.550287054793</v>
      </c>
      <c r="Q223">
        <v>258000</v>
      </c>
      <c r="R223">
        <v>1</v>
      </c>
      <c r="S223">
        <v>33</v>
      </c>
      <c r="T223">
        <v>0</v>
      </c>
      <c r="U223">
        <f t="shared" si="13"/>
        <v>12.567237494741757</v>
      </c>
      <c r="V223">
        <f t="shared" si="14"/>
        <v>8.6527724856580601</v>
      </c>
      <c r="W223">
        <v>1</v>
      </c>
      <c r="X223">
        <v>0</v>
      </c>
      <c r="Y223">
        <v>0</v>
      </c>
      <c r="Z223">
        <f>'Résultat (Ln)'!F$30+'Résultat (Ln)'!F$31*Données!S223+'Résultat (Ln)'!F$32*Données!T223+'Résultat (Ln)'!F$33*Données!U223+'Résultat (Ln)'!F$34*Données!V223+'Résultat (Ln)'!F$35*Données!W223+'Résultat (Ln)'!F$36*Données!X223+'Résultat (Ln)'!F$37*Données!Y223</f>
        <v>204837.36307780258</v>
      </c>
      <c r="AA223">
        <f t="shared" si="15"/>
        <v>53162.636922197416</v>
      </c>
    </row>
    <row r="224" spans="1:27" x14ac:dyDescent="0.25">
      <c r="A224">
        <v>97000</v>
      </c>
      <c r="B224">
        <v>1</v>
      </c>
      <c r="C224">
        <v>25</v>
      </c>
      <c r="D224">
        <v>0</v>
      </c>
      <c r="E224">
        <v>121000</v>
      </c>
      <c r="F224">
        <v>4167</v>
      </c>
      <c r="G224">
        <v>0</v>
      </c>
      <c r="H224">
        <v>1</v>
      </c>
      <c r="I224">
        <v>0</v>
      </c>
      <c r="J224">
        <v>25</v>
      </c>
      <c r="K224">
        <v>1</v>
      </c>
      <c r="L224">
        <f>Résultats!G$32+Résultats!G$33*Données!C224+Résultats!G$34*Données!D224+Résultats!G$35*Données!E224+Résultats!G$36*Données!F224+Résultats!G$37*Données!G224+Résultats!G$38*Données!H224+Résultats!G$39*Données!I224</f>
        <v>88229.19445714273</v>
      </c>
      <c r="M224">
        <f t="shared" si="12"/>
        <v>8770.8055428572698</v>
      </c>
      <c r="Q224">
        <v>90000</v>
      </c>
      <c r="R224">
        <v>1</v>
      </c>
      <c r="S224">
        <v>36.099998474121087</v>
      </c>
      <c r="T224">
        <v>1</v>
      </c>
      <c r="U224">
        <f t="shared" si="13"/>
        <v>11.774520155672427</v>
      </c>
      <c r="V224">
        <f t="shared" si="14"/>
        <v>7.4673710669175595</v>
      </c>
      <c r="W224">
        <v>1</v>
      </c>
      <c r="X224">
        <v>1</v>
      </c>
      <c r="Y224">
        <v>0</v>
      </c>
      <c r="Z224">
        <f>'Résultat (Ln)'!F$30+'Résultat (Ln)'!F$31*Données!S224+'Résultat (Ln)'!F$32*Données!T224+'Résultat (Ln)'!F$33*Données!U224+'Résultat (Ln)'!F$34*Données!V224+'Résultat (Ln)'!F$35*Données!W224+'Résultat (Ln)'!F$36*Données!X224+'Résultat (Ln)'!F$37*Données!Y224</f>
        <v>94575.654322578135</v>
      </c>
      <c r="AA224">
        <f t="shared" si="15"/>
        <v>-4575.6543225781352</v>
      </c>
    </row>
    <row r="225" spans="1:27" x14ac:dyDescent="0.25">
      <c r="A225">
        <v>126000</v>
      </c>
      <c r="B225">
        <v>1</v>
      </c>
      <c r="C225">
        <v>46</v>
      </c>
      <c r="D225">
        <v>0</v>
      </c>
      <c r="E225">
        <v>140000</v>
      </c>
      <c r="F225">
        <v>3200</v>
      </c>
      <c r="G225">
        <v>0</v>
      </c>
      <c r="H225">
        <v>0</v>
      </c>
      <c r="I225">
        <v>0</v>
      </c>
      <c r="J225">
        <v>27</v>
      </c>
      <c r="K225">
        <v>1</v>
      </c>
      <c r="L225">
        <f>Résultats!G$32+Résultats!G$33*Données!C225+Résultats!G$34*Données!D225+Résultats!G$35*Données!E225+Résultats!G$36*Données!F225+Résultats!G$37*Données!G225+Résultats!G$38*Données!H225+Résultats!G$39*Données!I225</f>
        <v>120974.82061988641</v>
      </c>
      <c r="M225">
        <f t="shared" si="12"/>
        <v>5025.1793801135937</v>
      </c>
      <c r="Q225">
        <v>97000</v>
      </c>
      <c r="R225">
        <v>1</v>
      </c>
      <c r="S225">
        <v>25</v>
      </c>
      <c r="T225">
        <v>0</v>
      </c>
      <c r="U225">
        <f t="shared" si="13"/>
        <v>11.703545824578878</v>
      </c>
      <c r="V225">
        <f t="shared" si="14"/>
        <v>8.3349516314224541</v>
      </c>
      <c r="W225">
        <v>0</v>
      </c>
      <c r="X225">
        <v>1</v>
      </c>
      <c r="Y225">
        <v>0</v>
      </c>
      <c r="Z225">
        <f>'Résultat (Ln)'!F$30+'Résultat (Ln)'!F$31*Données!S225+'Résultat (Ln)'!F$32*Données!T225+'Résultat (Ln)'!F$33*Données!U225+'Résultat (Ln)'!F$34*Données!V225+'Résultat (Ln)'!F$35*Données!W225+'Résultat (Ln)'!F$36*Données!X225+'Résultat (Ln)'!F$37*Données!Y225</f>
        <v>88872.009766070711</v>
      </c>
      <c r="AA225">
        <f t="shared" si="15"/>
        <v>8127.9902339292894</v>
      </c>
    </row>
    <row r="226" spans="1:27" x14ac:dyDescent="0.25">
      <c r="A226">
        <v>156000</v>
      </c>
      <c r="B226">
        <v>1</v>
      </c>
      <c r="C226">
        <v>29</v>
      </c>
      <c r="D226">
        <v>0</v>
      </c>
      <c r="E226">
        <v>216000</v>
      </c>
      <c r="F226">
        <v>5667</v>
      </c>
      <c r="G226">
        <v>1</v>
      </c>
      <c r="H226">
        <v>1</v>
      </c>
      <c r="I226">
        <v>0</v>
      </c>
      <c r="J226">
        <v>29</v>
      </c>
      <c r="K226">
        <v>1</v>
      </c>
      <c r="L226">
        <f>Résultats!G$32+Résultats!G$33*Données!C226+Résultats!G$34*Données!D226+Résultats!G$35*Données!E226+Résultats!G$36*Données!F226+Résultats!G$37*Données!G226+Résultats!G$38*Données!H226+Résultats!G$39*Données!I226</f>
        <v>147107.73602719494</v>
      </c>
      <c r="M226">
        <f t="shared" si="12"/>
        <v>8892.2639728050563</v>
      </c>
      <c r="Q226">
        <v>126000</v>
      </c>
      <c r="R226">
        <v>1</v>
      </c>
      <c r="S226">
        <v>46</v>
      </c>
      <c r="T226">
        <v>0</v>
      </c>
      <c r="U226">
        <f t="shared" si="13"/>
        <v>11.849397701591441</v>
      </c>
      <c r="V226">
        <f t="shared" si="14"/>
        <v>8.0709060887878188</v>
      </c>
      <c r="W226">
        <v>0</v>
      </c>
      <c r="X226">
        <v>0</v>
      </c>
      <c r="Y226">
        <v>0</v>
      </c>
      <c r="Z226">
        <f>'Résultat (Ln)'!F$30+'Résultat (Ln)'!F$31*Données!S226+'Résultat (Ln)'!F$32*Données!T226+'Résultat (Ln)'!F$33*Données!U226+'Résultat (Ln)'!F$34*Données!V226+'Résultat (Ln)'!F$35*Données!W226+'Résultat (Ln)'!F$36*Données!X226+'Résultat (Ln)'!F$37*Données!Y226</f>
        <v>122941.71716279644</v>
      </c>
      <c r="AA226">
        <f t="shared" si="15"/>
        <v>3058.2828372035583</v>
      </c>
    </row>
    <row r="227" spans="1:27" x14ac:dyDescent="0.25">
      <c r="A227">
        <v>200000</v>
      </c>
      <c r="B227">
        <v>1</v>
      </c>
      <c r="C227">
        <v>30.29999923706055</v>
      </c>
      <c r="D227">
        <v>0</v>
      </c>
      <c r="E227">
        <v>295000</v>
      </c>
      <c r="F227">
        <v>6500</v>
      </c>
      <c r="G227">
        <v>0</v>
      </c>
      <c r="H227">
        <v>0</v>
      </c>
      <c r="I227">
        <v>0</v>
      </c>
      <c r="J227">
        <v>23.129999160766602</v>
      </c>
      <c r="K227">
        <v>1</v>
      </c>
      <c r="L227">
        <f>Résultats!G$32+Résultats!G$33*Données!C227+Résultats!G$34*Données!D227+Résultats!G$35*Données!E227+Résultats!G$36*Données!F227+Résultats!G$37*Données!G227+Résultats!G$38*Données!H227+Résultats!G$39*Données!I227</f>
        <v>181713.14974262234</v>
      </c>
      <c r="M227">
        <f t="shared" si="12"/>
        <v>18286.850257377664</v>
      </c>
      <c r="Q227">
        <v>156000</v>
      </c>
      <c r="R227">
        <v>1</v>
      </c>
      <c r="S227">
        <v>29</v>
      </c>
      <c r="T227">
        <v>0</v>
      </c>
      <c r="U227">
        <f t="shared" si="13"/>
        <v>12.283033686666302</v>
      </c>
      <c r="V227">
        <f t="shared" si="14"/>
        <v>8.6424151561696192</v>
      </c>
      <c r="W227">
        <v>1</v>
      </c>
      <c r="X227">
        <v>1</v>
      </c>
      <c r="Y227">
        <v>0</v>
      </c>
      <c r="Z227">
        <f>'Résultat (Ln)'!F$30+'Résultat (Ln)'!F$31*Données!S227+'Résultat (Ln)'!F$32*Données!T227+'Résultat (Ln)'!F$33*Données!U227+'Résultat (Ln)'!F$34*Données!V227+'Résultat (Ln)'!F$35*Données!W227+'Résultat (Ln)'!F$36*Données!X227+'Résultat (Ln)'!F$37*Données!Y227</f>
        <v>169015.79243324182</v>
      </c>
      <c r="AA227">
        <f t="shared" si="15"/>
        <v>-13015.792433241819</v>
      </c>
    </row>
    <row r="228" spans="1:27" x14ac:dyDescent="0.25">
      <c r="A228">
        <v>84000</v>
      </c>
      <c r="B228">
        <v>1</v>
      </c>
      <c r="C228">
        <v>30.60000038146973</v>
      </c>
      <c r="D228">
        <v>0</v>
      </c>
      <c r="E228">
        <v>105000</v>
      </c>
      <c r="F228">
        <v>3666</v>
      </c>
      <c r="G228">
        <v>0</v>
      </c>
      <c r="H228">
        <v>0</v>
      </c>
      <c r="I228">
        <v>0</v>
      </c>
      <c r="J228">
        <v>27.79999923706055</v>
      </c>
      <c r="K228">
        <v>0</v>
      </c>
      <c r="L228">
        <f>Résultats!G$32+Résultats!G$33*Données!C228+Résultats!G$34*Données!D228+Résultats!G$35*Données!E228+Résultats!G$36*Données!F228+Résultats!G$37*Données!G228+Résultats!G$38*Données!H228+Résultats!G$39*Données!I228</f>
        <v>87844.941728556805</v>
      </c>
      <c r="M228">
        <f t="shared" si="12"/>
        <v>-3844.9417285568052</v>
      </c>
      <c r="Q228">
        <v>200000</v>
      </c>
      <c r="R228">
        <v>1</v>
      </c>
      <c r="S228">
        <v>30.29999923706055</v>
      </c>
      <c r="T228">
        <v>0</v>
      </c>
      <c r="U228">
        <f t="shared" si="13"/>
        <v>12.594730635321957</v>
      </c>
      <c r="V228">
        <f t="shared" si="14"/>
        <v>8.7795574558837277</v>
      </c>
      <c r="W228">
        <v>0</v>
      </c>
      <c r="X228">
        <v>0</v>
      </c>
      <c r="Y228">
        <v>0</v>
      </c>
      <c r="Z228">
        <f>'Résultat (Ln)'!F$30+'Résultat (Ln)'!F$31*Données!S228+'Résultat (Ln)'!F$32*Données!T228+'Résultat (Ln)'!F$33*Données!U228+'Résultat (Ln)'!F$34*Données!V228+'Résultat (Ln)'!F$35*Données!W228+'Résultat (Ln)'!F$36*Données!X228+'Résultat (Ln)'!F$37*Données!Y228</f>
        <v>203526.74845612969</v>
      </c>
      <c r="AA228">
        <f t="shared" si="15"/>
        <v>-3526.7484561296878</v>
      </c>
    </row>
    <row r="229" spans="1:27" x14ac:dyDescent="0.25">
      <c r="A229">
        <v>185000</v>
      </c>
      <c r="B229">
        <v>1</v>
      </c>
      <c r="C229">
        <v>31.29999923706055</v>
      </c>
      <c r="D229">
        <v>0</v>
      </c>
      <c r="E229">
        <v>250000</v>
      </c>
      <c r="F229">
        <v>4260</v>
      </c>
      <c r="G229">
        <v>1</v>
      </c>
      <c r="H229">
        <v>0</v>
      </c>
      <c r="I229">
        <v>0</v>
      </c>
      <c r="J229">
        <v>24.89999961853027</v>
      </c>
      <c r="K229">
        <v>1</v>
      </c>
      <c r="L229">
        <f>Résultats!G$32+Résultats!G$33*Données!C229+Résultats!G$34*Données!D229+Résultats!G$35*Données!E229+Résultats!G$36*Données!F229+Résultats!G$37*Données!G229+Résultats!G$38*Données!H229+Résultats!G$39*Données!I229</f>
        <v>164524.89781322781</v>
      </c>
      <c r="M229">
        <f t="shared" si="12"/>
        <v>20475.102186772187</v>
      </c>
      <c r="Q229">
        <v>84000</v>
      </c>
      <c r="R229">
        <v>1</v>
      </c>
      <c r="S229">
        <v>30.60000038146973</v>
      </c>
      <c r="T229">
        <v>0</v>
      </c>
      <c r="U229">
        <f t="shared" si="13"/>
        <v>11.561715629139661</v>
      </c>
      <c r="V229">
        <f t="shared" si="14"/>
        <v>8.2068564283996501</v>
      </c>
      <c r="W229">
        <v>0</v>
      </c>
      <c r="X229">
        <v>0</v>
      </c>
      <c r="Y229">
        <v>0</v>
      </c>
      <c r="Z229">
        <f>'Résultat (Ln)'!F$30+'Résultat (Ln)'!F$31*Données!S229+'Résultat (Ln)'!F$32*Données!T229+'Résultat (Ln)'!F$33*Données!U229+'Résultat (Ln)'!F$34*Données!V229+'Résultat (Ln)'!F$35*Données!W229+'Résultat (Ln)'!F$36*Données!X229+'Résultat (Ln)'!F$37*Données!Y229</f>
        <v>77096.879069659131</v>
      </c>
      <c r="AA229">
        <f t="shared" si="15"/>
        <v>6903.1209303408687</v>
      </c>
    </row>
    <row r="230" spans="1:27" x14ac:dyDescent="0.25">
      <c r="A230">
        <v>312000</v>
      </c>
      <c r="B230">
        <v>1</v>
      </c>
      <c r="C230">
        <v>43</v>
      </c>
      <c r="D230">
        <v>0</v>
      </c>
      <c r="E230">
        <v>390000</v>
      </c>
      <c r="F230">
        <v>10750</v>
      </c>
      <c r="G230">
        <v>1</v>
      </c>
      <c r="H230">
        <v>0</v>
      </c>
      <c r="I230">
        <v>1</v>
      </c>
      <c r="J230">
        <v>26</v>
      </c>
      <c r="K230">
        <v>1</v>
      </c>
      <c r="L230">
        <f>Résultats!G$32+Résultats!G$33*Données!C230+Résultats!G$34*Données!D230+Résultats!G$35*Données!E230+Résultats!G$36*Données!F230+Résultats!G$37*Données!G230+Résultats!G$38*Données!H230+Résultats!G$39*Données!I230</f>
        <v>265839.49660016212</v>
      </c>
      <c r="M230">
        <f t="shared" si="12"/>
        <v>46160.503399837879</v>
      </c>
      <c r="Q230">
        <v>185000</v>
      </c>
      <c r="R230">
        <v>1</v>
      </c>
      <c r="S230">
        <v>31.29999923706055</v>
      </c>
      <c r="T230">
        <v>0</v>
      </c>
      <c r="U230">
        <f t="shared" si="13"/>
        <v>12.429216196844383</v>
      </c>
      <c r="V230">
        <f t="shared" si="14"/>
        <v>8.3570244392634159</v>
      </c>
      <c r="W230">
        <v>1</v>
      </c>
      <c r="X230">
        <v>0</v>
      </c>
      <c r="Y230">
        <v>0</v>
      </c>
      <c r="Z230">
        <f>'Résultat (Ln)'!F$30+'Résultat (Ln)'!F$31*Données!S230+'Résultat (Ln)'!F$32*Données!T230+'Résultat (Ln)'!F$33*Données!U230+'Résultat (Ln)'!F$34*Données!V230+'Résultat (Ln)'!F$35*Données!W230+'Résultat (Ln)'!F$36*Données!X230+'Résultat (Ln)'!F$37*Données!Y230</f>
        <v>179670.13284094675</v>
      </c>
      <c r="AA230">
        <f t="shared" si="15"/>
        <v>5329.8671590532467</v>
      </c>
    </row>
    <row r="231" spans="1:27" x14ac:dyDescent="0.25">
      <c r="A231">
        <v>190000</v>
      </c>
      <c r="B231">
        <v>1</v>
      </c>
      <c r="C231">
        <v>18</v>
      </c>
      <c r="D231">
        <v>0</v>
      </c>
      <c r="E231">
        <v>180000</v>
      </c>
      <c r="F231">
        <v>8500</v>
      </c>
      <c r="G231">
        <v>1</v>
      </c>
      <c r="H231">
        <v>9</v>
      </c>
      <c r="I231">
        <v>1</v>
      </c>
      <c r="J231">
        <v>18</v>
      </c>
      <c r="K231">
        <v>1</v>
      </c>
      <c r="L231">
        <f>Résultats!G$32+Résultats!G$33*Données!C231+Résultats!G$34*Données!D231+Résultats!G$35*Données!E231+Résultats!G$36*Données!F231+Résultats!G$37*Données!G231+Résultats!G$38*Données!H231+Résultats!G$39*Données!I231</f>
        <v>120075.04081542167</v>
      </c>
      <c r="M231">
        <f t="shared" si="12"/>
        <v>69924.959184578329</v>
      </c>
      <c r="Q231">
        <v>312000</v>
      </c>
      <c r="R231">
        <v>1</v>
      </c>
      <c r="S231">
        <v>43</v>
      </c>
      <c r="T231">
        <v>0</v>
      </c>
      <c r="U231">
        <f t="shared" si="13"/>
        <v>12.873902018105829</v>
      </c>
      <c r="V231">
        <f t="shared" si="14"/>
        <v>9.2826610335558097</v>
      </c>
      <c r="W231">
        <v>1</v>
      </c>
      <c r="X231">
        <v>0</v>
      </c>
      <c r="Y231">
        <v>1</v>
      </c>
      <c r="Z231">
        <f>'Résultat (Ln)'!F$30+'Résultat (Ln)'!F$31*Données!S231+'Résultat (Ln)'!F$32*Données!T231+'Résultat (Ln)'!F$33*Données!U231+'Résultat (Ln)'!F$34*Données!V231+'Résultat (Ln)'!F$35*Données!W231+'Résultat (Ln)'!F$36*Données!X231+'Résultat (Ln)'!F$37*Données!Y231</f>
        <v>281683.50471972261</v>
      </c>
      <c r="AA231">
        <f t="shared" si="15"/>
        <v>30316.495280277391</v>
      </c>
    </row>
    <row r="232" spans="1:27" x14ac:dyDescent="0.25">
      <c r="A232">
        <v>315000</v>
      </c>
      <c r="B232">
        <v>1</v>
      </c>
      <c r="C232">
        <v>32</v>
      </c>
      <c r="D232">
        <v>0</v>
      </c>
      <c r="E232">
        <v>420000</v>
      </c>
      <c r="F232">
        <v>6833</v>
      </c>
      <c r="G232">
        <v>0</v>
      </c>
      <c r="H232">
        <v>0</v>
      </c>
      <c r="I232">
        <v>1</v>
      </c>
      <c r="J232">
        <v>29</v>
      </c>
      <c r="K232">
        <v>1</v>
      </c>
      <c r="L232">
        <f>Résultats!G$32+Résultats!G$33*Données!C232+Résultats!G$34*Données!D232+Résultats!G$35*Données!E232+Résultats!G$36*Données!F232+Résultats!G$37*Données!G232+Résultats!G$38*Données!H232+Résultats!G$39*Données!I232</f>
        <v>252605.78889733145</v>
      </c>
      <c r="M232">
        <f t="shared" si="12"/>
        <v>62394.211102668545</v>
      </c>
      <c r="Q232">
        <v>190000</v>
      </c>
      <c r="R232">
        <v>1</v>
      </c>
      <c r="S232">
        <v>18</v>
      </c>
      <c r="T232">
        <v>0</v>
      </c>
      <c r="U232">
        <f t="shared" si="13"/>
        <v>12.100712129872347</v>
      </c>
      <c r="V232">
        <f t="shared" si="14"/>
        <v>9.0478214424784085</v>
      </c>
      <c r="W232">
        <v>1</v>
      </c>
      <c r="X232">
        <v>9</v>
      </c>
      <c r="Y232">
        <v>1</v>
      </c>
      <c r="Z232">
        <f>'Résultat (Ln)'!F$30+'Résultat (Ln)'!F$31*Données!S232+'Résultat (Ln)'!F$32*Données!T232+'Résultat (Ln)'!F$33*Données!U232+'Résultat (Ln)'!F$34*Données!V232+'Résultat (Ln)'!F$35*Données!W232+'Résultat (Ln)'!F$36*Données!X232+'Résultat (Ln)'!F$37*Données!Y232</f>
        <v>160065.83830233049</v>
      </c>
      <c r="AA232">
        <f t="shared" si="15"/>
        <v>29934.161697669508</v>
      </c>
    </row>
    <row r="233" spans="1:27" x14ac:dyDescent="0.25">
      <c r="A233">
        <v>75000</v>
      </c>
      <c r="B233">
        <v>1</v>
      </c>
      <c r="C233">
        <v>33</v>
      </c>
      <c r="D233">
        <v>0</v>
      </c>
      <c r="E233">
        <v>150000</v>
      </c>
      <c r="F233">
        <v>2731</v>
      </c>
      <c r="G233">
        <v>1</v>
      </c>
      <c r="H233">
        <v>0</v>
      </c>
      <c r="I233">
        <v>0</v>
      </c>
      <c r="J233">
        <v>30</v>
      </c>
      <c r="K233">
        <v>1</v>
      </c>
      <c r="L233">
        <f>Résultats!G$32+Résultats!G$33*Données!C233+Résultats!G$34*Données!D233+Résultats!G$35*Données!E233+Résultats!G$36*Données!F233+Résultats!G$37*Données!G233+Résultats!G$38*Données!H233+Résultats!G$39*Données!I233</f>
        <v>116819.43458459123</v>
      </c>
      <c r="M233">
        <f t="shared" si="12"/>
        <v>-41819.434584591232</v>
      </c>
      <c r="Q233">
        <v>315000</v>
      </c>
      <c r="R233">
        <v>1</v>
      </c>
      <c r="S233">
        <v>32</v>
      </c>
      <c r="T233">
        <v>0</v>
      </c>
      <c r="U233">
        <f t="shared" si="13"/>
        <v>12.948009990259552</v>
      </c>
      <c r="V233">
        <f t="shared" si="14"/>
        <v>8.8295190947807782</v>
      </c>
      <c r="W233">
        <v>0</v>
      </c>
      <c r="X233">
        <v>0</v>
      </c>
      <c r="Y233">
        <v>1</v>
      </c>
      <c r="Z233">
        <f>'Résultat (Ln)'!F$30+'Résultat (Ln)'!F$31*Données!S233+'Résultat (Ln)'!F$32*Données!T233+'Résultat (Ln)'!F$33*Données!U233+'Résultat (Ln)'!F$34*Données!V233+'Résultat (Ln)'!F$35*Données!W233+'Résultat (Ln)'!F$36*Données!X233+'Résultat (Ln)'!F$37*Données!Y233</f>
        <v>258962.34427936884</v>
      </c>
      <c r="AA233">
        <f t="shared" si="15"/>
        <v>56037.655720631155</v>
      </c>
    </row>
    <row r="234" spans="1:27" x14ac:dyDescent="0.25">
      <c r="A234">
        <v>162000</v>
      </c>
      <c r="B234">
        <v>1</v>
      </c>
      <c r="C234">
        <v>31.89999961853027</v>
      </c>
      <c r="D234">
        <v>0</v>
      </c>
      <c r="E234">
        <v>247000</v>
      </c>
      <c r="F234">
        <v>4163</v>
      </c>
      <c r="G234">
        <v>1</v>
      </c>
      <c r="H234">
        <v>0</v>
      </c>
      <c r="I234">
        <v>0</v>
      </c>
      <c r="J234">
        <v>29.29999923706055</v>
      </c>
      <c r="K234">
        <v>1</v>
      </c>
      <c r="L234">
        <f>Résultats!G$32+Résultats!G$33*Données!C234+Résultats!G$34*Données!D234+Résultats!G$35*Données!E234+Résultats!G$36*Données!F234+Résultats!G$37*Données!G234+Résultats!G$38*Données!H234+Résultats!G$39*Données!I234</f>
        <v>163625.27529838524</v>
      </c>
      <c r="M234">
        <f t="shared" si="12"/>
        <v>-1625.2752983852406</v>
      </c>
      <c r="Q234">
        <v>75000</v>
      </c>
      <c r="R234">
        <v>1</v>
      </c>
      <c r="S234">
        <v>33</v>
      </c>
      <c r="T234">
        <v>0</v>
      </c>
      <c r="U234">
        <f t="shared" si="13"/>
        <v>11.918390573078392</v>
      </c>
      <c r="V234">
        <f t="shared" si="14"/>
        <v>7.9124231214737053</v>
      </c>
      <c r="W234">
        <v>1</v>
      </c>
      <c r="X234">
        <v>0</v>
      </c>
      <c r="Y234">
        <v>0</v>
      </c>
      <c r="Z234">
        <f>'Résultat (Ln)'!F$30+'Résultat (Ln)'!F$31*Données!S234+'Résultat (Ln)'!F$32*Données!T234+'Résultat (Ln)'!F$33*Données!U234+'Résultat (Ln)'!F$34*Données!V234+'Résultat (Ln)'!F$35*Données!W234+'Résultat (Ln)'!F$36*Données!X234+'Résultat (Ln)'!F$37*Données!Y234</f>
        <v>114520.16488209121</v>
      </c>
      <c r="AA234">
        <f t="shared" si="15"/>
        <v>-39520.164882091209</v>
      </c>
    </row>
    <row r="235" spans="1:27" x14ac:dyDescent="0.25">
      <c r="A235">
        <v>125000</v>
      </c>
      <c r="B235">
        <v>1</v>
      </c>
      <c r="C235">
        <v>30.39999961853027</v>
      </c>
      <c r="D235">
        <v>0</v>
      </c>
      <c r="E235">
        <v>343000</v>
      </c>
      <c r="F235">
        <v>7100</v>
      </c>
      <c r="G235">
        <v>1</v>
      </c>
      <c r="H235">
        <v>0</v>
      </c>
      <c r="I235">
        <v>0</v>
      </c>
      <c r="J235">
        <v>19.79999923706055</v>
      </c>
      <c r="K235">
        <v>1</v>
      </c>
      <c r="L235">
        <f>Résultats!G$32+Résultats!G$33*Données!C235+Résultats!G$34*Données!D235+Résultats!G$35*Données!E235+Résultats!G$36*Données!F235+Résultats!G$37*Données!G235+Résultats!G$38*Données!H235+Résultats!G$39*Données!I235</f>
        <v>212421.06501550501</v>
      </c>
      <c r="M235">
        <f t="shared" si="12"/>
        <v>-87421.06501550501</v>
      </c>
      <c r="Q235">
        <v>162000</v>
      </c>
      <c r="R235">
        <v>1</v>
      </c>
      <c r="S235">
        <v>31.89999961853027</v>
      </c>
      <c r="T235">
        <v>0</v>
      </c>
      <c r="U235">
        <f t="shared" si="13"/>
        <v>12.417143615610113</v>
      </c>
      <c r="V235">
        <f t="shared" si="14"/>
        <v>8.3339912471949749</v>
      </c>
      <c r="W235">
        <v>1</v>
      </c>
      <c r="X235">
        <v>0</v>
      </c>
      <c r="Y235">
        <v>0</v>
      </c>
      <c r="Z235">
        <f>'Résultat (Ln)'!F$30+'Résultat (Ln)'!F$31*Données!S235+'Résultat (Ln)'!F$32*Données!T235+'Résultat (Ln)'!F$33*Données!U235+'Résultat (Ln)'!F$34*Données!V235+'Résultat (Ln)'!F$35*Données!W235+'Résultat (Ln)'!F$36*Données!X235+'Résultat (Ln)'!F$37*Données!Y235</f>
        <v>178463.24657145896</v>
      </c>
      <c r="AA235">
        <f t="shared" si="15"/>
        <v>-16463.246571458963</v>
      </c>
    </row>
    <row r="236" spans="1:27" x14ac:dyDescent="0.25">
      <c r="A236">
        <v>96000</v>
      </c>
      <c r="B236">
        <v>1</v>
      </c>
      <c r="C236">
        <v>34.799999237060547</v>
      </c>
      <c r="D236">
        <v>0</v>
      </c>
      <c r="E236">
        <v>120000</v>
      </c>
      <c r="F236">
        <v>3145</v>
      </c>
      <c r="G236">
        <v>1</v>
      </c>
      <c r="H236">
        <v>0</v>
      </c>
      <c r="I236">
        <v>0</v>
      </c>
      <c r="J236">
        <v>32.700000762939453</v>
      </c>
      <c r="K236">
        <v>1</v>
      </c>
      <c r="L236">
        <f>Résultats!G$32+Résultats!G$33*Données!C236+Résultats!G$34*Données!D236+Résultats!G$35*Données!E236+Résultats!G$36*Données!F236+Résultats!G$37*Données!G236+Résultats!G$38*Données!H236+Résultats!G$39*Données!I236</f>
        <v>105680.6862998815</v>
      </c>
      <c r="M236">
        <f t="shared" si="12"/>
        <v>-9680.686299881505</v>
      </c>
      <c r="Q236">
        <v>125000</v>
      </c>
      <c r="R236">
        <v>1</v>
      </c>
      <c r="S236">
        <v>30.39999961853027</v>
      </c>
      <c r="T236">
        <v>0</v>
      </c>
      <c r="U236">
        <f t="shared" si="13"/>
        <v>12.745485726148077</v>
      </c>
      <c r="V236">
        <f t="shared" si="14"/>
        <v>8.8678500630294064</v>
      </c>
      <c r="W236">
        <v>1</v>
      </c>
      <c r="X236">
        <v>0</v>
      </c>
      <c r="Y236">
        <v>0</v>
      </c>
      <c r="Z236">
        <f>'Résultat (Ln)'!F$30+'Résultat (Ln)'!F$31*Données!S236+'Résultat (Ln)'!F$32*Données!T236+'Résultat (Ln)'!F$33*Données!U236+'Résultat (Ln)'!F$34*Données!V236+'Résultat (Ln)'!F$35*Données!W236+'Résultat (Ln)'!F$36*Données!X236+'Résultat (Ln)'!F$37*Données!Y236</f>
        <v>226799.49740292513</v>
      </c>
      <c r="AA236">
        <f t="shared" si="15"/>
        <v>-101799.49740292513</v>
      </c>
    </row>
    <row r="237" spans="1:27" x14ac:dyDescent="0.25">
      <c r="A237">
        <v>80000</v>
      </c>
      <c r="B237">
        <v>1</v>
      </c>
      <c r="C237">
        <v>34</v>
      </c>
      <c r="D237">
        <v>0</v>
      </c>
      <c r="E237">
        <v>130000</v>
      </c>
      <c r="F237">
        <v>3068</v>
      </c>
      <c r="G237">
        <v>0</v>
      </c>
      <c r="H237">
        <v>0</v>
      </c>
      <c r="I237">
        <v>0</v>
      </c>
      <c r="J237">
        <v>31</v>
      </c>
      <c r="K237">
        <v>1</v>
      </c>
      <c r="L237">
        <f>Résultats!G$32+Résultats!G$33*Données!C237+Résultats!G$34*Données!D237+Résultats!G$35*Données!E237+Résultats!G$36*Données!F237+Résultats!G$37*Données!G237+Résultats!G$38*Données!H237+Résultats!G$39*Données!I237</f>
        <v>102265.45545146764</v>
      </c>
      <c r="M237">
        <f t="shared" si="12"/>
        <v>-22265.455451467642</v>
      </c>
      <c r="Q237">
        <v>96000</v>
      </c>
      <c r="R237">
        <v>1</v>
      </c>
      <c r="S237">
        <v>34.799999237060547</v>
      </c>
      <c r="T237">
        <v>0</v>
      </c>
      <c r="U237">
        <f t="shared" si="13"/>
        <v>11.695247021764184</v>
      </c>
      <c r="V237">
        <f t="shared" si="14"/>
        <v>8.0535691691345406</v>
      </c>
      <c r="W237">
        <v>1</v>
      </c>
      <c r="X237">
        <v>0</v>
      </c>
      <c r="Y237">
        <v>0</v>
      </c>
      <c r="Z237">
        <f>'Résultat (Ln)'!F$30+'Résultat (Ln)'!F$31*Données!S237+'Résultat (Ln)'!F$32*Données!T237+'Résultat (Ln)'!F$33*Données!U237+'Résultat (Ln)'!F$34*Données!V237+'Résultat (Ln)'!F$35*Données!W237+'Résultat (Ln)'!F$36*Données!X237+'Résultat (Ln)'!F$37*Données!Y237</f>
        <v>96758.391144691195</v>
      </c>
      <c r="AA237">
        <f t="shared" si="15"/>
        <v>-758.39114469119522</v>
      </c>
    </row>
    <row r="238" spans="1:27" x14ac:dyDescent="0.25">
      <c r="A238">
        <v>136000</v>
      </c>
      <c r="B238">
        <v>1</v>
      </c>
      <c r="C238">
        <v>42.900001525878913</v>
      </c>
      <c r="D238">
        <v>0</v>
      </c>
      <c r="E238">
        <v>181000</v>
      </c>
      <c r="F238">
        <v>4300</v>
      </c>
      <c r="G238">
        <v>0</v>
      </c>
      <c r="H238">
        <v>0</v>
      </c>
      <c r="I238">
        <v>0</v>
      </c>
      <c r="J238">
        <v>27.139999389648441</v>
      </c>
      <c r="K238">
        <v>0</v>
      </c>
      <c r="L238">
        <f>Résultats!G$32+Résultats!G$33*Données!C238+Résultats!G$34*Données!D238+Résultats!G$35*Données!E238+Résultats!G$36*Données!F238+Résultats!G$37*Données!G238+Résultats!G$38*Données!H238+Résultats!G$39*Données!I238</f>
        <v>138690.59431526216</v>
      </c>
      <c r="M238">
        <f t="shared" si="12"/>
        <v>-2690.5943152621621</v>
      </c>
      <c r="Q238">
        <v>80000</v>
      </c>
      <c r="R238">
        <v>1</v>
      </c>
      <c r="S238">
        <v>34</v>
      </c>
      <c r="T238">
        <v>0</v>
      </c>
      <c r="U238">
        <f t="shared" si="13"/>
        <v>11.77528972943772</v>
      </c>
      <c r="V238">
        <f t="shared" si="14"/>
        <v>8.0287811624871477</v>
      </c>
      <c r="W238">
        <v>0</v>
      </c>
      <c r="X238">
        <v>0</v>
      </c>
      <c r="Y238">
        <v>0</v>
      </c>
      <c r="Z238">
        <f>'Résultat (Ln)'!F$30+'Résultat (Ln)'!F$31*Données!S238+'Résultat (Ln)'!F$32*Données!T238+'Résultat (Ln)'!F$33*Données!U238+'Résultat (Ln)'!F$34*Données!V238+'Résultat (Ln)'!F$35*Données!W238+'Résultat (Ln)'!F$36*Données!X238+'Résultat (Ln)'!F$37*Données!Y238</f>
        <v>99151.752521786693</v>
      </c>
      <c r="AA238">
        <f t="shared" si="15"/>
        <v>-19151.752521786693</v>
      </c>
    </row>
    <row r="239" spans="1:27" x14ac:dyDescent="0.25">
      <c r="A239">
        <v>108000</v>
      </c>
      <c r="B239">
        <v>1</v>
      </c>
      <c r="C239">
        <v>28</v>
      </c>
      <c r="D239">
        <v>0</v>
      </c>
      <c r="E239">
        <v>120000</v>
      </c>
      <c r="F239">
        <v>2356</v>
      </c>
      <c r="G239">
        <v>0</v>
      </c>
      <c r="H239">
        <v>0</v>
      </c>
      <c r="I239">
        <v>0</v>
      </c>
      <c r="J239">
        <v>25.219999313354489</v>
      </c>
      <c r="K239">
        <v>1</v>
      </c>
      <c r="L239">
        <f>Résultats!G$32+Résultats!G$33*Données!C239+Résultats!G$34*Données!D239+Résultats!G$35*Données!E239+Résultats!G$36*Données!F239+Résultats!G$37*Données!G239+Résultats!G$38*Données!H239+Résultats!G$39*Données!I239</f>
        <v>89324.195885616893</v>
      </c>
      <c r="M239">
        <f t="shared" si="12"/>
        <v>18675.804114383107</v>
      </c>
      <c r="Q239">
        <v>136000</v>
      </c>
      <c r="R239">
        <v>1</v>
      </c>
      <c r="S239">
        <v>42.900001525878913</v>
      </c>
      <c r="T239">
        <v>0</v>
      </c>
      <c r="U239">
        <f t="shared" si="13"/>
        <v>12.106252310247962</v>
      </c>
      <c r="V239">
        <f t="shared" si="14"/>
        <v>8.3663703016816537</v>
      </c>
      <c r="W239">
        <v>0</v>
      </c>
      <c r="X239">
        <v>0</v>
      </c>
      <c r="Y239">
        <v>0</v>
      </c>
      <c r="Z239">
        <f>'Résultat (Ln)'!F$30+'Résultat (Ln)'!F$31*Données!S239+'Résultat (Ln)'!F$32*Données!T239+'Résultat (Ln)'!F$33*Données!U239+'Résultat (Ln)'!F$34*Données!V239+'Résultat (Ln)'!F$35*Données!W239+'Résultat (Ln)'!F$36*Données!X239+'Résultat (Ln)'!F$37*Données!Y239</f>
        <v>154973.59539549588</v>
      </c>
      <c r="AA239">
        <f t="shared" si="15"/>
        <v>-18973.595395495882</v>
      </c>
    </row>
    <row r="240" spans="1:27" x14ac:dyDescent="0.25">
      <c r="A240">
        <v>172000</v>
      </c>
      <c r="B240">
        <v>1</v>
      </c>
      <c r="C240">
        <v>36.099998474121087</v>
      </c>
      <c r="D240">
        <v>0</v>
      </c>
      <c r="E240">
        <v>230000</v>
      </c>
      <c r="F240">
        <v>3208</v>
      </c>
      <c r="G240">
        <v>1</v>
      </c>
      <c r="H240">
        <v>0</v>
      </c>
      <c r="I240">
        <v>0</v>
      </c>
      <c r="J240">
        <v>27.89999961853027</v>
      </c>
      <c r="K240">
        <v>1</v>
      </c>
      <c r="L240">
        <f>Résultats!G$32+Résultats!G$33*Données!C240+Résultats!G$34*Données!D240+Résultats!G$35*Données!E240+Résultats!G$36*Données!F240+Résultats!G$37*Données!G240+Résultats!G$38*Données!H240+Résultats!G$39*Données!I240</f>
        <v>158660.89707439943</v>
      </c>
      <c r="M240">
        <f t="shared" si="12"/>
        <v>13339.102925600571</v>
      </c>
      <c r="Q240">
        <v>108000</v>
      </c>
      <c r="R240">
        <v>1</v>
      </c>
      <c r="S240">
        <v>28</v>
      </c>
      <c r="T240">
        <v>0</v>
      </c>
      <c r="U240">
        <f t="shared" si="13"/>
        <v>11.695247021764184</v>
      </c>
      <c r="V240">
        <f t="shared" si="14"/>
        <v>7.7647205447714773</v>
      </c>
      <c r="W240">
        <v>0</v>
      </c>
      <c r="X240">
        <v>0</v>
      </c>
      <c r="Y240">
        <v>0</v>
      </c>
      <c r="Z240">
        <f>'Résultat (Ln)'!F$30+'Résultat (Ln)'!F$31*Données!S240+'Résultat (Ln)'!F$32*Données!T240+'Résultat (Ln)'!F$33*Données!U240+'Résultat (Ln)'!F$34*Données!V240+'Résultat (Ln)'!F$35*Données!W240+'Résultat (Ln)'!F$36*Données!X240+'Résultat (Ln)'!F$37*Données!Y240</f>
        <v>75833.493927622214</v>
      </c>
      <c r="AA240">
        <f t="shared" si="15"/>
        <v>32166.506072377786</v>
      </c>
    </row>
    <row r="241" spans="1:27" x14ac:dyDescent="0.25">
      <c r="A241">
        <v>82000</v>
      </c>
      <c r="B241">
        <v>1</v>
      </c>
      <c r="C241">
        <v>33</v>
      </c>
      <c r="D241">
        <v>0</v>
      </c>
      <c r="E241">
        <v>103000</v>
      </c>
      <c r="F241">
        <v>3117</v>
      </c>
      <c r="G241">
        <v>0</v>
      </c>
      <c r="H241">
        <v>0</v>
      </c>
      <c r="I241">
        <v>1</v>
      </c>
      <c r="J241">
        <v>31</v>
      </c>
      <c r="K241">
        <v>0</v>
      </c>
      <c r="L241">
        <f>Résultats!G$32+Résultats!G$33*Données!C241+Résultats!G$34*Données!D241+Résultats!G$35*Données!E241+Résultats!G$36*Données!F241+Résultats!G$37*Données!G241+Résultats!G$38*Données!H241+Résultats!G$39*Données!I241</f>
        <v>98529.455256080008</v>
      </c>
      <c r="M241">
        <f t="shared" si="12"/>
        <v>-16529.455256080008</v>
      </c>
      <c r="Q241">
        <v>172000</v>
      </c>
      <c r="R241">
        <v>1</v>
      </c>
      <c r="S241">
        <v>36.099998474121087</v>
      </c>
      <c r="T241">
        <v>0</v>
      </c>
      <c r="U241">
        <f t="shared" si="13"/>
        <v>12.345834587905333</v>
      </c>
      <c r="V241">
        <f t="shared" si="14"/>
        <v>8.0734029689864055</v>
      </c>
      <c r="W241">
        <v>1</v>
      </c>
      <c r="X241">
        <v>0</v>
      </c>
      <c r="Y241">
        <v>0</v>
      </c>
      <c r="Z241">
        <f>'Résultat (Ln)'!F$30+'Résultat (Ln)'!F$31*Données!S241+'Résultat (Ln)'!F$32*Données!T241+'Résultat (Ln)'!F$33*Données!U241+'Résultat (Ln)'!F$34*Données!V241+'Résultat (Ln)'!F$35*Données!W241+'Résultat (Ln)'!F$36*Données!X241+'Résultat (Ln)'!F$37*Données!Y241</f>
        <v>168643.40075311478</v>
      </c>
      <c r="AA241">
        <f t="shared" si="15"/>
        <v>3356.5992468852201</v>
      </c>
    </row>
    <row r="242" spans="1:27" x14ac:dyDescent="0.25">
      <c r="A242">
        <v>97000</v>
      </c>
      <c r="B242">
        <v>1</v>
      </c>
      <c r="C242">
        <v>36.700000762939453</v>
      </c>
      <c r="D242">
        <v>0</v>
      </c>
      <c r="E242">
        <v>137000</v>
      </c>
      <c r="F242">
        <v>1875</v>
      </c>
      <c r="G242">
        <v>1</v>
      </c>
      <c r="H242">
        <v>0</v>
      </c>
      <c r="I242">
        <v>0</v>
      </c>
      <c r="J242">
        <v>25.829999923706058</v>
      </c>
      <c r="K242">
        <v>1</v>
      </c>
      <c r="L242">
        <f>Résultats!G$32+Résultats!G$33*Données!C242+Résultats!G$34*Données!D242+Résultats!G$35*Données!E242+Résultats!G$36*Données!F242+Résultats!G$37*Données!G242+Résultats!G$38*Données!H242+Résultats!G$39*Données!I242</f>
        <v>113340.37738586175</v>
      </c>
      <c r="M242">
        <f t="shared" si="12"/>
        <v>-16340.37738586175</v>
      </c>
      <c r="Q242">
        <v>82000</v>
      </c>
      <c r="R242">
        <v>1</v>
      </c>
      <c r="S242">
        <v>33</v>
      </c>
      <c r="T242">
        <v>0</v>
      </c>
      <c r="U242">
        <f t="shared" si="13"/>
        <v>11.542484267211773</v>
      </c>
      <c r="V242">
        <f t="shared" si="14"/>
        <v>8.0446262797673374</v>
      </c>
      <c r="W242">
        <v>0</v>
      </c>
      <c r="X242">
        <v>0</v>
      </c>
      <c r="Y242">
        <v>1</v>
      </c>
      <c r="Z242">
        <f>'Résultat (Ln)'!F$30+'Résultat (Ln)'!F$31*Données!S242+'Résultat (Ln)'!F$32*Données!T242+'Résultat (Ln)'!F$33*Données!U242+'Résultat (Ln)'!F$34*Données!V242+'Résultat (Ln)'!F$35*Données!W242+'Résultat (Ln)'!F$36*Données!X242+'Résultat (Ln)'!F$37*Données!Y242</f>
        <v>87505.317968468851</v>
      </c>
      <c r="AA242">
        <f t="shared" si="15"/>
        <v>-5505.3179684688512</v>
      </c>
    </row>
    <row r="243" spans="1:27" x14ac:dyDescent="0.25">
      <c r="A243">
        <v>138000</v>
      </c>
      <c r="B243">
        <v>1</v>
      </c>
      <c r="C243">
        <v>29.20000076293945</v>
      </c>
      <c r="D243">
        <v>0</v>
      </c>
      <c r="E243">
        <v>153000</v>
      </c>
      <c r="F243">
        <v>5177</v>
      </c>
      <c r="G243">
        <v>0</v>
      </c>
      <c r="H243">
        <v>1</v>
      </c>
      <c r="I243">
        <v>1</v>
      </c>
      <c r="J243">
        <v>27.489999771118161</v>
      </c>
      <c r="K243">
        <v>1</v>
      </c>
      <c r="L243">
        <f>Résultats!G$32+Résultats!G$33*Données!C243+Résultats!G$34*Données!D243+Résultats!G$35*Données!E243+Résultats!G$36*Données!F243+Résultats!G$37*Données!G243+Résultats!G$38*Données!H243+Résultats!G$39*Données!I243</f>
        <v>119878.73761970919</v>
      </c>
      <c r="M243">
        <f t="shared" si="12"/>
        <v>18121.262380290806</v>
      </c>
      <c r="Q243">
        <v>97000</v>
      </c>
      <c r="R243">
        <v>1</v>
      </c>
      <c r="S243">
        <v>36.700000762939453</v>
      </c>
      <c r="T243">
        <v>0</v>
      </c>
      <c r="U243">
        <f t="shared" si="13"/>
        <v>11.827736204810263</v>
      </c>
      <c r="V243">
        <f t="shared" si="14"/>
        <v>7.5363639384045111</v>
      </c>
      <c r="W243">
        <v>1</v>
      </c>
      <c r="X243">
        <v>0</v>
      </c>
      <c r="Y243">
        <v>0</v>
      </c>
      <c r="Z243">
        <f>'Résultat (Ln)'!F$30+'Résultat (Ln)'!F$31*Données!S243+'Résultat (Ln)'!F$32*Données!T243+'Résultat (Ln)'!F$33*Données!U243+'Résultat (Ln)'!F$34*Données!V243+'Résultat (Ln)'!F$35*Données!W243+'Résultat (Ln)'!F$36*Données!X243+'Résultat (Ln)'!F$37*Données!Y243</f>
        <v>98777.093089509275</v>
      </c>
      <c r="AA243">
        <f t="shared" si="15"/>
        <v>-1777.0930895092752</v>
      </c>
    </row>
    <row r="244" spans="1:27" x14ac:dyDescent="0.25">
      <c r="A244">
        <v>93000</v>
      </c>
      <c r="B244">
        <v>1</v>
      </c>
      <c r="C244">
        <v>95</v>
      </c>
      <c r="D244">
        <v>0</v>
      </c>
      <c r="E244">
        <v>170000</v>
      </c>
      <c r="F244">
        <v>3941</v>
      </c>
      <c r="G244">
        <v>1</v>
      </c>
      <c r="H244">
        <v>0</v>
      </c>
      <c r="I244">
        <v>1</v>
      </c>
      <c r="J244">
        <v>44</v>
      </c>
      <c r="K244">
        <v>1</v>
      </c>
      <c r="L244">
        <f>Résultats!G$32+Résultats!G$33*Données!C244+Résultats!G$34*Données!D244+Résultats!G$35*Données!E244+Résultats!G$36*Données!F244+Résultats!G$37*Données!G244+Résultats!G$38*Données!H244+Résultats!G$39*Données!I244</f>
        <v>209646.24303287646</v>
      </c>
      <c r="M244">
        <f t="shared" si="12"/>
        <v>-116646.24303287646</v>
      </c>
      <c r="Q244">
        <v>138000</v>
      </c>
      <c r="R244">
        <v>1</v>
      </c>
      <c r="S244">
        <v>29.20000076293945</v>
      </c>
      <c r="T244">
        <v>0</v>
      </c>
      <c r="U244">
        <f t="shared" si="13"/>
        <v>11.938193200374572</v>
      </c>
      <c r="V244">
        <f t="shared" si="14"/>
        <v>8.5519810169019017</v>
      </c>
      <c r="W244">
        <v>0</v>
      </c>
      <c r="X244">
        <v>1</v>
      </c>
      <c r="Y244">
        <v>1</v>
      </c>
      <c r="Z244">
        <f>'Résultat (Ln)'!F$30+'Résultat (Ln)'!F$31*Données!S244+'Résultat (Ln)'!F$32*Données!T244+'Résultat (Ln)'!F$33*Données!U244+'Résultat (Ln)'!F$34*Données!V244+'Résultat (Ln)'!F$35*Données!W244+'Résultat (Ln)'!F$36*Données!X244+'Résultat (Ln)'!F$37*Données!Y244</f>
        <v>139331.43323516165</v>
      </c>
      <c r="AA244">
        <f t="shared" si="15"/>
        <v>-1331.4332351616467</v>
      </c>
    </row>
    <row r="245" spans="1:27" x14ac:dyDescent="0.25">
      <c r="A245">
        <v>81000</v>
      </c>
      <c r="B245">
        <v>1</v>
      </c>
      <c r="C245">
        <v>28</v>
      </c>
      <c r="D245">
        <v>0</v>
      </c>
      <c r="E245">
        <v>90000</v>
      </c>
      <c r="F245">
        <v>3500</v>
      </c>
      <c r="G245">
        <v>0</v>
      </c>
      <c r="H245">
        <v>0</v>
      </c>
      <c r="I245">
        <v>1</v>
      </c>
      <c r="J245">
        <v>25</v>
      </c>
      <c r="K245">
        <v>1</v>
      </c>
      <c r="L245">
        <f>Résultats!G$32+Résultats!G$33*Données!C245+Résultats!G$34*Données!D245+Résultats!G$35*Données!E245+Résultats!G$36*Données!F245+Résultats!G$37*Données!G245+Résultats!G$38*Données!H245+Résultats!G$39*Données!I245</f>
        <v>87457.883428831759</v>
      </c>
      <c r="M245">
        <f t="shared" si="12"/>
        <v>-6457.8834288317594</v>
      </c>
      <c r="Q245">
        <v>93000</v>
      </c>
      <c r="R245">
        <v>1</v>
      </c>
      <c r="S245">
        <v>95</v>
      </c>
      <c r="T245">
        <v>0</v>
      </c>
      <c r="U245">
        <f t="shared" si="13"/>
        <v>12.043553716032399</v>
      </c>
      <c r="V245">
        <f t="shared" si="14"/>
        <v>8.279189777195004</v>
      </c>
      <c r="W245">
        <v>1</v>
      </c>
      <c r="X245">
        <v>0</v>
      </c>
      <c r="Y245">
        <v>1</v>
      </c>
      <c r="Z245">
        <f>'Résultat (Ln)'!F$30+'Résultat (Ln)'!F$31*Données!S245+'Résultat (Ln)'!F$32*Données!T245+'Résultat (Ln)'!F$33*Données!U245+'Résultat (Ln)'!F$34*Données!V245+'Résultat (Ln)'!F$35*Données!W245+'Résultat (Ln)'!F$36*Données!X245+'Résultat (Ln)'!F$37*Données!Y245</f>
        <v>228076.83157329942</v>
      </c>
      <c r="AA245">
        <f t="shared" si="15"/>
        <v>-135076.83157329942</v>
      </c>
    </row>
    <row r="246" spans="1:27" x14ac:dyDescent="0.25">
      <c r="A246">
        <v>151000</v>
      </c>
      <c r="B246">
        <v>1</v>
      </c>
      <c r="C246">
        <v>39</v>
      </c>
      <c r="D246">
        <v>0</v>
      </c>
      <c r="E246">
        <v>168000</v>
      </c>
      <c r="F246">
        <v>2517</v>
      </c>
      <c r="G246">
        <v>1</v>
      </c>
      <c r="H246">
        <v>0</v>
      </c>
      <c r="I246">
        <v>1</v>
      </c>
      <c r="J246">
        <v>25</v>
      </c>
      <c r="K246">
        <v>1</v>
      </c>
      <c r="L246">
        <f>Résultats!G$32+Résultats!G$33*Données!C246+Résultats!G$34*Données!D246+Résultats!G$35*Données!E246+Résultats!G$36*Données!F246+Résultats!G$37*Données!G246+Résultats!G$38*Données!H246+Résultats!G$39*Données!I246</f>
        <v>141627.38605610188</v>
      </c>
      <c r="M246">
        <f t="shared" si="12"/>
        <v>9372.613943898119</v>
      </c>
      <c r="Q246">
        <v>81000</v>
      </c>
      <c r="R246">
        <v>1</v>
      </c>
      <c r="S246">
        <v>28</v>
      </c>
      <c r="T246">
        <v>0</v>
      </c>
      <c r="U246">
        <f t="shared" si="13"/>
        <v>11.407564949312402</v>
      </c>
      <c r="V246">
        <f t="shared" si="14"/>
        <v>8.1605182474775049</v>
      </c>
      <c r="W246">
        <v>0</v>
      </c>
      <c r="X246">
        <v>0</v>
      </c>
      <c r="Y246">
        <v>1</v>
      </c>
      <c r="Z246">
        <f>'Résultat (Ln)'!F$30+'Résultat (Ln)'!F$31*Données!S246+'Résultat (Ln)'!F$32*Données!T246+'Résultat (Ln)'!F$33*Données!U246+'Résultat (Ln)'!F$34*Données!V246+'Résultat (Ln)'!F$35*Données!W246+'Résultat (Ln)'!F$36*Données!X246+'Résultat (Ln)'!F$37*Données!Y246</f>
        <v>70182.642545224953</v>
      </c>
      <c r="AA246">
        <f t="shared" si="15"/>
        <v>10817.357454775047</v>
      </c>
    </row>
    <row r="247" spans="1:27" x14ac:dyDescent="0.25">
      <c r="A247">
        <v>95000</v>
      </c>
      <c r="B247">
        <v>1</v>
      </c>
      <c r="C247">
        <v>21</v>
      </c>
      <c r="D247">
        <v>1</v>
      </c>
      <c r="E247">
        <v>155000</v>
      </c>
      <c r="F247">
        <v>4755</v>
      </c>
      <c r="G247">
        <v>1</v>
      </c>
      <c r="H247">
        <v>0</v>
      </c>
      <c r="I247">
        <v>1</v>
      </c>
      <c r="J247">
        <v>21</v>
      </c>
      <c r="K247">
        <v>1</v>
      </c>
      <c r="L247">
        <f>Résultats!G$32+Résultats!G$33*Données!C247+Résultats!G$34*Données!D247+Résultats!G$35*Données!E247+Résultats!G$36*Données!F247+Résultats!G$37*Données!G247+Résultats!G$38*Données!H247+Résultats!G$39*Données!I247</f>
        <v>124065.94357909069</v>
      </c>
      <c r="M247">
        <f t="shared" si="12"/>
        <v>-29065.943579090686</v>
      </c>
      <c r="Q247">
        <v>151000</v>
      </c>
      <c r="R247">
        <v>1</v>
      </c>
      <c r="S247">
        <v>39</v>
      </c>
      <c r="T247">
        <v>0</v>
      </c>
      <c r="U247">
        <f t="shared" si="13"/>
        <v>12.031719258385396</v>
      </c>
      <c r="V247">
        <f t="shared" si="14"/>
        <v>7.8308229951353159</v>
      </c>
      <c r="W247">
        <v>1</v>
      </c>
      <c r="X247">
        <v>0</v>
      </c>
      <c r="Y247">
        <v>1</v>
      </c>
      <c r="Z247">
        <f>'Résultat (Ln)'!F$30+'Résultat (Ln)'!F$31*Données!S247+'Résultat (Ln)'!F$32*Données!T247+'Résultat (Ln)'!F$33*Données!U247+'Résultat (Ln)'!F$34*Données!V247+'Résultat (Ln)'!F$35*Données!W247+'Résultat (Ln)'!F$36*Données!X247+'Résultat (Ln)'!F$37*Données!Y247</f>
        <v>145799.13398641901</v>
      </c>
      <c r="AA247">
        <f t="shared" si="15"/>
        <v>5200.8660135809914</v>
      </c>
    </row>
    <row r="248" spans="1:27" x14ac:dyDescent="0.25">
      <c r="A248">
        <v>96000</v>
      </c>
      <c r="B248">
        <v>1</v>
      </c>
      <c r="C248">
        <v>26.29999923706055</v>
      </c>
      <c r="D248">
        <v>0</v>
      </c>
      <c r="E248">
        <v>156000</v>
      </c>
      <c r="F248">
        <v>2188</v>
      </c>
      <c r="G248">
        <v>1</v>
      </c>
      <c r="H248">
        <v>0</v>
      </c>
      <c r="I248">
        <v>0</v>
      </c>
      <c r="J248">
        <v>22.60000038146973</v>
      </c>
      <c r="K248">
        <v>1</v>
      </c>
      <c r="L248">
        <f>Résultats!G$32+Résultats!G$33*Données!C248+Résultats!G$34*Données!D248+Résultats!G$35*Données!E248+Résultats!G$36*Données!F248+Résultats!G$37*Données!G248+Résultats!G$38*Données!H248+Résultats!G$39*Données!I248</f>
        <v>110872.84324056678</v>
      </c>
      <c r="M248">
        <f t="shared" si="12"/>
        <v>-14872.843240566785</v>
      </c>
      <c r="Q248">
        <v>95000</v>
      </c>
      <c r="R248">
        <v>1</v>
      </c>
      <c r="S248">
        <v>21</v>
      </c>
      <c r="T248">
        <v>1</v>
      </c>
      <c r="U248">
        <f t="shared" si="13"/>
        <v>11.951180395901384</v>
      </c>
      <c r="V248">
        <f t="shared" si="14"/>
        <v>8.4669519749794908</v>
      </c>
      <c r="W248">
        <v>1</v>
      </c>
      <c r="X248">
        <v>0</v>
      </c>
      <c r="Y248">
        <v>1</v>
      </c>
      <c r="Z248">
        <f>'Résultat (Ln)'!F$30+'Résultat (Ln)'!F$31*Données!S248+'Résultat (Ln)'!F$32*Données!T248+'Résultat (Ln)'!F$33*Données!U248+'Résultat (Ln)'!F$34*Données!V248+'Résultat (Ln)'!F$35*Données!W248+'Résultat (Ln)'!F$36*Données!X248+'Résultat (Ln)'!F$37*Données!Y248</f>
        <v>137358.54116743867</v>
      </c>
      <c r="AA248">
        <f t="shared" si="15"/>
        <v>-42358.541167438671</v>
      </c>
    </row>
    <row r="249" spans="1:27" x14ac:dyDescent="0.25">
      <c r="A249">
        <v>100000</v>
      </c>
      <c r="B249">
        <v>1</v>
      </c>
      <c r="C249">
        <v>33.700000762939453</v>
      </c>
      <c r="D249">
        <v>0</v>
      </c>
      <c r="E249">
        <v>234000</v>
      </c>
      <c r="F249">
        <v>3000</v>
      </c>
      <c r="G249">
        <v>1</v>
      </c>
      <c r="H249">
        <v>0</v>
      </c>
      <c r="I249">
        <v>0</v>
      </c>
      <c r="J249">
        <v>31.39999961853027</v>
      </c>
      <c r="K249">
        <v>0</v>
      </c>
      <c r="L249">
        <f>Résultats!G$32+Résultats!G$33*Données!C249+Résultats!G$34*Données!D249+Résultats!G$35*Données!E249+Résultats!G$36*Données!F249+Résultats!G$37*Données!G249+Résultats!G$38*Données!H249+Résultats!G$39*Données!I249</f>
        <v>157368.84409622801</v>
      </c>
      <c r="M249">
        <f t="shared" si="12"/>
        <v>-57368.844096228015</v>
      </c>
      <c r="Q249">
        <v>96000</v>
      </c>
      <c r="R249">
        <v>1</v>
      </c>
      <c r="S249">
        <v>26.29999923706055</v>
      </c>
      <c r="T249">
        <v>0</v>
      </c>
      <c r="U249">
        <f t="shared" si="13"/>
        <v>11.957611286231675</v>
      </c>
      <c r="V249">
        <f t="shared" si="14"/>
        <v>7.6907431635418719</v>
      </c>
      <c r="W249">
        <v>1</v>
      </c>
      <c r="X249">
        <v>0</v>
      </c>
      <c r="Y249">
        <v>0</v>
      </c>
      <c r="Z249">
        <f>'Résultat (Ln)'!F$30+'Résultat (Ln)'!F$31*Données!S249+'Résultat (Ln)'!F$32*Données!T249+'Résultat (Ln)'!F$33*Données!U249+'Résultat (Ln)'!F$34*Données!V249+'Résultat (Ln)'!F$35*Données!W249+'Résultat (Ln)'!F$36*Données!X249+'Résultat (Ln)'!F$37*Données!Y249</f>
        <v>104319.58582840748</v>
      </c>
      <c r="AA249">
        <f t="shared" si="15"/>
        <v>-8319.5858284074784</v>
      </c>
    </row>
    <row r="250" spans="1:27" x14ac:dyDescent="0.25">
      <c r="A250">
        <v>187000</v>
      </c>
      <c r="B250">
        <v>1</v>
      </c>
      <c r="C250">
        <v>29.20000076293945</v>
      </c>
      <c r="D250">
        <v>0</v>
      </c>
      <c r="E250">
        <v>259000</v>
      </c>
      <c r="F250">
        <v>5266</v>
      </c>
      <c r="G250">
        <v>1</v>
      </c>
      <c r="H250">
        <v>0</v>
      </c>
      <c r="I250">
        <v>0</v>
      </c>
      <c r="J250">
        <v>26.25</v>
      </c>
      <c r="K250">
        <v>1</v>
      </c>
      <c r="L250">
        <f>Résultats!G$32+Résultats!G$33*Données!C250+Résultats!G$34*Données!D250+Résultats!G$35*Données!E250+Résultats!G$36*Données!F250+Résultats!G$37*Données!G250+Résultats!G$38*Données!H250+Résultats!G$39*Données!I250</f>
        <v>168264.68527781637</v>
      </c>
      <c r="M250">
        <f t="shared" si="12"/>
        <v>18735.314722183626</v>
      </c>
      <c r="Q250">
        <v>100000</v>
      </c>
      <c r="R250">
        <v>1</v>
      </c>
      <c r="S250">
        <v>33.700000762939453</v>
      </c>
      <c r="T250">
        <v>0</v>
      </c>
      <c r="U250">
        <f t="shared" si="13"/>
        <v>12.363076394339839</v>
      </c>
      <c r="V250">
        <f t="shared" si="14"/>
        <v>8.0063675676502459</v>
      </c>
      <c r="W250">
        <v>1</v>
      </c>
      <c r="X250">
        <v>0</v>
      </c>
      <c r="Y250">
        <v>0</v>
      </c>
      <c r="Z250">
        <f>'Résultat (Ln)'!F$30+'Résultat (Ln)'!F$31*Données!S250+'Résultat (Ln)'!F$32*Données!T250+'Résultat (Ln)'!F$33*Données!U250+'Résultat (Ln)'!F$34*Données!V250+'Résultat (Ln)'!F$35*Données!W250+'Résultat (Ln)'!F$36*Données!X250+'Résultat (Ln)'!F$37*Données!Y250</f>
        <v>165678.68944799816</v>
      </c>
      <c r="AA250">
        <f t="shared" si="15"/>
        <v>-65678.689447998157</v>
      </c>
    </row>
    <row r="251" spans="1:27" x14ac:dyDescent="0.25">
      <c r="A251">
        <v>124000</v>
      </c>
      <c r="B251">
        <v>1</v>
      </c>
      <c r="C251">
        <v>21.89999961853027</v>
      </c>
      <c r="D251">
        <v>0</v>
      </c>
      <c r="E251">
        <v>155000</v>
      </c>
      <c r="F251">
        <v>3685</v>
      </c>
      <c r="G251">
        <v>1</v>
      </c>
      <c r="H251">
        <v>0</v>
      </c>
      <c r="I251">
        <v>0</v>
      </c>
      <c r="J251">
        <v>20.95000076293945</v>
      </c>
      <c r="K251">
        <v>0</v>
      </c>
      <c r="L251">
        <f>Résultats!G$32+Résultats!G$33*Données!C251+Résultats!G$34*Données!D251+Résultats!G$35*Données!E251+Résultats!G$36*Données!F251+Résultats!G$37*Données!G251+Résultats!G$38*Données!H251+Résultats!G$39*Données!I251</f>
        <v>108252.60842849557</v>
      </c>
      <c r="M251">
        <f t="shared" si="12"/>
        <v>15747.391571504428</v>
      </c>
      <c r="Q251">
        <v>187000</v>
      </c>
      <c r="R251">
        <v>1</v>
      </c>
      <c r="S251">
        <v>29.20000076293945</v>
      </c>
      <c r="T251">
        <v>0</v>
      </c>
      <c r="U251">
        <f t="shared" si="13"/>
        <v>12.464583340681674</v>
      </c>
      <c r="V251">
        <f t="shared" si="14"/>
        <v>8.5690263400562543</v>
      </c>
      <c r="W251">
        <v>1</v>
      </c>
      <c r="X251">
        <v>0</v>
      </c>
      <c r="Y251">
        <v>0</v>
      </c>
      <c r="Z251">
        <f>'Résultat (Ln)'!F$30+'Résultat (Ln)'!F$31*Données!S251+'Résultat (Ln)'!F$32*Données!T251+'Résultat (Ln)'!F$33*Données!U251+'Résultat (Ln)'!F$34*Données!V251+'Résultat (Ln)'!F$35*Données!W251+'Résultat (Ln)'!F$36*Données!X251+'Résultat (Ln)'!F$37*Données!Y251</f>
        <v>186840.81108523431</v>
      </c>
      <c r="AA251">
        <f t="shared" si="15"/>
        <v>159.18891476569115</v>
      </c>
    </row>
    <row r="252" spans="1:27" x14ac:dyDescent="0.25">
      <c r="A252">
        <v>113000</v>
      </c>
      <c r="B252">
        <v>1</v>
      </c>
      <c r="C252">
        <v>34.200000762939453</v>
      </c>
      <c r="D252">
        <v>0</v>
      </c>
      <c r="E252">
        <v>125000</v>
      </c>
      <c r="F252">
        <v>3750</v>
      </c>
      <c r="G252">
        <v>0</v>
      </c>
      <c r="H252">
        <v>0</v>
      </c>
      <c r="I252">
        <v>1</v>
      </c>
      <c r="J252">
        <v>25.329999923706058</v>
      </c>
      <c r="K252">
        <v>1</v>
      </c>
      <c r="L252">
        <f>Résultats!G$32+Résultats!G$33*Données!C252+Résultats!G$34*Données!D252+Résultats!G$35*Données!E252+Résultats!G$36*Données!F252+Résultats!G$37*Données!G252+Résultats!G$38*Données!H252+Résultats!G$39*Données!I252</f>
        <v>111407.45190070831</v>
      </c>
      <c r="M252">
        <f t="shared" si="12"/>
        <v>1592.5480992916855</v>
      </c>
      <c r="Q252">
        <v>124000</v>
      </c>
      <c r="R252">
        <v>1</v>
      </c>
      <c r="S252">
        <v>21.89999961853027</v>
      </c>
      <c r="T252">
        <v>0</v>
      </c>
      <c r="U252">
        <f t="shared" si="13"/>
        <v>11.951180395901384</v>
      </c>
      <c r="V252">
        <f t="shared" si="14"/>
        <v>8.2120258046234369</v>
      </c>
      <c r="W252">
        <v>1</v>
      </c>
      <c r="X252">
        <v>0</v>
      </c>
      <c r="Y252">
        <v>0</v>
      </c>
      <c r="Z252">
        <f>'Résultat (Ln)'!F$30+'Résultat (Ln)'!F$31*Données!S252+'Résultat (Ln)'!F$32*Données!T252+'Résultat (Ln)'!F$33*Données!U252+'Résultat (Ln)'!F$34*Données!V252+'Résultat (Ln)'!F$35*Données!W252+'Résultat (Ln)'!F$36*Données!X252+'Résultat (Ln)'!F$37*Données!Y252</f>
        <v>112873.02808255515</v>
      </c>
      <c r="AA252">
        <f t="shared" si="15"/>
        <v>11126.971917444855</v>
      </c>
    </row>
    <row r="253" spans="1:27" x14ac:dyDescent="0.25">
      <c r="A253">
        <v>176000</v>
      </c>
      <c r="B253">
        <v>1</v>
      </c>
      <c r="C253">
        <v>33</v>
      </c>
      <c r="D253">
        <v>0</v>
      </c>
      <c r="E253">
        <v>208000</v>
      </c>
      <c r="F253">
        <v>3750</v>
      </c>
      <c r="G253">
        <v>0</v>
      </c>
      <c r="H253">
        <v>0</v>
      </c>
      <c r="I253">
        <v>0</v>
      </c>
      <c r="J253">
        <v>20</v>
      </c>
      <c r="K253">
        <v>1</v>
      </c>
      <c r="L253">
        <f>Résultats!G$32+Résultats!G$33*Données!C253+Résultats!G$34*Données!D253+Résultats!G$35*Données!E253+Résultats!G$36*Données!F253+Résultats!G$37*Données!G253+Résultats!G$38*Données!H253+Résultats!G$39*Données!I253</f>
        <v>138860.71101225974</v>
      </c>
      <c r="M253">
        <f t="shared" si="12"/>
        <v>37139.288987740263</v>
      </c>
      <c r="Q253">
        <v>113000</v>
      </c>
      <c r="R253">
        <v>1</v>
      </c>
      <c r="S253">
        <v>34.200000762939453</v>
      </c>
      <c r="T253">
        <v>0</v>
      </c>
      <c r="U253">
        <f t="shared" si="13"/>
        <v>11.736069016284437</v>
      </c>
      <c r="V253">
        <f t="shared" si="14"/>
        <v>8.2295111189644565</v>
      </c>
      <c r="W253">
        <v>0</v>
      </c>
      <c r="X253">
        <v>0</v>
      </c>
      <c r="Y253">
        <v>1</v>
      </c>
      <c r="Z253">
        <f>'Résultat (Ln)'!F$30+'Résultat (Ln)'!F$31*Données!S253+'Résultat (Ln)'!F$32*Données!T253+'Résultat (Ln)'!F$33*Données!U253+'Résultat (Ln)'!F$34*Données!V253+'Résultat (Ln)'!F$35*Données!W253+'Résultat (Ln)'!F$36*Données!X253+'Résultat (Ln)'!F$37*Données!Y253</f>
        <v>114908.43679244307</v>
      </c>
      <c r="AA253">
        <f t="shared" si="15"/>
        <v>-1908.4367924430699</v>
      </c>
    </row>
    <row r="254" spans="1:27" x14ac:dyDescent="0.25">
      <c r="A254">
        <v>118000</v>
      </c>
      <c r="B254">
        <v>1</v>
      </c>
      <c r="C254">
        <v>32</v>
      </c>
      <c r="D254">
        <v>0</v>
      </c>
      <c r="E254">
        <v>128000</v>
      </c>
      <c r="F254">
        <v>4120</v>
      </c>
      <c r="G254">
        <v>0</v>
      </c>
      <c r="H254">
        <v>0</v>
      </c>
      <c r="I254">
        <v>1</v>
      </c>
      <c r="J254">
        <v>29</v>
      </c>
      <c r="K254">
        <v>0</v>
      </c>
      <c r="L254">
        <f>Résultats!G$32+Résultats!G$33*Données!C254+Résultats!G$34*Données!D254+Résultats!G$35*Données!E254+Résultats!G$36*Données!F254+Résultats!G$37*Données!G254+Résultats!G$38*Données!H254+Résultats!G$39*Données!I254</f>
        <v>110998.21732163086</v>
      </c>
      <c r="M254">
        <f t="shared" si="12"/>
        <v>7001.7826783691416</v>
      </c>
      <c r="Q254">
        <v>176000</v>
      </c>
      <c r="R254">
        <v>1</v>
      </c>
      <c r="S254">
        <v>33</v>
      </c>
      <c r="T254">
        <v>0</v>
      </c>
      <c r="U254">
        <f t="shared" si="13"/>
        <v>12.245293358683455</v>
      </c>
      <c r="V254">
        <f t="shared" si="14"/>
        <v>8.2295111189644565</v>
      </c>
      <c r="W254">
        <v>0</v>
      </c>
      <c r="X254">
        <v>0</v>
      </c>
      <c r="Y254">
        <v>0</v>
      </c>
      <c r="Z254">
        <f>'Résultat (Ln)'!F$30+'Résultat (Ln)'!F$31*Données!S254+'Résultat (Ln)'!F$32*Données!T254+'Résultat (Ln)'!F$33*Données!U254+'Résultat (Ln)'!F$34*Données!V254+'Résultat (Ln)'!F$35*Données!W254+'Résultat (Ln)'!F$36*Données!X254+'Résultat (Ln)'!F$37*Données!Y254</f>
        <v>153941.64757856299</v>
      </c>
      <c r="AA254">
        <f t="shared" si="15"/>
        <v>22058.352421437012</v>
      </c>
    </row>
    <row r="255" spans="1:27" x14ac:dyDescent="0.25">
      <c r="A255">
        <v>115000</v>
      </c>
      <c r="B255">
        <v>1</v>
      </c>
      <c r="C255">
        <v>26</v>
      </c>
      <c r="D255">
        <v>0</v>
      </c>
      <c r="E255">
        <v>130000</v>
      </c>
      <c r="F255">
        <v>2860</v>
      </c>
      <c r="G255">
        <v>1</v>
      </c>
      <c r="H255">
        <v>0</v>
      </c>
      <c r="I255">
        <v>1</v>
      </c>
      <c r="J255">
        <v>26</v>
      </c>
      <c r="K255">
        <v>1</v>
      </c>
      <c r="L255">
        <f>Résultats!G$32+Résultats!G$33*Données!C255+Résultats!G$34*Données!D255+Résultats!G$35*Données!E255+Résultats!G$36*Données!F255+Résultats!G$37*Données!G255+Résultats!G$38*Données!H255+Résultats!G$39*Données!I255</f>
        <v>109615.10798446601</v>
      </c>
      <c r="M255">
        <f t="shared" si="12"/>
        <v>5384.8920155339874</v>
      </c>
      <c r="Q255">
        <v>118000</v>
      </c>
      <c r="R255">
        <v>1</v>
      </c>
      <c r="S255">
        <v>32</v>
      </c>
      <c r="T255">
        <v>0</v>
      </c>
      <c r="U255">
        <f t="shared" si="13"/>
        <v>11.759785542901755</v>
      </c>
      <c r="V255">
        <f t="shared" si="14"/>
        <v>8.3236084423435717</v>
      </c>
      <c r="W255">
        <v>0</v>
      </c>
      <c r="X255">
        <v>0</v>
      </c>
      <c r="Y255">
        <v>1</v>
      </c>
      <c r="Z255">
        <f>'Résultat (Ln)'!F$30+'Résultat (Ln)'!F$31*Données!S255+'Résultat (Ln)'!F$32*Données!T255+'Résultat (Ln)'!F$33*Données!U255+'Résultat (Ln)'!F$34*Données!V255+'Résultat (Ln)'!F$35*Données!W255+'Résultat (Ln)'!F$36*Données!X255+'Résultat (Ln)'!F$37*Données!Y255</f>
        <v>117401.28627302736</v>
      </c>
      <c r="AA255">
        <f t="shared" si="15"/>
        <v>598.71372697263723</v>
      </c>
    </row>
    <row r="256" spans="1:27" x14ac:dyDescent="0.25">
      <c r="A256">
        <v>110000</v>
      </c>
      <c r="B256">
        <v>1</v>
      </c>
      <c r="C256">
        <v>45</v>
      </c>
      <c r="D256">
        <v>0</v>
      </c>
      <c r="E256">
        <v>50000</v>
      </c>
      <c r="F256">
        <v>1000</v>
      </c>
      <c r="G256">
        <v>1</v>
      </c>
      <c r="H256">
        <v>0</v>
      </c>
      <c r="I256">
        <v>1</v>
      </c>
      <c r="J256">
        <v>29</v>
      </c>
      <c r="K256">
        <v>1</v>
      </c>
      <c r="L256">
        <f>Résultats!G$32+Résultats!G$33*Données!C256+Résultats!G$34*Données!D256+Résultats!G$35*Données!E256+Résultats!G$36*Données!F256+Résultats!G$37*Données!G256+Résultats!G$38*Données!H256+Résultats!G$39*Données!I256</f>
        <v>90479.299193587518</v>
      </c>
      <c r="M256">
        <f t="shared" si="12"/>
        <v>19520.700806412482</v>
      </c>
      <c r="Q256">
        <v>115000</v>
      </c>
      <c r="R256">
        <v>1</v>
      </c>
      <c r="S256">
        <v>26</v>
      </c>
      <c r="T256">
        <v>0</v>
      </c>
      <c r="U256">
        <f t="shared" si="13"/>
        <v>11.77528972943772</v>
      </c>
      <c r="V256">
        <f t="shared" si="14"/>
        <v>7.9585769038138983</v>
      </c>
      <c r="W256">
        <v>1</v>
      </c>
      <c r="X256">
        <v>0</v>
      </c>
      <c r="Y256">
        <v>1</v>
      </c>
      <c r="Z256">
        <f>'Résultat (Ln)'!F$30+'Résultat (Ln)'!F$31*Données!S256+'Résultat (Ln)'!F$32*Données!T256+'Résultat (Ln)'!F$33*Données!U256+'Résultat (Ln)'!F$34*Données!V256+'Résultat (Ln)'!F$35*Données!W256+'Résultat (Ln)'!F$36*Données!X256+'Résultat (Ln)'!F$37*Données!Y256</f>
        <v>106007.45245155388</v>
      </c>
      <c r="AA256">
        <f t="shared" si="15"/>
        <v>8992.5475484461203</v>
      </c>
    </row>
    <row r="257" spans="1:27" x14ac:dyDescent="0.25">
      <c r="A257">
        <v>187000</v>
      </c>
      <c r="B257">
        <v>1</v>
      </c>
      <c r="C257">
        <v>28.5</v>
      </c>
      <c r="D257">
        <v>0</v>
      </c>
      <c r="E257">
        <v>285000</v>
      </c>
      <c r="F257">
        <v>5008</v>
      </c>
      <c r="G257">
        <v>1</v>
      </c>
      <c r="H257">
        <v>0</v>
      </c>
      <c r="I257">
        <v>1</v>
      </c>
      <c r="J257">
        <v>28.5</v>
      </c>
      <c r="K257">
        <v>1</v>
      </c>
      <c r="L257">
        <f>Résultats!G$32+Résultats!G$33*Données!C257+Résultats!G$34*Données!D257+Résultats!G$35*Données!E257+Résultats!G$36*Données!F257+Résultats!G$37*Données!G257+Résultats!G$38*Données!H257+Résultats!G$39*Données!I257</f>
        <v>189026.90783815997</v>
      </c>
      <c r="M257">
        <f t="shared" si="12"/>
        <v>-2026.9078381599684</v>
      </c>
      <c r="Q257">
        <v>110000</v>
      </c>
      <c r="R257">
        <v>1</v>
      </c>
      <c r="S257">
        <v>45</v>
      </c>
      <c r="T257">
        <v>0</v>
      </c>
      <c r="U257">
        <f t="shared" si="13"/>
        <v>10.819778284410283</v>
      </c>
      <c r="V257">
        <f t="shared" si="14"/>
        <v>6.9077552789821368</v>
      </c>
      <c r="W257">
        <v>1</v>
      </c>
      <c r="X257">
        <v>0</v>
      </c>
      <c r="Y257">
        <v>1</v>
      </c>
      <c r="Z257">
        <f>'Résultat (Ln)'!F$30+'Résultat (Ln)'!F$31*Données!S257+'Résultat (Ln)'!F$32*Données!T257+'Résultat (Ln)'!F$33*Données!U257+'Résultat (Ln)'!F$34*Données!V257+'Résultat (Ln)'!F$35*Données!W257+'Résultat (Ln)'!F$36*Données!X257+'Résultat (Ln)'!F$37*Données!Y257</f>
        <v>-2671.4853149824849</v>
      </c>
      <c r="AA257">
        <f t="shared" si="15"/>
        <v>112671.48531498248</v>
      </c>
    </row>
    <row r="258" spans="1:27" x14ac:dyDescent="0.25">
      <c r="A258">
        <v>135000</v>
      </c>
      <c r="B258">
        <v>1</v>
      </c>
      <c r="C258">
        <v>25</v>
      </c>
      <c r="D258">
        <v>0</v>
      </c>
      <c r="E258">
        <v>220000</v>
      </c>
      <c r="F258">
        <v>3517</v>
      </c>
      <c r="G258">
        <v>0</v>
      </c>
      <c r="H258">
        <v>0</v>
      </c>
      <c r="I258">
        <v>0</v>
      </c>
      <c r="J258">
        <v>24</v>
      </c>
      <c r="K258">
        <v>1</v>
      </c>
      <c r="L258">
        <f>Résultats!G$32+Résultats!G$33*Données!C258+Résultats!G$34*Données!D258+Résultats!G$35*Données!E258+Résultats!G$36*Données!F258+Résultats!G$37*Données!G258+Résultats!G$38*Données!H258+Résultats!G$39*Données!I258</f>
        <v>134823.28274716821</v>
      </c>
      <c r="M258">
        <f t="shared" si="12"/>
        <v>176.71725283178966</v>
      </c>
      <c r="Q258">
        <v>187000</v>
      </c>
      <c r="R258">
        <v>1</v>
      </c>
      <c r="S258">
        <v>28.5</v>
      </c>
      <c r="T258">
        <v>0</v>
      </c>
      <c r="U258">
        <f t="shared" si="13"/>
        <v>12.560244459250788</v>
      </c>
      <c r="V258">
        <f t="shared" si="14"/>
        <v>8.5187919127799336</v>
      </c>
      <c r="W258">
        <v>1</v>
      </c>
      <c r="X258">
        <v>0</v>
      </c>
      <c r="Y258">
        <v>1</v>
      </c>
      <c r="Z258">
        <f>'Résultat (Ln)'!F$30+'Résultat (Ln)'!F$31*Données!S258+'Résultat (Ln)'!F$32*Données!T258+'Résultat (Ln)'!F$33*Données!U258+'Résultat (Ln)'!F$34*Données!V258+'Résultat (Ln)'!F$35*Données!W258+'Résultat (Ln)'!F$36*Données!X258+'Résultat (Ln)'!F$37*Données!Y258</f>
        <v>208917.89583797831</v>
      </c>
      <c r="AA258">
        <f t="shared" si="15"/>
        <v>-21917.895837978314</v>
      </c>
    </row>
    <row r="259" spans="1:27" x14ac:dyDescent="0.25">
      <c r="A259">
        <v>109000</v>
      </c>
      <c r="B259">
        <v>1</v>
      </c>
      <c r="C259">
        <v>22</v>
      </c>
      <c r="D259">
        <v>0</v>
      </c>
      <c r="E259">
        <v>157000</v>
      </c>
      <c r="F259">
        <v>2916</v>
      </c>
      <c r="G259">
        <v>0</v>
      </c>
      <c r="H259">
        <v>0</v>
      </c>
      <c r="I259">
        <v>0</v>
      </c>
      <c r="J259">
        <v>22</v>
      </c>
      <c r="K259">
        <v>1</v>
      </c>
      <c r="L259">
        <f>Résultats!G$32+Résultats!G$33*Données!C259+Résultats!G$34*Données!D259+Résultats!G$35*Données!E259+Résultats!G$36*Données!F259+Résultats!G$37*Données!G259+Résultats!G$38*Données!H259+Résultats!G$39*Données!I259</f>
        <v>100794.60547662069</v>
      </c>
      <c r="M259">
        <f t="shared" ref="M259:M322" si="16">A259-L259</f>
        <v>8205.3945233793056</v>
      </c>
      <c r="Q259">
        <v>135000</v>
      </c>
      <c r="R259">
        <v>1</v>
      </c>
      <c r="S259">
        <v>25</v>
      </c>
      <c r="T259">
        <v>0</v>
      </c>
      <c r="U259">
        <f t="shared" si="13"/>
        <v>12.301382825334498</v>
      </c>
      <c r="V259">
        <f t="shared" si="14"/>
        <v>8.1653636324739818</v>
      </c>
      <c r="W259">
        <v>0</v>
      </c>
      <c r="X259">
        <v>0</v>
      </c>
      <c r="Y259">
        <v>0</v>
      </c>
      <c r="Z259">
        <f>'Résultat (Ln)'!F$30+'Résultat (Ln)'!F$31*Données!S259+'Résultat (Ln)'!F$32*Données!T259+'Résultat (Ln)'!F$33*Données!U259+'Résultat (Ln)'!F$34*Données!V259+'Résultat (Ln)'!F$35*Données!W259+'Résultat (Ln)'!F$36*Données!X259+'Résultat (Ln)'!F$37*Données!Y259</f>
        <v>148378.79484867185</v>
      </c>
      <c r="AA259">
        <f t="shared" si="15"/>
        <v>-13378.794848671852</v>
      </c>
    </row>
    <row r="260" spans="1:27" x14ac:dyDescent="0.25">
      <c r="A260">
        <v>180000</v>
      </c>
      <c r="B260">
        <v>1</v>
      </c>
      <c r="C260">
        <v>56</v>
      </c>
      <c r="D260">
        <v>1</v>
      </c>
      <c r="E260">
        <v>70000</v>
      </c>
      <c r="F260">
        <v>3167</v>
      </c>
      <c r="G260">
        <v>1</v>
      </c>
      <c r="H260">
        <v>0</v>
      </c>
      <c r="I260">
        <v>1</v>
      </c>
      <c r="J260">
        <v>17</v>
      </c>
      <c r="K260">
        <v>1</v>
      </c>
      <c r="L260">
        <f>Résultats!G$32+Résultats!G$33*Données!C260+Résultats!G$34*Données!D260+Résultats!G$35*Données!E260+Résultats!G$36*Données!F260+Résultats!G$37*Données!G260+Résultats!G$38*Données!H260+Résultats!G$39*Données!I260</f>
        <v>121501.17267421837</v>
      </c>
      <c r="M260">
        <f t="shared" si="16"/>
        <v>58498.827325781633</v>
      </c>
      <c r="Q260">
        <v>109000</v>
      </c>
      <c r="R260">
        <v>1</v>
      </c>
      <c r="S260">
        <v>22</v>
      </c>
      <c r="T260">
        <v>0</v>
      </c>
      <c r="U260">
        <f t="shared" ref="U260:U323" si="17">LN(E259)</f>
        <v>11.964001084330445</v>
      </c>
      <c r="V260">
        <f t="shared" ref="V260:V323" si="18">LN(F259)</f>
        <v>7.977968093128549</v>
      </c>
      <c r="W260">
        <v>0</v>
      </c>
      <c r="X260">
        <v>0</v>
      </c>
      <c r="Y260">
        <v>0</v>
      </c>
      <c r="Z260">
        <f>'Résultat (Ln)'!F$30+'Résultat (Ln)'!F$31*Données!S260+'Résultat (Ln)'!F$32*Données!T260+'Résultat (Ln)'!F$33*Données!U260+'Résultat (Ln)'!F$34*Données!V260+'Résultat (Ln)'!F$35*Données!W260+'Résultat (Ln)'!F$36*Données!X260+'Résultat (Ln)'!F$37*Données!Y260</f>
        <v>103291.18864058494</v>
      </c>
      <c r="AA260">
        <f t="shared" ref="AA260:AA323" si="19">Q260-Z260</f>
        <v>5708.8113594150636</v>
      </c>
    </row>
    <row r="261" spans="1:27" x14ac:dyDescent="0.25">
      <c r="A261">
        <v>130000</v>
      </c>
      <c r="B261">
        <v>1</v>
      </c>
      <c r="C261">
        <v>28.5</v>
      </c>
      <c r="D261">
        <v>0</v>
      </c>
      <c r="E261">
        <v>162000</v>
      </c>
      <c r="F261">
        <v>3333</v>
      </c>
      <c r="G261">
        <v>1</v>
      </c>
      <c r="H261">
        <v>0</v>
      </c>
      <c r="I261">
        <v>0</v>
      </c>
      <c r="J261">
        <v>26</v>
      </c>
      <c r="K261">
        <v>1</v>
      </c>
      <c r="L261">
        <f>Résultats!G$32+Résultats!G$33*Données!C261+Résultats!G$34*Données!D261+Résultats!G$35*Données!E261+Résultats!G$36*Données!F261+Résultats!G$37*Données!G261+Résultats!G$38*Données!H261+Résultats!G$39*Données!I261</f>
        <v>118420.40509681788</v>
      </c>
      <c r="M261">
        <f t="shared" si="16"/>
        <v>11579.594903182122</v>
      </c>
      <c r="Q261">
        <v>180000</v>
      </c>
      <c r="R261">
        <v>1</v>
      </c>
      <c r="S261">
        <v>56</v>
      </c>
      <c r="T261">
        <v>1</v>
      </c>
      <c r="U261">
        <f t="shared" si="17"/>
        <v>11.156250521031495</v>
      </c>
      <c r="V261">
        <f t="shared" si="18"/>
        <v>8.0605400465386392</v>
      </c>
      <c r="W261">
        <v>1</v>
      </c>
      <c r="X261">
        <v>0</v>
      </c>
      <c r="Y261">
        <v>1</v>
      </c>
      <c r="Z261">
        <f>'Résultat (Ln)'!F$30+'Résultat (Ln)'!F$31*Données!S261+'Résultat (Ln)'!F$32*Données!T261+'Résultat (Ln)'!F$33*Données!U261+'Résultat (Ln)'!F$34*Données!V261+'Résultat (Ln)'!F$35*Données!W261+'Résultat (Ln)'!F$36*Données!X261+'Résultat (Ln)'!F$37*Données!Y261</f>
        <v>83518.872153823977</v>
      </c>
      <c r="AA261">
        <f t="shared" si="19"/>
        <v>96481.127846176023</v>
      </c>
    </row>
    <row r="262" spans="1:27" x14ac:dyDescent="0.25">
      <c r="A262">
        <v>111000</v>
      </c>
      <c r="B262">
        <v>1</v>
      </c>
      <c r="C262">
        <v>31</v>
      </c>
      <c r="D262">
        <v>0</v>
      </c>
      <c r="E262">
        <v>139000</v>
      </c>
      <c r="F262">
        <v>3846</v>
      </c>
      <c r="G262">
        <v>0</v>
      </c>
      <c r="H262">
        <v>1</v>
      </c>
      <c r="I262">
        <v>1</v>
      </c>
      <c r="J262">
        <v>28</v>
      </c>
      <c r="K262">
        <v>0</v>
      </c>
      <c r="L262">
        <f>Résultats!G$32+Résultats!G$33*Données!C262+Résultats!G$34*Données!D262+Résultats!G$35*Données!E262+Résultats!G$36*Données!F262+Résultats!G$37*Données!G262+Résultats!G$38*Données!H262+Résultats!G$39*Données!I262</f>
        <v>112829.80268051749</v>
      </c>
      <c r="M262">
        <f t="shared" si="16"/>
        <v>-1829.8026805174886</v>
      </c>
      <c r="Q262">
        <v>130000</v>
      </c>
      <c r="R262">
        <v>1</v>
      </c>
      <c r="S262">
        <v>28.5</v>
      </c>
      <c r="T262">
        <v>0</v>
      </c>
      <c r="U262">
        <f t="shared" si="17"/>
        <v>11.99535161421452</v>
      </c>
      <c r="V262">
        <f t="shared" si="18"/>
        <v>8.1116280783077404</v>
      </c>
      <c r="W262">
        <v>1</v>
      </c>
      <c r="X262">
        <v>0</v>
      </c>
      <c r="Y262">
        <v>0</v>
      </c>
      <c r="Z262">
        <f>'Résultat (Ln)'!F$30+'Résultat (Ln)'!F$31*Données!S262+'Résultat (Ln)'!F$32*Données!T262+'Résultat (Ln)'!F$33*Données!U262+'Résultat (Ln)'!F$34*Données!V262+'Résultat (Ln)'!F$35*Données!W262+'Résultat (Ln)'!F$36*Données!X262+'Résultat (Ln)'!F$37*Données!Y262</f>
        <v>122857.72387436479</v>
      </c>
      <c r="AA262">
        <f t="shared" si="19"/>
        <v>7142.2761256352096</v>
      </c>
    </row>
    <row r="263" spans="1:27" x14ac:dyDescent="0.25">
      <c r="A263">
        <v>60000</v>
      </c>
      <c r="B263">
        <v>1</v>
      </c>
      <c r="C263">
        <v>35.299999237060547</v>
      </c>
      <c r="D263">
        <v>0</v>
      </c>
      <c r="E263">
        <v>160000</v>
      </c>
      <c r="F263">
        <v>2395</v>
      </c>
      <c r="G263">
        <v>1</v>
      </c>
      <c r="H263">
        <v>0</v>
      </c>
      <c r="I263">
        <v>1</v>
      </c>
      <c r="J263">
        <v>26.340000152587891</v>
      </c>
      <c r="K263">
        <v>1</v>
      </c>
      <c r="L263">
        <f>Résultats!G$32+Résultats!G$33*Données!C263+Résultats!G$34*Données!D263+Résultats!G$35*Données!E263+Résultats!G$36*Données!F263+Résultats!G$37*Données!G263+Résultats!G$38*Données!H263+Résultats!G$39*Données!I263</f>
        <v>133405.26856899713</v>
      </c>
      <c r="M263">
        <f t="shared" si="16"/>
        <v>-73405.268568997126</v>
      </c>
      <c r="Q263">
        <v>111000</v>
      </c>
      <c r="R263">
        <v>1</v>
      </c>
      <c r="S263">
        <v>31</v>
      </c>
      <c r="T263">
        <v>0</v>
      </c>
      <c r="U263">
        <f t="shared" si="17"/>
        <v>11.842229212112828</v>
      </c>
      <c r="V263">
        <f t="shared" si="18"/>
        <v>8.2547889261487253</v>
      </c>
      <c r="W263">
        <v>0</v>
      </c>
      <c r="X263">
        <v>1</v>
      </c>
      <c r="Y263">
        <v>1</v>
      </c>
      <c r="Z263">
        <f>'Résultat (Ln)'!F$30+'Résultat (Ln)'!F$31*Données!S263+'Résultat (Ln)'!F$32*Données!T263+'Résultat (Ln)'!F$33*Données!U263+'Résultat (Ln)'!F$34*Données!V263+'Résultat (Ln)'!F$35*Données!W263+'Résultat (Ln)'!F$36*Données!X263+'Résultat (Ln)'!F$37*Données!Y263</f>
        <v>122909.20414968823</v>
      </c>
      <c r="AA263">
        <f t="shared" si="19"/>
        <v>-11909.20414968823</v>
      </c>
    </row>
    <row r="264" spans="1:27" x14ac:dyDescent="0.25">
      <c r="A264">
        <v>167000</v>
      </c>
      <c r="B264">
        <v>1</v>
      </c>
      <c r="C264">
        <v>38</v>
      </c>
      <c r="D264">
        <v>0</v>
      </c>
      <c r="E264">
        <v>175000</v>
      </c>
      <c r="F264">
        <v>1378</v>
      </c>
      <c r="G264">
        <v>1</v>
      </c>
      <c r="H264">
        <v>0</v>
      </c>
      <c r="I264">
        <v>0</v>
      </c>
      <c r="J264">
        <v>26</v>
      </c>
      <c r="K264">
        <v>0</v>
      </c>
      <c r="L264">
        <f>Résultats!G$32+Résultats!G$33*Données!C264+Résultats!G$34*Données!D264+Résultats!G$35*Données!E264+Résultats!G$36*Données!F264+Résultats!G$37*Données!G264+Résultats!G$38*Données!H264+Résultats!G$39*Données!I264</f>
        <v>131614.79189112777</v>
      </c>
      <c r="M264">
        <f t="shared" si="16"/>
        <v>35385.208108872233</v>
      </c>
      <c r="Q264">
        <v>60000</v>
      </c>
      <c r="R264">
        <v>1</v>
      </c>
      <c r="S264">
        <v>35.299999237060547</v>
      </c>
      <c r="T264">
        <v>0</v>
      </c>
      <c r="U264">
        <f t="shared" si="17"/>
        <v>11.982929094215963</v>
      </c>
      <c r="V264">
        <f t="shared" si="18"/>
        <v>7.7811385098450154</v>
      </c>
      <c r="W264">
        <v>1</v>
      </c>
      <c r="X264">
        <v>0</v>
      </c>
      <c r="Y264">
        <v>1</v>
      </c>
      <c r="Z264">
        <f>'Résultat (Ln)'!F$30+'Résultat (Ln)'!F$31*Données!S264+'Résultat (Ln)'!F$32*Données!T264+'Résultat (Ln)'!F$33*Données!U264+'Résultat (Ln)'!F$34*Données!V264+'Résultat (Ln)'!F$35*Données!W264+'Résultat (Ln)'!F$36*Données!X264+'Résultat (Ln)'!F$37*Données!Y264</f>
        <v>134654.05140071112</v>
      </c>
      <c r="AA264">
        <f t="shared" si="19"/>
        <v>-74654.05140071112</v>
      </c>
    </row>
    <row r="265" spans="1:27" x14ac:dyDescent="0.25">
      <c r="A265">
        <v>187000</v>
      </c>
      <c r="B265">
        <v>1</v>
      </c>
      <c r="C265">
        <v>41</v>
      </c>
      <c r="D265">
        <v>0</v>
      </c>
      <c r="E265">
        <v>260000</v>
      </c>
      <c r="F265">
        <v>6792</v>
      </c>
      <c r="G265">
        <v>0</v>
      </c>
      <c r="H265">
        <v>0</v>
      </c>
      <c r="I265">
        <v>1</v>
      </c>
      <c r="J265">
        <v>23</v>
      </c>
      <c r="K265">
        <v>1</v>
      </c>
      <c r="L265">
        <f>Résultats!G$32+Résultats!G$33*Données!C265+Résultats!G$34*Données!D265+Résultats!G$35*Données!E265+Résultats!G$36*Données!F265+Résultats!G$37*Données!G265+Résultats!G$38*Données!H265+Résultats!G$39*Données!I265</f>
        <v>188151.85003977586</v>
      </c>
      <c r="M265">
        <f t="shared" si="16"/>
        <v>-1151.8500397758617</v>
      </c>
      <c r="Q265">
        <v>167000</v>
      </c>
      <c r="R265">
        <v>1</v>
      </c>
      <c r="S265">
        <v>38</v>
      </c>
      <c r="T265">
        <v>0</v>
      </c>
      <c r="U265">
        <f t="shared" si="17"/>
        <v>12.072541252905651</v>
      </c>
      <c r="V265">
        <f t="shared" si="18"/>
        <v>7.2283884515736041</v>
      </c>
      <c r="W265">
        <v>1</v>
      </c>
      <c r="X265">
        <v>0</v>
      </c>
      <c r="Y265">
        <v>0</v>
      </c>
      <c r="Z265">
        <f>'Résultat (Ln)'!F$30+'Résultat (Ln)'!F$31*Données!S265+'Résultat (Ln)'!F$32*Données!T265+'Résultat (Ln)'!F$33*Données!U265+'Résultat (Ln)'!F$34*Données!V265+'Résultat (Ln)'!F$35*Données!W265+'Résultat (Ln)'!F$36*Données!X265+'Résultat (Ln)'!F$37*Données!Y265</f>
        <v>117970.34448623461</v>
      </c>
      <c r="AA265">
        <f t="shared" si="19"/>
        <v>49029.655513765392</v>
      </c>
    </row>
    <row r="266" spans="1:27" x14ac:dyDescent="0.25">
      <c r="A266">
        <v>98000</v>
      </c>
      <c r="B266">
        <v>1</v>
      </c>
      <c r="C266">
        <v>33</v>
      </c>
      <c r="D266">
        <v>0</v>
      </c>
      <c r="E266">
        <v>140000</v>
      </c>
      <c r="F266">
        <v>4041</v>
      </c>
      <c r="G266">
        <v>1</v>
      </c>
      <c r="H266">
        <v>0</v>
      </c>
      <c r="I266">
        <v>0</v>
      </c>
      <c r="J266">
        <v>16</v>
      </c>
      <c r="K266">
        <v>1</v>
      </c>
      <c r="L266">
        <f>Résultats!G$32+Résultats!G$33*Données!C266+Résultats!G$34*Données!D266+Résultats!G$35*Données!E266+Résultats!G$36*Données!F266+Résultats!G$37*Données!G266+Résultats!G$38*Données!H266+Résultats!G$39*Données!I266</f>
        <v>114688.40334700517</v>
      </c>
      <c r="M266">
        <f t="shared" si="16"/>
        <v>-16688.403347005165</v>
      </c>
      <c r="Q266">
        <v>187000</v>
      </c>
      <c r="R266">
        <v>1</v>
      </c>
      <c r="S266">
        <v>41</v>
      </c>
      <c r="T266">
        <v>0</v>
      </c>
      <c r="U266">
        <f t="shared" si="17"/>
        <v>12.468436909997665</v>
      </c>
      <c r="V266">
        <f t="shared" si="18"/>
        <v>8.823500727991183</v>
      </c>
      <c r="W266">
        <v>0</v>
      </c>
      <c r="X266">
        <v>0</v>
      </c>
      <c r="Y266">
        <v>1</v>
      </c>
      <c r="Z266">
        <f>'Résultat (Ln)'!F$30+'Résultat (Ln)'!F$31*Données!S266+'Résultat (Ln)'!F$32*Données!T266+'Résultat (Ln)'!F$33*Données!U266+'Résultat (Ln)'!F$34*Données!V266+'Résultat (Ln)'!F$35*Données!W266+'Résultat (Ln)'!F$36*Données!X266+'Résultat (Ln)'!F$37*Données!Y266</f>
        <v>218383.81517303232</v>
      </c>
      <c r="AA266">
        <f t="shared" si="19"/>
        <v>-31383.815173032315</v>
      </c>
    </row>
    <row r="267" spans="1:27" x14ac:dyDescent="0.25">
      <c r="A267">
        <v>187000</v>
      </c>
      <c r="B267">
        <v>1</v>
      </c>
      <c r="C267">
        <v>29</v>
      </c>
      <c r="D267">
        <v>0</v>
      </c>
      <c r="E267">
        <v>260000</v>
      </c>
      <c r="F267">
        <v>8000</v>
      </c>
      <c r="G267">
        <v>1</v>
      </c>
      <c r="H267">
        <v>0</v>
      </c>
      <c r="I267">
        <v>0</v>
      </c>
      <c r="J267">
        <v>26</v>
      </c>
      <c r="K267">
        <v>1</v>
      </c>
      <c r="L267">
        <f>Résultats!G$32+Résultats!G$33*Données!C267+Résultats!G$34*Données!D267+Résultats!G$35*Données!E267+Résultats!G$36*Données!F267+Résultats!G$37*Données!G267+Résultats!G$38*Données!H267+Résultats!G$39*Données!I267</f>
        <v>173799.81425227592</v>
      </c>
      <c r="M267">
        <f t="shared" si="16"/>
        <v>13200.185747724085</v>
      </c>
      <c r="Q267">
        <v>98000</v>
      </c>
      <c r="R267">
        <v>1</v>
      </c>
      <c r="S267">
        <v>33</v>
      </c>
      <c r="T267">
        <v>0</v>
      </c>
      <c r="U267">
        <f t="shared" si="17"/>
        <v>11.849397701591441</v>
      </c>
      <c r="V267">
        <f t="shared" si="18"/>
        <v>8.3042474650784737</v>
      </c>
      <c r="W267">
        <v>1</v>
      </c>
      <c r="X267">
        <v>0</v>
      </c>
      <c r="Y267">
        <v>0</v>
      </c>
      <c r="Z267">
        <f>'Résultat (Ln)'!F$30+'Résultat (Ln)'!F$31*Données!S267+'Résultat (Ln)'!F$32*Données!T267+'Résultat (Ln)'!F$33*Données!U267+'Résultat (Ln)'!F$34*Données!V267+'Résultat (Ln)'!F$35*Données!W267+'Résultat (Ln)'!F$36*Données!X267+'Résultat (Ln)'!F$37*Données!Y267</f>
        <v>118113.45933338943</v>
      </c>
      <c r="AA267">
        <f t="shared" si="19"/>
        <v>-20113.45933338943</v>
      </c>
    </row>
    <row r="268" spans="1:27" x14ac:dyDescent="0.25">
      <c r="A268">
        <v>136000</v>
      </c>
      <c r="B268">
        <v>1</v>
      </c>
      <c r="C268">
        <v>30</v>
      </c>
      <c r="D268">
        <v>0</v>
      </c>
      <c r="E268">
        <v>170000</v>
      </c>
      <c r="F268">
        <v>4160</v>
      </c>
      <c r="G268">
        <v>0</v>
      </c>
      <c r="H268">
        <v>0</v>
      </c>
      <c r="I268">
        <v>0</v>
      </c>
      <c r="J268">
        <v>23</v>
      </c>
      <c r="K268">
        <v>1</v>
      </c>
      <c r="L268">
        <f>Résultats!G$32+Résultats!G$33*Données!C268+Résultats!G$34*Données!D268+Résultats!G$35*Données!E268+Résultats!G$36*Données!F268+Résultats!G$37*Données!G268+Résultats!G$38*Données!H268+Résultats!G$39*Données!I268</f>
        <v>118464.96848530688</v>
      </c>
      <c r="M268">
        <f t="shared" si="16"/>
        <v>17535.031514693124</v>
      </c>
      <c r="Q268">
        <v>187000</v>
      </c>
      <c r="R268">
        <v>1</v>
      </c>
      <c r="S268">
        <v>29</v>
      </c>
      <c r="T268">
        <v>0</v>
      </c>
      <c r="U268">
        <f t="shared" si="17"/>
        <v>12.468436909997665</v>
      </c>
      <c r="V268">
        <f t="shared" si="18"/>
        <v>8.987196820661973</v>
      </c>
      <c r="W268">
        <v>1</v>
      </c>
      <c r="X268">
        <v>0</v>
      </c>
      <c r="Y268">
        <v>0</v>
      </c>
      <c r="Z268">
        <f>'Résultat (Ln)'!F$30+'Résultat (Ln)'!F$31*Données!S268+'Résultat (Ln)'!F$32*Données!T268+'Résultat (Ln)'!F$33*Données!U268+'Résultat (Ln)'!F$34*Données!V268+'Résultat (Ln)'!F$35*Données!W268+'Résultat (Ln)'!F$36*Données!X268+'Résultat (Ln)'!F$37*Données!Y268</f>
        <v>198737.41019312252</v>
      </c>
      <c r="AA268">
        <f t="shared" si="19"/>
        <v>-11737.410193122516</v>
      </c>
    </row>
    <row r="269" spans="1:27" x14ac:dyDescent="0.25">
      <c r="A269">
        <v>182000</v>
      </c>
      <c r="B269">
        <v>1</v>
      </c>
      <c r="C269">
        <v>37</v>
      </c>
      <c r="D269">
        <v>0</v>
      </c>
      <c r="E269">
        <v>315000</v>
      </c>
      <c r="F269">
        <v>4153</v>
      </c>
      <c r="G269">
        <v>1</v>
      </c>
      <c r="H269">
        <v>0</v>
      </c>
      <c r="I269">
        <v>1</v>
      </c>
      <c r="J269">
        <v>26</v>
      </c>
      <c r="K269">
        <v>1</v>
      </c>
      <c r="L269">
        <f>Résultats!G$32+Résultats!G$33*Données!C269+Résultats!G$34*Données!D269+Résultats!G$35*Données!E269+Résultats!G$36*Données!F269+Résultats!G$37*Données!G269+Résultats!G$38*Données!H269+Résultats!G$39*Données!I269</f>
        <v>211142.39592311805</v>
      </c>
      <c r="M269">
        <f t="shared" si="16"/>
        <v>-29142.395923118049</v>
      </c>
      <c r="Q269">
        <v>136000</v>
      </c>
      <c r="R269">
        <v>1</v>
      </c>
      <c r="S269">
        <v>30</v>
      </c>
      <c r="T269">
        <v>0</v>
      </c>
      <c r="U269">
        <f t="shared" si="17"/>
        <v>12.043553716032399</v>
      </c>
      <c r="V269">
        <f t="shared" si="18"/>
        <v>8.3332703532553083</v>
      </c>
      <c r="W269">
        <v>0</v>
      </c>
      <c r="X269">
        <v>0</v>
      </c>
      <c r="Y269">
        <v>0</v>
      </c>
      <c r="Z269">
        <f>'Résultat (Ln)'!F$30+'Résultat (Ln)'!F$31*Données!S269+'Résultat (Ln)'!F$32*Données!T269+'Résultat (Ln)'!F$33*Données!U269+'Résultat (Ln)'!F$34*Données!V269+'Résultat (Ln)'!F$35*Données!W269+'Résultat (Ln)'!F$36*Données!X269+'Résultat (Ln)'!F$37*Données!Y269</f>
        <v>131559.93940771156</v>
      </c>
      <c r="AA269">
        <f t="shared" si="19"/>
        <v>4440.0605922884424</v>
      </c>
    </row>
    <row r="270" spans="1:27" x14ac:dyDescent="0.25">
      <c r="A270">
        <v>265000</v>
      </c>
      <c r="B270">
        <v>1</v>
      </c>
      <c r="C270">
        <v>35.799999237060547</v>
      </c>
      <c r="D270">
        <v>1</v>
      </c>
      <c r="E270">
        <v>295000</v>
      </c>
      <c r="F270">
        <v>6000</v>
      </c>
      <c r="G270">
        <v>1</v>
      </c>
      <c r="H270">
        <v>0</v>
      </c>
      <c r="I270">
        <v>1</v>
      </c>
      <c r="J270">
        <v>28.059999465942379</v>
      </c>
      <c r="K270">
        <v>1</v>
      </c>
      <c r="L270">
        <f>Résultats!G$32+Résultats!G$33*Données!C270+Résultats!G$34*Données!D270+Résultats!G$35*Données!E270+Résultats!G$36*Données!F270+Résultats!G$37*Données!G270+Résultats!G$38*Données!H270+Résultats!G$39*Données!I270</f>
        <v>208852.26719819996</v>
      </c>
      <c r="M270">
        <f t="shared" si="16"/>
        <v>56147.732801800041</v>
      </c>
      <c r="Q270">
        <v>182000</v>
      </c>
      <c r="R270">
        <v>1</v>
      </c>
      <c r="S270">
        <v>37</v>
      </c>
      <c r="T270">
        <v>0</v>
      </c>
      <c r="U270">
        <f t="shared" si="17"/>
        <v>12.66032791780777</v>
      </c>
      <c r="V270">
        <f t="shared" si="18"/>
        <v>8.3315862436307544</v>
      </c>
      <c r="W270">
        <v>1</v>
      </c>
      <c r="X270">
        <v>0</v>
      </c>
      <c r="Y270">
        <v>1</v>
      </c>
      <c r="Z270">
        <f>'Résultat (Ln)'!F$30+'Résultat (Ln)'!F$31*Données!S270+'Résultat (Ln)'!F$32*Données!T270+'Résultat (Ln)'!F$33*Données!U270+'Résultat (Ln)'!F$34*Données!V270+'Résultat (Ln)'!F$35*Données!W270+'Résultat (Ln)'!F$36*Données!X270+'Résultat (Ln)'!F$37*Données!Y270</f>
        <v>224783.4156813545</v>
      </c>
      <c r="AA270">
        <f t="shared" si="19"/>
        <v>-42783.415681354498</v>
      </c>
    </row>
    <row r="271" spans="1:27" x14ac:dyDescent="0.25">
      <c r="A271">
        <v>264000</v>
      </c>
      <c r="B271">
        <v>1</v>
      </c>
      <c r="C271">
        <v>39</v>
      </c>
      <c r="D271">
        <v>0</v>
      </c>
      <c r="E271">
        <v>293000</v>
      </c>
      <c r="F271">
        <v>5834</v>
      </c>
      <c r="G271">
        <v>1</v>
      </c>
      <c r="H271">
        <v>1</v>
      </c>
      <c r="I271">
        <v>0</v>
      </c>
      <c r="J271">
        <v>33</v>
      </c>
      <c r="K271">
        <v>1</v>
      </c>
      <c r="L271">
        <f>Résultats!G$32+Résultats!G$33*Données!C271+Résultats!G$34*Données!D271+Résultats!G$35*Données!E271+Résultats!G$36*Données!F271+Résultats!G$37*Données!G271+Résultats!G$38*Données!H271+Résultats!G$39*Données!I271</f>
        <v>194873.45199624525</v>
      </c>
      <c r="M271">
        <f t="shared" si="16"/>
        <v>69126.548003754753</v>
      </c>
      <c r="Q271">
        <v>265000</v>
      </c>
      <c r="R271">
        <v>1</v>
      </c>
      <c r="S271">
        <v>35.799999237060547</v>
      </c>
      <c r="T271">
        <v>1</v>
      </c>
      <c r="U271">
        <f t="shared" si="17"/>
        <v>12.594730635321957</v>
      </c>
      <c r="V271">
        <f t="shared" si="18"/>
        <v>8.6995147482101913</v>
      </c>
      <c r="W271">
        <v>1</v>
      </c>
      <c r="X271">
        <v>0</v>
      </c>
      <c r="Y271">
        <v>1</v>
      </c>
      <c r="Z271">
        <f>'Résultat (Ln)'!F$30+'Résultat (Ln)'!F$31*Données!S271+'Résultat (Ln)'!F$32*Données!T271+'Résultat (Ln)'!F$33*Données!U271+'Résultat (Ln)'!F$34*Données!V271+'Résultat (Ln)'!F$35*Données!W271+'Résultat (Ln)'!F$36*Données!X271+'Résultat (Ln)'!F$37*Données!Y271</f>
        <v>230952.88636781325</v>
      </c>
      <c r="AA271">
        <f t="shared" si="19"/>
        <v>34047.113632186753</v>
      </c>
    </row>
    <row r="272" spans="1:27" x14ac:dyDescent="0.25">
      <c r="A272">
        <v>50000</v>
      </c>
      <c r="B272">
        <v>1</v>
      </c>
      <c r="C272">
        <v>12</v>
      </c>
      <c r="D272">
        <v>0</v>
      </c>
      <c r="E272">
        <v>150000</v>
      </c>
      <c r="F272">
        <v>3988</v>
      </c>
      <c r="G272">
        <v>1</v>
      </c>
      <c r="H272">
        <v>0</v>
      </c>
      <c r="I272">
        <v>1</v>
      </c>
      <c r="J272">
        <v>12</v>
      </c>
      <c r="K272">
        <v>1</v>
      </c>
      <c r="L272">
        <f>Résultats!G$32+Résultats!G$33*Données!C272+Résultats!G$34*Données!D272+Résultats!G$35*Données!E272+Résultats!G$36*Données!F272+Résultats!G$37*Données!G272+Résultats!G$38*Données!H272+Résultats!G$39*Données!I272</f>
        <v>105058.61219884273</v>
      </c>
      <c r="M272">
        <f t="shared" si="16"/>
        <v>-55058.612198842733</v>
      </c>
      <c r="Q272">
        <v>264000</v>
      </c>
      <c r="R272">
        <v>1</v>
      </c>
      <c r="S272">
        <v>39</v>
      </c>
      <c r="T272">
        <v>0</v>
      </c>
      <c r="U272">
        <f t="shared" si="17"/>
        <v>12.587927887999204</v>
      </c>
      <c r="V272">
        <f t="shared" si="18"/>
        <v>8.6714581504276662</v>
      </c>
      <c r="W272">
        <v>1</v>
      </c>
      <c r="X272">
        <v>1</v>
      </c>
      <c r="Y272">
        <v>0</v>
      </c>
      <c r="Z272">
        <f>'Résultat (Ln)'!F$30+'Résultat (Ln)'!F$31*Données!S272+'Résultat (Ln)'!F$32*Données!T272+'Résultat (Ln)'!F$33*Données!U272+'Résultat (Ln)'!F$34*Données!V272+'Résultat (Ln)'!F$35*Données!W272+'Résultat (Ln)'!F$36*Données!X272+'Résultat (Ln)'!F$37*Données!Y272</f>
        <v>214734.04253019101</v>
      </c>
      <c r="AA272">
        <f t="shared" si="19"/>
        <v>49265.957469808985</v>
      </c>
    </row>
    <row r="273" spans="1:27" x14ac:dyDescent="0.25">
      <c r="A273">
        <v>87000</v>
      </c>
      <c r="B273">
        <v>1</v>
      </c>
      <c r="C273">
        <v>35.299999237060547</v>
      </c>
      <c r="D273">
        <v>0</v>
      </c>
      <c r="E273">
        <v>97000</v>
      </c>
      <c r="F273">
        <v>3248</v>
      </c>
      <c r="G273">
        <v>0</v>
      </c>
      <c r="H273">
        <v>0</v>
      </c>
      <c r="I273">
        <v>0</v>
      </c>
      <c r="J273">
        <v>15.060000419616699</v>
      </c>
      <c r="K273">
        <v>1</v>
      </c>
      <c r="L273">
        <f>Résultats!G$32+Résultats!G$33*Données!C273+Résultats!G$34*Données!D273+Résultats!G$35*Données!E273+Résultats!G$36*Données!F273+Résultats!G$37*Données!G273+Résultats!G$38*Données!H273+Résultats!G$39*Données!I273</f>
        <v>88698.069927594333</v>
      </c>
      <c r="M273">
        <f t="shared" si="16"/>
        <v>-1698.0699275943334</v>
      </c>
      <c r="Q273">
        <v>50000</v>
      </c>
      <c r="R273">
        <v>1</v>
      </c>
      <c r="S273">
        <v>12</v>
      </c>
      <c r="T273">
        <v>0</v>
      </c>
      <c r="U273">
        <f t="shared" si="17"/>
        <v>11.918390573078392</v>
      </c>
      <c r="V273">
        <f t="shared" si="18"/>
        <v>8.291045131081729</v>
      </c>
      <c r="W273">
        <v>1</v>
      </c>
      <c r="X273">
        <v>0</v>
      </c>
      <c r="Y273">
        <v>1</v>
      </c>
      <c r="Z273">
        <f>'Résultat (Ln)'!F$30+'Résultat (Ln)'!F$31*Données!S273+'Résultat (Ln)'!F$32*Données!T273+'Résultat (Ln)'!F$33*Données!U273+'Résultat (Ln)'!F$34*Données!V273+'Résultat (Ln)'!F$35*Données!W273+'Résultat (Ln)'!F$36*Données!X273+'Résultat (Ln)'!F$37*Données!Y273</f>
        <v>113562.98990540615</v>
      </c>
      <c r="AA273">
        <f t="shared" si="19"/>
        <v>-63562.989905406153</v>
      </c>
    </row>
    <row r="274" spans="1:27" x14ac:dyDescent="0.25">
      <c r="A274">
        <v>90000</v>
      </c>
      <c r="B274">
        <v>1</v>
      </c>
      <c r="C274">
        <v>45</v>
      </c>
      <c r="D274">
        <v>0</v>
      </c>
      <c r="E274">
        <v>90000</v>
      </c>
      <c r="F274">
        <v>3320</v>
      </c>
      <c r="G274">
        <v>1</v>
      </c>
      <c r="H274">
        <v>0</v>
      </c>
      <c r="I274">
        <v>0</v>
      </c>
      <c r="J274">
        <v>21</v>
      </c>
      <c r="K274">
        <v>1</v>
      </c>
      <c r="L274">
        <f>Résultats!G$32+Résultats!G$33*Données!C274+Résultats!G$34*Données!D274+Résultats!G$35*Données!E274+Résultats!G$36*Données!F274+Résultats!G$37*Données!G274+Résultats!G$38*Données!H274+Résultats!G$39*Données!I274</f>
        <v>103727.639772077</v>
      </c>
      <c r="M274">
        <f t="shared" si="16"/>
        <v>-13727.639772077004</v>
      </c>
      <c r="Q274">
        <v>87000</v>
      </c>
      <c r="R274">
        <v>1</v>
      </c>
      <c r="S274">
        <v>35.299999237060547</v>
      </c>
      <c r="T274">
        <v>0</v>
      </c>
      <c r="U274">
        <f t="shared" si="17"/>
        <v>11.48246625748552</v>
      </c>
      <c r="V274">
        <f t="shared" si="18"/>
        <v>8.0857947012815679</v>
      </c>
      <c r="W274">
        <v>0</v>
      </c>
      <c r="X274">
        <v>0</v>
      </c>
      <c r="Y274">
        <v>0</v>
      </c>
      <c r="Z274">
        <f>'Résultat (Ln)'!F$30+'Résultat (Ln)'!F$31*Données!S274+'Résultat (Ln)'!F$32*Données!T274+'Résultat (Ln)'!F$33*Données!U274+'Résultat (Ln)'!F$34*Données!V274+'Résultat (Ln)'!F$35*Données!W274+'Résultat (Ln)'!F$36*Données!X274+'Résultat (Ln)'!F$37*Données!Y274</f>
        <v>70950.016822597274</v>
      </c>
      <c r="AA274">
        <f t="shared" si="19"/>
        <v>16049.983177402726</v>
      </c>
    </row>
    <row r="275" spans="1:27" x14ac:dyDescent="0.25">
      <c r="A275">
        <v>176000</v>
      </c>
      <c r="B275">
        <v>1</v>
      </c>
      <c r="C275">
        <v>32</v>
      </c>
      <c r="D275">
        <v>0</v>
      </c>
      <c r="E275">
        <v>191000</v>
      </c>
      <c r="F275">
        <v>3667</v>
      </c>
      <c r="G275">
        <v>1</v>
      </c>
      <c r="H275">
        <v>1</v>
      </c>
      <c r="I275">
        <v>1</v>
      </c>
      <c r="J275">
        <v>29</v>
      </c>
      <c r="K275">
        <v>1</v>
      </c>
      <c r="L275">
        <f>Résultats!G$32+Résultats!G$33*Données!C275+Résultats!G$34*Données!D275+Résultats!G$35*Données!E275+Résultats!G$36*Données!F275+Résultats!G$37*Données!G275+Résultats!G$38*Données!H275+Résultats!G$39*Données!I275</f>
        <v>144929.7975731898</v>
      </c>
      <c r="M275">
        <f t="shared" si="16"/>
        <v>31070.202426810196</v>
      </c>
      <c r="Q275">
        <v>90000</v>
      </c>
      <c r="R275">
        <v>1</v>
      </c>
      <c r="S275">
        <v>45</v>
      </c>
      <c r="T275">
        <v>0</v>
      </c>
      <c r="U275">
        <f t="shared" si="17"/>
        <v>11.407564949312402</v>
      </c>
      <c r="V275">
        <f t="shared" si="18"/>
        <v>8.1077200619105341</v>
      </c>
      <c r="W275">
        <v>1</v>
      </c>
      <c r="X275">
        <v>0</v>
      </c>
      <c r="Y275">
        <v>0</v>
      </c>
      <c r="Z275">
        <f>'Résultat (Ln)'!F$30+'Résultat (Ln)'!F$31*Données!S275+'Résultat (Ln)'!F$32*Données!T275+'Résultat (Ln)'!F$33*Données!U275+'Résultat (Ln)'!F$34*Données!V275+'Résultat (Ln)'!F$35*Données!W275+'Résultat (Ln)'!F$36*Données!X275+'Résultat (Ln)'!F$37*Données!Y275</f>
        <v>79903.671992794363</v>
      </c>
      <c r="AA275">
        <f t="shared" si="19"/>
        <v>10096.328007205637</v>
      </c>
    </row>
    <row r="276" spans="1:27" x14ac:dyDescent="0.25">
      <c r="A276">
        <v>136000</v>
      </c>
      <c r="B276">
        <v>1</v>
      </c>
      <c r="C276">
        <v>31.39999961853027</v>
      </c>
      <c r="D276">
        <v>0</v>
      </c>
      <c r="E276">
        <v>170000</v>
      </c>
      <c r="F276">
        <v>2366</v>
      </c>
      <c r="G276">
        <v>0</v>
      </c>
      <c r="H276">
        <v>1</v>
      </c>
      <c r="I276">
        <v>1</v>
      </c>
      <c r="J276">
        <v>31.39999961853027</v>
      </c>
      <c r="K276">
        <v>1</v>
      </c>
      <c r="L276">
        <f>Résultats!G$32+Résultats!G$33*Données!C276+Résultats!G$34*Données!D276+Résultats!G$35*Données!E276+Résultats!G$36*Données!F276+Résultats!G$37*Données!G276+Résultats!G$38*Données!H276+Résultats!G$39*Données!I276</f>
        <v>124896.89642151422</v>
      </c>
      <c r="M276">
        <f t="shared" si="16"/>
        <v>11103.103578485781</v>
      </c>
      <c r="Q276">
        <v>176000</v>
      </c>
      <c r="R276">
        <v>1</v>
      </c>
      <c r="S276">
        <v>32</v>
      </c>
      <c r="T276">
        <v>0</v>
      </c>
      <c r="U276">
        <f t="shared" si="17"/>
        <v>12.160028707028767</v>
      </c>
      <c r="V276">
        <f t="shared" si="18"/>
        <v>8.2071291680713259</v>
      </c>
      <c r="W276">
        <v>1</v>
      </c>
      <c r="X276">
        <v>1</v>
      </c>
      <c r="Y276">
        <v>1</v>
      </c>
      <c r="Z276">
        <f>'Résultat (Ln)'!F$30+'Résultat (Ln)'!F$31*Données!S276+'Résultat (Ln)'!F$32*Données!T276+'Résultat (Ln)'!F$33*Données!U276+'Résultat (Ln)'!F$34*Données!V276+'Résultat (Ln)'!F$35*Données!W276+'Résultat (Ln)'!F$36*Données!X276+'Résultat (Ln)'!F$37*Données!Y276</f>
        <v>161375.3171343173</v>
      </c>
      <c r="AA276">
        <f t="shared" si="19"/>
        <v>14624.682865682698</v>
      </c>
    </row>
    <row r="277" spans="1:27" x14ac:dyDescent="0.25">
      <c r="A277">
        <v>99000</v>
      </c>
      <c r="B277">
        <v>1</v>
      </c>
      <c r="C277">
        <v>23</v>
      </c>
      <c r="D277">
        <v>0</v>
      </c>
      <c r="E277">
        <v>179000</v>
      </c>
      <c r="F277">
        <v>3333</v>
      </c>
      <c r="G277">
        <v>1</v>
      </c>
      <c r="H277">
        <v>0</v>
      </c>
      <c r="I277">
        <v>0</v>
      </c>
      <c r="J277">
        <v>17</v>
      </c>
      <c r="K277">
        <v>1</v>
      </c>
      <c r="L277">
        <f>Résultats!G$32+Résultats!G$33*Données!C277+Résultats!G$34*Données!D277+Résultats!G$35*Données!E277+Résultats!G$36*Données!F277+Résultats!G$37*Données!G277+Résultats!G$38*Données!H277+Résultats!G$39*Données!I277</f>
        <v>120040.9235791049</v>
      </c>
      <c r="M277">
        <f t="shared" si="16"/>
        <v>-21040.9235791049</v>
      </c>
      <c r="Q277">
        <v>136000</v>
      </c>
      <c r="R277">
        <v>1</v>
      </c>
      <c r="S277">
        <v>31.39999961853027</v>
      </c>
      <c r="T277">
        <v>0</v>
      </c>
      <c r="U277">
        <f t="shared" si="17"/>
        <v>12.043553716032399</v>
      </c>
      <c r="V277">
        <f t="shared" si="18"/>
        <v>7.7689560445383323</v>
      </c>
      <c r="W277">
        <v>0</v>
      </c>
      <c r="X277">
        <v>1</v>
      </c>
      <c r="Y277">
        <v>1</v>
      </c>
      <c r="Z277">
        <f>'Résultat (Ln)'!F$30+'Résultat (Ln)'!F$31*Données!S277+'Résultat (Ln)'!F$32*Données!T277+'Résultat (Ln)'!F$33*Données!U277+'Résultat (Ln)'!F$34*Données!V277+'Résultat (Ln)'!F$35*Données!W277+'Résultat (Ln)'!F$36*Données!X277+'Résultat (Ln)'!F$37*Données!Y277</f>
        <v>131353.54592362046</v>
      </c>
      <c r="AA277">
        <f t="shared" si="19"/>
        <v>4646.4540763795376</v>
      </c>
    </row>
    <row r="278" spans="1:27" x14ac:dyDescent="0.25">
      <c r="A278">
        <v>70000</v>
      </c>
      <c r="B278">
        <v>1</v>
      </c>
      <c r="C278">
        <v>21</v>
      </c>
      <c r="D278">
        <v>0</v>
      </c>
      <c r="E278">
        <v>160000</v>
      </c>
      <c r="F278">
        <v>2489</v>
      </c>
      <c r="G278">
        <v>1</v>
      </c>
      <c r="H278">
        <v>0</v>
      </c>
      <c r="I278">
        <v>0</v>
      </c>
      <c r="J278">
        <v>13</v>
      </c>
      <c r="K278">
        <v>0</v>
      </c>
      <c r="L278">
        <f>Résultats!G$32+Résultats!G$33*Données!C278+Résultats!G$34*Données!D278+Résultats!G$35*Données!E278+Résultats!G$36*Données!F278+Résultats!G$37*Données!G278+Résultats!G$38*Données!H278+Résultats!G$39*Données!I278</f>
        <v>107235.97817939172</v>
      </c>
      <c r="M278">
        <f t="shared" si="16"/>
        <v>-37235.978179391721</v>
      </c>
      <c r="Q278">
        <v>99000</v>
      </c>
      <c r="R278">
        <v>1</v>
      </c>
      <c r="S278">
        <v>23</v>
      </c>
      <c r="T278">
        <v>0</v>
      </c>
      <c r="U278">
        <f t="shared" si="17"/>
        <v>12.095141084822892</v>
      </c>
      <c r="V278">
        <f t="shared" si="18"/>
        <v>8.1116280783077404</v>
      </c>
      <c r="W278">
        <v>1</v>
      </c>
      <c r="X278">
        <v>0</v>
      </c>
      <c r="Y278">
        <v>0</v>
      </c>
      <c r="Z278">
        <f>'Résultat (Ln)'!F$30+'Résultat (Ln)'!F$31*Données!S278+'Résultat (Ln)'!F$32*Données!T278+'Résultat (Ln)'!F$33*Données!U278+'Résultat (Ln)'!F$34*Données!V278+'Résultat (Ln)'!F$35*Données!W278+'Résultat (Ln)'!F$36*Données!X278+'Résultat (Ln)'!F$37*Données!Y278</f>
        <v>126833.48736362792</v>
      </c>
      <c r="AA278">
        <f t="shared" si="19"/>
        <v>-27833.487363627923</v>
      </c>
    </row>
    <row r="279" spans="1:27" x14ac:dyDescent="0.25">
      <c r="A279">
        <v>104000</v>
      </c>
      <c r="B279">
        <v>1</v>
      </c>
      <c r="C279">
        <v>32</v>
      </c>
      <c r="D279">
        <v>0</v>
      </c>
      <c r="E279">
        <v>115000</v>
      </c>
      <c r="F279">
        <v>2500</v>
      </c>
      <c r="G279">
        <v>1</v>
      </c>
      <c r="H279">
        <v>0</v>
      </c>
      <c r="I279">
        <v>0</v>
      </c>
      <c r="J279">
        <v>23</v>
      </c>
      <c r="K279">
        <v>1</v>
      </c>
      <c r="L279">
        <f>Résultats!G$32+Résultats!G$33*Données!C279+Résultats!G$34*Données!D279+Résultats!G$35*Données!E279+Résultats!G$36*Données!F279+Résultats!G$37*Données!G279+Résultats!G$38*Données!H279+Résultats!G$39*Données!I279</f>
        <v>98879.770920442214</v>
      </c>
      <c r="M279">
        <f t="shared" si="16"/>
        <v>5120.2290795577865</v>
      </c>
      <c r="Q279">
        <v>70000</v>
      </c>
      <c r="R279">
        <v>1</v>
      </c>
      <c r="S279">
        <v>21</v>
      </c>
      <c r="T279">
        <v>0</v>
      </c>
      <c r="U279">
        <f t="shared" si="17"/>
        <v>11.982929094215963</v>
      </c>
      <c r="V279">
        <f t="shared" si="18"/>
        <v>7.8196363023675923</v>
      </c>
      <c r="W279">
        <v>1</v>
      </c>
      <c r="X279">
        <v>0</v>
      </c>
      <c r="Y279">
        <v>0</v>
      </c>
      <c r="Z279">
        <f>'Résultat (Ln)'!F$30+'Résultat (Ln)'!F$31*Données!S279+'Résultat (Ln)'!F$32*Données!T279+'Résultat (Ln)'!F$33*Données!U279+'Résultat (Ln)'!F$34*Données!V279+'Résultat (Ln)'!F$35*Données!W279+'Résultat (Ln)'!F$36*Données!X279+'Résultat (Ln)'!F$37*Données!Y279</f>
        <v>104171.63666453595</v>
      </c>
      <c r="AA279">
        <f t="shared" si="19"/>
        <v>-34171.636664535952</v>
      </c>
    </row>
    <row r="280" spans="1:27" x14ac:dyDescent="0.25">
      <c r="A280">
        <v>129000</v>
      </c>
      <c r="B280">
        <v>1</v>
      </c>
      <c r="C280">
        <v>37.099998474121087</v>
      </c>
      <c r="D280">
        <v>0</v>
      </c>
      <c r="E280">
        <v>143000</v>
      </c>
      <c r="F280">
        <v>6400</v>
      </c>
      <c r="G280">
        <v>0</v>
      </c>
      <c r="H280">
        <v>0</v>
      </c>
      <c r="I280">
        <v>0</v>
      </c>
      <c r="J280">
        <v>19.20000076293945</v>
      </c>
      <c r="K280">
        <v>1</v>
      </c>
      <c r="L280">
        <f>Résultats!G$32+Résultats!G$33*Données!C280+Résultats!G$34*Données!D280+Résultats!G$35*Données!E280+Résultats!G$36*Données!F280+Résultats!G$37*Données!G280+Résultats!G$38*Données!H280+Résultats!G$39*Données!I280</f>
        <v>118353.43186944316</v>
      </c>
      <c r="M280">
        <f t="shared" si="16"/>
        <v>10646.568130556843</v>
      </c>
      <c r="Q280">
        <v>104000</v>
      </c>
      <c r="R280">
        <v>1</v>
      </c>
      <c r="S280">
        <v>32</v>
      </c>
      <c r="T280">
        <v>0</v>
      </c>
      <c r="U280">
        <f t="shared" si="17"/>
        <v>11.652687407345388</v>
      </c>
      <c r="V280">
        <f t="shared" si="18"/>
        <v>7.8240460108562919</v>
      </c>
      <c r="W280">
        <v>1</v>
      </c>
      <c r="X280">
        <v>0</v>
      </c>
      <c r="Y280">
        <v>0</v>
      </c>
      <c r="Z280">
        <f>'Résultat (Ln)'!F$30+'Résultat (Ln)'!F$31*Données!S280+'Résultat (Ln)'!F$32*Données!T280+'Résultat (Ln)'!F$33*Données!U280+'Résultat (Ln)'!F$34*Données!V280+'Résultat (Ln)'!F$35*Données!W280+'Résultat (Ln)'!F$36*Données!X280+'Résultat (Ln)'!F$37*Données!Y280</f>
        <v>82337.316430739491</v>
      </c>
      <c r="AA280">
        <f t="shared" si="19"/>
        <v>21662.683569260509</v>
      </c>
    </row>
    <row r="281" spans="1:27" x14ac:dyDescent="0.25">
      <c r="A281">
        <v>124000</v>
      </c>
      <c r="B281">
        <v>1</v>
      </c>
      <c r="C281">
        <v>37.900001525878913</v>
      </c>
      <c r="D281">
        <v>0</v>
      </c>
      <c r="E281">
        <v>155000</v>
      </c>
      <c r="F281">
        <v>2419</v>
      </c>
      <c r="G281">
        <v>1</v>
      </c>
      <c r="H281">
        <v>0</v>
      </c>
      <c r="I281">
        <v>0</v>
      </c>
      <c r="J281">
        <v>31.89999961853027</v>
      </c>
      <c r="K281">
        <v>1</v>
      </c>
      <c r="L281">
        <f>Résultats!G$32+Résultats!G$33*Données!C281+Résultats!G$34*Données!D281+Résultats!G$35*Données!E281+Résultats!G$36*Données!F281+Résultats!G$37*Données!G281+Résultats!G$38*Données!H281+Résultats!G$39*Données!I281</f>
        <v>124178.09788024733</v>
      </c>
      <c r="M281">
        <f t="shared" si="16"/>
        <v>-178.09788024732552</v>
      </c>
      <c r="Q281">
        <v>129000</v>
      </c>
      <c r="R281">
        <v>1</v>
      </c>
      <c r="S281">
        <v>37.099998474121087</v>
      </c>
      <c r="T281">
        <v>0</v>
      </c>
      <c r="U281">
        <f t="shared" si="17"/>
        <v>11.870599909242044</v>
      </c>
      <c r="V281">
        <f t="shared" si="18"/>
        <v>8.7640532693477624</v>
      </c>
      <c r="W281">
        <v>0</v>
      </c>
      <c r="X281">
        <v>0</v>
      </c>
      <c r="Y281">
        <v>0</v>
      </c>
      <c r="Z281">
        <f>'Résultat (Ln)'!F$30+'Résultat (Ln)'!F$31*Données!S281+'Résultat (Ln)'!F$32*Données!T281+'Résultat (Ln)'!F$33*Données!U281+'Résultat (Ln)'!F$34*Données!V281+'Résultat (Ln)'!F$35*Données!W281+'Résultat (Ln)'!F$36*Données!X281+'Résultat (Ln)'!F$37*Données!Y281</f>
        <v>133778.19559058236</v>
      </c>
      <c r="AA281">
        <f t="shared" si="19"/>
        <v>-4778.1955905823561</v>
      </c>
    </row>
    <row r="282" spans="1:27" x14ac:dyDescent="0.25">
      <c r="A282">
        <v>55000</v>
      </c>
      <c r="B282">
        <v>1</v>
      </c>
      <c r="C282">
        <v>18</v>
      </c>
      <c r="D282">
        <v>0</v>
      </c>
      <c r="E282">
        <v>95000</v>
      </c>
      <c r="F282">
        <v>3440</v>
      </c>
      <c r="G282">
        <v>1</v>
      </c>
      <c r="H282">
        <v>0</v>
      </c>
      <c r="I282">
        <v>1</v>
      </c>
      <c r="J282">
        <v>18</v>
      </c>
      <c r="K282">
        <v>1</v>
      </c>
      <c r="L282">
        <f>Résultats!G$32+Résultats!G$33*Données!C282+Résultats!G$34*Données!D282+Résultats!G$35*Données!E282+Résultats!G$36*Données!F282+Résultats!G$37*Données!G282+Résultats!G$38*Données!H282+Résultats!G$39*Données!I282</f>
        <v>85206.297220120832</v>
      </c>
      <c r="M282">
        <f t="shared" si="16"/>
        <v>-30206.297220120832</v>
      </c>
      <c r="Q282">
        <v>124000</v>
      </c>
      <c r="R282">
        <v>1</v>
      </c>
      <c r="S282">
        <v>37.900001525878913</v>
      </c>
      <c r="T282">
        <v>0</v>
      </c>
      <c r="U282">
        <f t="shared" si="17"/>
        <v>11.951180395901384</v>
      </c>
      <c r="V282">
        <f t="shared" si="18"/>
        <v>7.7911095106100277</v>
      </c>
      <c r="W282">
        <v>1</v>
      </c>
      <c r="X282">
        <v>0</v>
      </c>
      <c r="Y282">
        <v>0</v>
      </c>
      <c r="Z282">
        <f>'Résultat (Ln)'!F$30+'Résultat (Ln)'!F$31*Données!S282+'Résultat (Ln)'!F$32*Données!T282+'Résultat (Ln)'!F$33*Données!U282+'Résultat (Ln)'!F$34*Données!V282+'Résultat (Ln)'!F$35*Données!W282+'Résultat (Ln)'!F$36*Données!X282+'Résultat (Ln)'!F$37*Données!Y282</f>
        <v>120620.7547224383</v>
      </c>
      <c r="AA282">
        <f t="shared" si="19"/>
        <v>3379.2452775616985</v>
      </c>
    </row>
    <row r="283" spans="1:27" x14ac:dyDescent="0.25">
      <c r="A283">
        <v>135000</v>
      </c>
      <c r="B283">
        <v>1</v>
      </c>
      <c r="C283">
        <v>46</v>
      </c>
      <c r="D283">
        <v>0</v>
      </c>
      <c r="E283">
        <v>175000</v>
      </c>
      <c r="F283">
        <v>2680</v>
      </c>
      <c r="G283">
        <v>0</v>
      </c>
      <c r="H283">
        <v>0</v>
      </c>
      <c r="I283">
        <v>0</v>
      </c>
      <c r="J283">
        <v>46</v>
      </c>
      <c r="K283">
        <v>1</v>
      </c>
      <c r="L283">
        <f>Résultats!G$32+Résultats!G$33*Données!C283+Résultats!G$34*Données!D283+Résultats!G$35*Données!E283+Résultats!G$36*Données!F283+Résultats!G$37*Données!G283+Résultats!G$38*Données!H283+Résultats!G$39*Données!I283</f>
        <v>136310.53559323505</v>
      </c>
      <c r="M283">
        <f t="shared" si="16"/>
        <v>-1310.5355932350503</v>
      </c>
      <c r="Q283">
        <v>55000</v>
      </c>
      <c r="R283">
        <v>1</v>
      </c>
      <c r="S283">
        <v>18</v>
      </c>
      <c r="T283">
        <v>0</v>
      </c>
      <c r="U283">
        <f t="shared" si="17"/>
        <v>11.461632170582678</v>
      </c>
      <c r="V283">
        <f t="shared" si="18"/>
        <v>8.1432267503674449</v>
      </c>
      <c r="W283">
        <v>1</v>
      </c>
      <c r="X283">
        <v>0</v>
      </c>
      <c r="Y283">
        <v>1</v>
      </c>
      <c r="Z283">
        <f>'Résultat (Ln)'!F$30+'Résultat (Ln)'!F$31*Données!S283+'Résultat (Ln)'!F$32*Données!T283+'Résultat (Ln)'!F$33*Données!U283+'Résultat (Ln)'!F$34*Données!V283+'Résultat (Ln)'!F$35*Données!W283+'Résultat (Ln)'!F$36*Données!X283+'Résultat (Ln)'!F$37*Données!Y283</f>
        <v>67787.076374430995</v>
      </c>
      <c r="AA283">
        <f t="shared" si="19"/>
        <v>-12787.076374430995</v>
      </c>
    </row>
    <row r="284" spans="1:27" x14ac:dyDescent="0.25">
      <c r="A284">
        <v>275000</v>
      </c>
      <c r="B284">
        <v>1</v>
      </c>
      <c r="C284">
        <v>31</v>
      </c>
      <c r="D284">
        <v>0</v>
      </c>
      <c r="E284">
        <v>380000</v>
      </c>
      <c r="F284">
        <v>7933</v>
      </c>
      <c r="G284">
        <v>1</v>
      </c>
      <c r="H284">
        <v>0</v>
      </c>
      <c r="I284">
        <v>1</v>
      </c>
      <c r="J284">
        <v>31</v>
      </c>
      <c r="K284">
        <v>1</v>
      </c>
      <c r="L284">
        <f>Résultats!G$32+Résultats!G$33*Données!C284+Résultats!G$34*Données!D284+Résultats!G$35*Données!E284+Résultats!G$36*Données!F284+Résultats!G$37*Données!G284+Résultats!G$38*Données!H284+Résultats!G$39*Données!I284</f>
        <v>241927.17235468896</v>
      </c>
      <c r="M284">
        <f t="shared" si="16"/>
        <v>33072.827645311045</v>
      </c>
      <c r="Q284">
        <v>135000</v>
      </c>
      <c r="R284">
        <v>1</v>
      </c>
      <c r="S284">
        <v>46</v>
      </c>
      <c r="T284">
        <v>0</v>
      </c>
      <c r="U284">
        <f t="shared" si="17"/>
        <v>12.072541252905651</v>
      </c>
      <c r="V284">
        <f t="shared" si="18"/>
        <v>7.8935720735049024</v>
      </c>
      <c r="W284">
        <v>0</v>
      </c>
      <c r="X284">
        <v>0</v>
      </c>
      <c r="Y284">
        <v>0</v>
      </c>
      <c r="Z284">
        <f>'Résultat (Ln)'!F$30+'Résultat (Ln)'!F$31*Données!S284+'Résultat (Ln)'!F$32*Données!T284+'Résultat (Ln)'!F$33*Données!U284+'Résultat (Ln)'!F$34*Données!V284+'Résultat (Ln)'!F$35*Données!W284+'Résultat (Ln)'!F$36*Données!X284+'Résultat (Ln)'!F$37*Données!Y284</f>
        <v>141888.2434681638</v>
      </c>
      <c r="AA284">
        <f t="shared" si="19"/>
        <v>-6888.2434681637969</v>
      </c>
    </row>
    <row r="285" spans="1:27" x14ac:dyDescent="0.25">
      <c r="A285">
        <v>210000</v>
      </c>
      <c r="B285">
        <v>1</v>
      </c>
      <c r="C285">
        <v>23</v>
      </c>
      <c r="D285">
        <v>0</v>
      </c>
      <c r="E285">
        <v>339000</v>
      </c>
      <c r="F285">
        <v>8566</v>
      </c>
      <c r="G285">
        <v>0</v>
      </c>
      <c r="H285">
        <v>0</v>
      </c>
      <c r="I285">
        <v>1</v>
      </c>
      <c r="J285">
        <v>23</v>
      </c>
      <c r="K285">
        <v>1</v>
      </c>
      <c r="L285">
        <f>Résultats!G$32+Résultats!G$33*Données!C285+Résultats!G$34*Données!D285+Résultats!G$35*Données!E285+Résultats!G$36*Données!F285+Résultats!G$37*Données!G285+Résultats!G$38*Données!H285+Résultats!G$39*Données!I285</f>
        <v>207802.72622764445</v>
      </c>
      <c r="M285">
        <f t="shared" si="16"/>
        <v>2197.2737723555474</v>
      </c>
      <c r="Q285">
        <v>275000</v>
      </c>
      <c r="R285">
        <v>1</v>
      </c>
      <c r="S285">
        <v>31</v>
      </c>
      <c r="T285">
        <v>0</v>
      </c>
      <c r="U285">
        <f t="shared" si="17"/>
        <v>12.847926531702569</v>
      </c>
      <c r="V285">
        <f t="shared" si="18"/>
        <v>8.9787865533020028</v>
      </c>
      <c r="W285">
        <v>1</v>
      </c>
      <c r="X285">
        <v>0</v>
      </c>
      <c r="Y285">
        <v>1</v>
      </c>
      <c r="Z285">
        <f>'Résultat (Ln)'!F$30+'Résultat (Ln)'!F$31*Données!S285+'Résultat (Ln)'!F$32*Données!T285+'Résultat (Ln)'!F$33*Données!U285+'Résultat (Ln)'!F$34*Données!V285+'Résultat (Ln)'!F$35*Données!W285+'Résultat (Ln)'!F$36*Données!X285+'Résultat (Ln)'!F$37*Données!Y285</f>
        <v>255712.15537312967</v>
      </c>
      <c r="AA285">
        <f t="shared" si="19"/>
        <v>19287.844626870326</v>
      </c>
    </row>
    <row r="286" spans="1:27" x14ac:dyDescent="0.25">
      <c r="A286">
        <v>71000</v>
      </c>
      <c r="B286">
        <v>1</v>
      </c>
      <c r="C286">
        <v>26</v>
      </c>
      <c r="D286">
        <v>0</v>
      </c>
      <c r="E286">
        <v>95000</v>
      </c>
      <c r="F286">
        <v>2800</v>
      </c>
      <c r="G286">
        <v>0</v>
      </c>
      <c r="H286">
        <v>0</v>
      </c>
      <c r="I286">
        <v>1</v>
      </c>
      <c r="J286">
        <v>26</v>
      </c>
      <c r="K286">
        <v>0</v>
      </c>
      <c r="L286">
        <f>Résultats!G$32+Résultats!G$33*Données!C286+Résultats!G$34*Données!D286+Résultats!G$35*Données!E286+Résultats!G$36*Données!F286+Résultats!G$37*Données!G286+Résultats!G$38*Données!H286+Résultats!G$39*Données!I286</f>
        <v>86138.857857930314</v>
      </c>
      <c r="M286">
        <f t="shared" si="16"/>
        <v>-15138.857857930314</v>
      </c>
      <c r="Q286">
        <v>210000</v>
      </c>
      <c r="R286">
        <v>1</v>
      </c>
      <c r="S286">
        <v>23</v>
      </c>
      <c r="T286">
        <v>0</v>
      </c>
      <c r="U286">
        <f t="shared" si="17"/>
        <v>12.733755386362587</v>
      </c>
      <c r="V286">
        <f t="shared" si="18"/>
        <v>9.0555561581753157</v>
      </c>
      <c r="W286">
        <v>0</v>
      </c>
      <c r="X286">
        <v>0</v>
      </c>
      <c r="Y286">
        <v>1</v>
      </c>
      <c r="Z286">
        <f>'Résultat (Ln)'!F$30+'Résultat (Ln)'!F$31*Données!S286+'Résultat (Ln)'!F$32*Données!T286+'Résultat (Ln)'!F$33*Données!U286+'Résultat (Ln)'!F$34*Données!V286+'Résultat (Ln)'!F$35*Données!W286+'Résultat (Ln)'!F$36*Données!X286+'Résultat (Ln)'!F$37*Données!Y286</f>
        <v>231336.22060167143</v>
      </c>
      <c r="AA286">
        <f t="shared" si="19"/>
        <v>-21336.220601671434</v>
      </c>
    </row>
    <row r="287" spans="1:27" x14ac:dyDescent="0.25">
      <c r="A287">
        <v>160000</v>
      </c>
      <c r="B287">
        <v>1</v>
      </c>
      <c r="C287">
        <v>28.70000076293945</v>
      </c>
      <c r="D287">
        <v>0</v>
      </c>
      <c r="E287">
        <v>210000</v>
      </c>
      <c r="F287">
        <v>3500</v>
      </c>
      <c r="G287">
        <v>1</v>
      </c>
      <c r="H287">
        <v>0</v>
      </c>
      <c r="I287">
        <v>0</v>
      </c>
      <c r="J287">
        <v>25.139999389648441</v>
      </c>
      <c r="K287">
        <v>1</v>
      </c>
      <c r="L287">
        <f>Résultats!G$32+Résultats!G$33*Données!C287+Résultats!G$34*Données!D287+Résultats!G$35*Données!E287+Résultats!G$36*Données!F287+Résultats!G$37*Données!G287+Résultats!G$38*Données!H287+Résultats!G$39*Données!I287</f>
        <v>141387.50743537437</v>
      </c>
      <c r="M287">
        <f t="shared" si="16"/>
        <v>18612.492564625631</v>
      </c>
      <c r="Q287">
        <v>71000</v>
      </c>
      <c r="R287">
        <v>1</v>
      </c>
      <c r="S287">
        <v>26</v>
      </c>
      <c r="T287">
        <v>0</v>
      </c>
      <c r="U287">
        <f t="shared" si="17"/>
        <v>11.461632170582678</v>
      </c>
      <c r="V287">
        <f t="shared" si="18"/>
        <v>7.9373746961632952</v>
      </c>
      <c r="W287">
        <v>0</v>
      </c>
      <c r="X287">
        <v>0</v>
      </c>
      <c r="Y287">
        <v>1</v>
      </c>
      <c r="Z287">
        <f>'Résultat (Ln)'!F$30+'Résultat (Ln)'!F$31*Données!S287+'Résultat (Ln)'!F$32*Données!T287+'Résultat (Ln)'!F$33*Données!U287+'Résultat (Ln)'!F$34*Données!V287+'Résultat (Ln)'!F$35*Données!W287+'Résultat (Ln)'!F$36*Données!X287+'Résultat (Ln)'!F$37*Données!Y287</f>
        <v>67276.089190110448</v>
      </c>
      <c r="AA287">
        <f t="shared" si="19"/>
        <v>3723.9108098895522</v>
      </c>
    </row>
    <row r="288" spans="1:27" x14ac:dyDescent="0.25">
      <c r="A288">
        <v>116000</v>
      </c>
      <c r="B288">
        <v>1</v>
      </c>
      <c r="C288">
        <v>40.400001525878913</v>
      </c>
      <c r="D288">
        <v>0</v>
      </c>
      <c r="E288">
        <v>145000</v>
      </c>
      <c r="F288">
        <v>2230</v>
      </c>
      <c r="G288">
        <v>1</v>
      </c>
      <c r="H288">
        <v>0</v>
      </c>
      <c r="I288">
        <v>0</v>
      </c>
      <c r="J288">
        <v>31.54999923706055</v>
      </c>
      <c r="K288">
        <v>1</v>
      </c>
      <c r="L288">
        <f>Résultats!G$32+Résultats!G$33*Données!C288+Résultats!G$34*Données!D288+Résultats!G$35*Données!E288+Résultats!G$36*Données!F288+Résultats!G$37*Données!G288+Résultats!G$38*Données!H288+Résultats!G$39*Données!I288</f>
        <v>122013.9993291876</v>
      </c>
      <c r="M288">
        <f t="shared" si="16"/>
        <v>-6013.9993291876017</v>
      </c>
      <c r="Q288">
        <v>160000</v>
      </c>
      <c r="R288">
        <v>1</v>
      </c>
      <c r="S288">
        <v>28.70000076293945</v>
      </c>
      <c r="T288">
        <v>0</v>
      </c>
      <c r="U288">
        <f t="shared" si="17"/>
        <v>12.254862809699606</v>
      </c>
      <c r="V288">
        <f t="shared" si="18"/>
        <v>8.1605182474775049</v>
      </c>
      <c r="W288">
        <v>1</v>
      </c>
      <c r="X288">
        <v>0</v>
      </c>
      <c r="Y288">
        <v>0</v>
      </c>
      <c r="Z288">
        <f>'Résultat (Ln)'!F$30+'Résultat (Ln)'!F$31*Données!S288+'Résultat (Ln)'!F$32*Données!T288+'Résultat (Ln)'!F$33*Données!U288+'Résultat (Ln)'!F$34*Données!V288+'Résultat (Ln)'!F$35*Données!W288+'Résultat (Ln)'!F$36*Données!X288+'Résultat (Ln)'!F$37*Données!Y288</f>
        <v>152291.74614327459</v>
      </c>
      <c r="AA288">
        <f t="shared" si="19"/>
        <v>7708.2538567254087</v>
      </c>
    </row>
    <row r="289" spans="1:27" x14ac:dyDescent="0.25">
      <c r="A289">
        <v>80000</v>
      </c>
      <c r="B289">
        <v>1</v>
      </c>
      <c r="C289">
        <v>34</v>
      </c>
      <c r="D289">
        <v>0</v>
      </c>
      <c r="E289">
        <v>100000</v>
      </c>
      <c r="F289">
        <v>2200</v>
      </c>
      <c r="G289">
        <v>1</v>
      </c>
      <c r="H289">
        <v>0</v>
      </c>
      <c r="I289">
        <v>1</v>
      </c>
      <c r="J289">
        <v>20</v>
      </c>
      <c r="K289">
        <v>1</v>
      </c>
      <c r="L289">
        <f>Résultats!G$32+Résultats!G$33*Données!C289+Résultats!G$34*Données!D289+Résultats!G$35*Données!E289+Résultats!G$36*Données!F289+Résultats!G$37*Données!G289+Résultats!G$38*Données!H289+Résultats!G$39*Données!I289</f>
        <v>103516.93329583044</v>
      </c>
      <c r="M289">
        <f t="shared" si="16"/>
        <v>-23516.933295830444</v>
      </c>
      <c r="Q289">
        <v>116000</v>
      </c>
      <c r="R289">
        <v>1</v>
      </c>
      <c r="S289">
        <v>40.400001525878913</v>
      </c>
      <c r="T289">
        <v>0</v>
      </c>
      <c r="U289">
        <f t="shared" si="17"/>
        <v>11.884489021402711</v>
      </c>
      <c r="V289">
        <f t="shared" si="18"/>
        <v>7.7097568644541647</v>
      </c>
      <c r="W289">
        <v>1</v>
      </c>
      <c r="X289">
        <v>0</v>
      </c>
      <c r="Y289">
        <v>0</v>
      </c>
      <c r="Z289">
        <f>'Résultat (Ln)'!F$30+'Résultat (Ln)'!F$31*Données!S289+'Résultat (Ln)'!F$32*Données!T289+'Résultat (Ln)'!F$33*Données!U289+'Résultat (Ln)'!F$34*Données!V289+'Résultat (Ln)'!F$35*Données!W289+'Résultat (Ln)'!F$36*Données!X289+'Résultat (Ln)'!F$37*Données!Y289</f>
        <v>114245.2380190222</v>
      </c>
      <c r="AA289">
        <f t="shared" si="19"/>
        <v>1754.7619809777971</v>
      </c>
    </row>
    <row r="290" spans="1:27" x14ac:dyDescent="0.25">
      <c r="A290">
        <v>130000</v>
      </c>
      <c r="B290">
        <v>1</v>
      </c>
      <c r="C290">
        <v>35.799999237060547</v>
      </c>
      <c r="D290">
        <v>0</v>
      </c>
      <c r="E290">
        <v>144000</v>
      </c>
      <c r="F290">
        <v>3667</v>
      </c>
      <c r="G290">
        <v>1</v>
      </c>
      <c r="H290">
        <v>0</v>
      </c>
      <c r="I290">
        <v>0</v>
      </c>
      <c r="J290">
        <v>27.139999389648441</v>
      </c>
      <c r="K290">
        <v>1</v>
      </c>
      <c r="L290">
        <f>Résultats!G$32+Résultats!G$33*Données!C290+Résultats!G$34*Données!D290+Résultats!G$35*Données!E290+Résultats!G$36*Données!F290+Résultats!G$37*Données!G290+Résultats!G$38*Données!H290+Résultats!G$39*Données!I290</f>
        <v>119047.76013206666</v>
      </c>
      <c r="M290">
        <f t="shared" si="16"/>
        <v>10952.239867933342</v>
      </c>
      <c r="Q290">
        <v>80000</v>
      </c>
      <c r="R290">
        <v>1</v>
      </c>
      <c r="S290">
        <v>34</v>
      </c>
      <c r="T290">
        <v>0</v>
      </c>
      <c r="U290">
        <f t="shared" si="17"/>
        <v>11.512925464970229</v>
      </c>
      <c r="V290">
        <f t="shared" si="18"/>
        <v>7.696212639346407</v>
      </c>
      <c r="W290">
        <v>1</v>
      </c>
      <c r="X290">
        <v>0</v>
      </c>
      <c r="Y290">
        <v>1</v>
      </c>
      <c r="Z290">
        <f>'Résultat (Ln)'!F$30+'Résultat (Ln)'!F$31*Données!S290+'Résultat (Ln)'!F$32*Données!T290+'Résultat (Ln)'!F$33*Données!U290+'Résultat (Ln)'!F$34*Données!V290+'Résultat (Ln)'!F$35*Données!W290+'Résultat (Ln)'!F$36*Données!X290+'Résultat (Ln)'!F$37*Données!Y290</f>
        <v>80301.280456768945</v>
      </c>
      <c r="AA290">
        <f t="shared" si="19"/>
        <v>-301.28045676894544</v>
      </c>
    </row>
    <row r="291" spans="1:27" x14ac:dyDescent="0.25">
      <c r="A291">
        <v>125000</v>
      </c>
      <c r="B291">
        <v>1</v>
      </c>
      <c r="C291">
        <v>37</v>
      </c>
      <c r="D291">
        <v>0</v>
      </c>
      <c r="E291">
        <v>84000</v>
      </c>
      <c r="F291">
        <v>3565</v>
      </c>
      <c r="G291">
        <v>1</v>
      </c>
      <c r="H291">
        <v>0</v>
      </c>
      <c r="I291">
        <v>1</v>
      </c>
      <c r="J291">
        <v>27</v>
      </c>
      <c r="K291">
        <v>1</v>
      </c>
      <c r="L291">
        <f>Résultats!G$32+Résultats!G$33*Données!C291+Résultats!G$34*Données!D291+Résultats!G$35*Données!E291+Résultats!G$36*Données!F291+Résultats!G$37*Données!G291+Résultats!G$38*Données!H291+Résultats!G$39*Données!I291</f>
        <v>102136.77188867841</v>
      </c>
      <c r="M291">
        <f t="shared" si="16"/>
        <v>22863.228111321587</v>
      </c>
      <c r="Q291">
        <v>130000</v>
      </c>
      <c r="R291">
        <v>1</v>
      </c>
      <c r="S291">
        <v>35.799999237060547</v>
      </c>
      <c r="T291">
        <v>0</v>
      </c>
      <c r="U291">
        <f t="shared" si="17"/>
        <v>11.877568578558138</v>
      </c>
      <c r="V291">
        <f t="shared" si="18"/>
        <v>8.2071291680713259</v>
      </c>
      <c r="W291">
        <v>1</v>
      </c>
      <c r="X291">
        <v>0</v>
      </c>
      <c r="Y291">
        <v>0</v>
      </c>
      <c r="Z291">
        <f>'Résultat (Ln)'!F$30+'Résultat (Ln)'!F$31*Données!S291+'Résultat (Ln)'!F$32*Données!T291+'Résultat (Ln)'!F$33*Données!U291+'Résultat (Ln)'!F$34*Données!V291+'Résultat (Ln)'!F$35*Données!W291+'Résultat (Ln)'!F$36*Données!X291+'Résultat (Ln)'!F$37*Données!Y291</f>
        <v>121831.20658474551</v>
      </c>
      <c r="AA291">
        <f t="shared" si="19"/>
        <v>8168.7934152544913</v>
      </c>
    </row>
    <row r="292" spans="1:27" x14ac:dyDescent="0.25">
      <c r="A292">
        <v>96000</v>
      </c>
      <c r="B292">
        <v>1</v>
      </c>
      <c r="C292">
        <v>37</v>
      </c>
      <c r="D292">
        <v>0</v>
      </c>
      <c r="E292">
        <v>104000</v>
      </c>
      <c r="F292">
        <v>1894</v>
      </c>
      <c r="G292">
        <v>1</v>
      </c>
      <c r="H292">
        <v>1</v>
      </c>
      <c r="I292">
        <v>0</v>
      </c>
      <c r="J292">
        <v>25</v>
      </c>
      <c r="K292">
        <v>1</v>
      </c>
      <c r="L292">
        <f>Résultats!G$32+Résultats!G$33*Données!C292+Résultats!G$34*Données!D292+Résultats!G$35*Données!E292+Résultats!G$36*Données!F292+Résultats!G$37*Données!G292+Résultats!G$38*Données!H292+Résultats!G$39*Données!I292</f>
        <v>96687.061237806643</v>
      </c>
      <c r="M292">
        <f t="shared" si="16"/>
        <v>-687.06123780664348</v>
      </c>
      <c r="Q292">
        <v>125000</v>
      </c>
      <c r="R292">
        <v>1</v>
      </c>
      <c r="S292">
        <v>37</v>
      </c>
      <c r="T292">
        <v>0</v>
      </c>
      <c r="U292">
        <f t="shared" si="17"/>
        <v>11.33857207782545</v>
      </c>
      <c r="V292">
        <f t="shared" si="18"/>
        <v>8.1789193328483965</v>
      </c>
      <c r="W292">
        <v>1</v>
      </c>
      <c r="X292">
        <v>0</v>
      </c>
      <c r="Y292">
        <v>1</v>
      </c>
      <c r="Z292">
        <f>'Résultat (Ln)'!F$30+'Résultat (Ln)'!F$31*Données!S292+'Résultat (Ln)'!F$32*Données!T292+'Résultat (Ln)'!F$33*Données!U292+'Résultat (Ln)'!F$34*Données!V292+'Résultat (Ln)'!F$35*Données!W292+'Résultat (Ln)'!F$36*Données!X292+'Résultat (Ln)'!F$37*Données!Y292</f>
        <v>78815.385227530351</v>
      </c>
      <c r="AA292">
        <f t="shared" si="19"/>
        <v>46184.614772469649</v>
      </c>
    </row>
    <row r="293" spans="1:27" x14ac:dyDescent="0.25">
      <c r="A293">
        <v>146000</v>
      </c>
      <c r="B293">
        <v>1</v>
      </c>
      <c r="C293">
        <v>36</v>
      </c>
      <c r="D293">
        <v>0</v>
      </c>
      <c r="E293">
        <v>195000</v>
      </c>
      <c r="F293">
        <v>3333</v>
      </c>
      <c r="G293">
        <v>1</v>
      </c>
      <c r="H293">
        <v>0</v>
      </c>
      <c r="I293">
        <v>0</v>
      </c>
      <c r="J293">
        <v>28</v>
      </c>
      <c r="K293">
        <v>1</v>
      </c>
      <c r="L293">
        <f>Résultats!G$32+Résultats!G$33*Données!C293+Résultats!G$34*Données!D293+Résultats!G$35*Données!E293+Résultats!G$36*Données!F293+Résultats!G$37*Données!G293+Résultats!G$38*Données!H293+Résultats!G$39*Données!I293</f>
        <v>142444.89080639736</v>
      </c>
      <c r="M293">
        <f t="shared" si="16"/>
        <v>3555.1091936026351</v>
      </c>
      <c r="Q293">
        <v>96000</v>
      </c>
      <c r="R293">
        <v>1</v>
      </c>
      <c r="S293">
        <v>37</v>
      </c>
      <c r="T293">
        <v>0</v>
      </c>
      <c r="U293">
        <f t="shared" si="17"/>
        <v>11.552146178123509</v>
      </c>
      <c r="V293">
        <f t="shared" si="18"/>
        <v>7.5464462737460236</v>
      </c>
      <c r="W293">
        <v>1</v>
      </c>
      <c r="X293">
        <v>1</v>
      </c>
      <c r="Y293">
        <v>0</v>
      </c>
      <c r="Z293">
        <f>'Résultat (Ln)'!F$30+'Résultat (Ln)'!F$31*Données!S293+'Résultat (Ln)'!F$32*Données!T293+'Résultat (Ln)'!F$33*Données!U293+'Résultat (Ln)'!F$34*Données!V293+'Résultat (Ln)'!F$35*Données!W293+'Résultat (Ln)'!F$36*Données!X293+'Résultat (Ln)'!F$37*Données!Y293</f>
        <v>69706.90346252927</v>
      </c>
      <c r="AA293">
        <f t="shared" si="19"/>
        <v>26293.09653747073</v>
      </c>
    </row>
    <row r="294" spans="1:27" x14ac:dyDescent="0.25">
      <c r="A294">
        <v>30000</v>
      </c>
      <c r="B294">
        <v>1</v>
      </c>
      <c r="C294">
        <v>14.30000019073486</v>
      </c>
      <c r="D294">
        <v>0</v>
      </c>
      <c r="E294">
        <v>342000</v>
      </c>
      <c r="F294">
        <v>4116</v>
      </c>
      <c r="G294">
        <v>1</v>
      </c>
      <c r="H294">
        <v>0</v>
      </c>
      <c r="I294">
        <v>0</v>
      </c>
      <c r="J294">
        <v>11.89999961853027</v>
      </c>
      <c r="K294">
        <v>1</v>
      </c>
      <c r="L294">
        <f>Résultats!G$32+Résultats!G$33*Données!C294+Résultats!G$34*Données!D294+Résultats!G$35*Données!E294+Résultats!G$36*Données!F294+Résultats!G$37*Données!G294+Résultats!G$38*Données!H294+Résultats!G$39*Données!I294</f>
        <v>187678.16180089596</v>
      </c>
      <c r="M294">
        <f t="shared" si="16"/>
        <v>-157678.16180089596</v>
      </c>
      <c r="Q294">
        <v>146000</v>
      </c>
      <c r="R294">
        <v>1</v>
      </c>
      <c r="S294">
        <v>36</v>
      </c>
      <c r="T294">
        <v>0</v>
      </c>
      <c r="U294">
        <f t="shared" si="17"/>
        <v>12.180754837545884</v>
      </c>
      <c r="V294">
        <f t="shared" si="18"/>
        <v>8.1116280783077404</v>
      </c>
      <c r="W294">
        <v>1</v>
      </c>
      <c r="X294">
        <v>0</v>
      </c>
      <c r="Y294">
        <v>0</v>
      </c>
      <c r="Z294">
        <f>'Résultat (Ln)'!F$30+'Résultat (Ln)'!F$31*Données!S294+'Résultat (Ln)'!F$32*Données!T294+'Résultat (Ln)'!F$33*Données!U294+'Résultat (Ln)'!F$34*Données!V294+'Résultat (Ln)'!F$35*Données!W294+'Résultat (Ln)'!F$36*Données!X294+'Résultat (Ln)'!F$37*Données!Y294</f>
        <v>151897.43468076695</v>
      </c>
      <c r="AA294">
        <f t="shared" si="19"/>
        <v>-5897.4346807669499</v>
      </c>
    </row>
    <row r="295" spans="1:27" x14ac:dyDescent="0.25">
      <c r="A295">
        <v>140000</v>
      </c>
      <c r="B295">
        <v>1</v>
      </c>
      <c r="C295">
        <v>36.299999237060547</v>
      </c>
      <c r="D295">
        <v>0</v>
      </c>
      <c r="E295">
        <v>287500</v>
      </c>
      <c r="F295">
        <v>7262</v>
      </c>
      <c r="G295">
        <v>1</v>
      </c>
      <c r="H295">
        <v>0</v>
      </c>
      <c r="I295">
        <v>0</v>
      </c>
      <c r="J295">
        <v>20.89999961853027</v>
      </c>
      <c r="K295">
        <v>1</v>
      </c>
      <c r="L295">
        <f>Résultats!G$32+Résultats!G$33*Données!C295+Résultats!G$34*Données!D295+Résultats!G$35*Données!E295+Résultats!G$36*Données!F295+Résultats!G$37*Données!G295+Résultats!G$38*Données!H295+Résultats!G$39*Données!I295</f>
        <v>193596.23495603868</v>
      </c>
      <c r="M295">
        <f t="shared" si="16"/>
        <v>-53596.234956038679</v>
      </c>
      <c r="Q295">
        <v>30000</v>
      </c>
      <c r="R295">
        <v>1</v>
      </c>
      <c r="S295">
        <v>14.30000019073486</v>
      </c>
      <c r="T295">
        <v>0</v>
      </c>
      <c r="U295">
        <f t="shared" si="17"/>
        <v>12.742566016044742</v>
      </c>
      <c r="V295">
        <f t="shared" si="18"/>
        <v>8.3226370969539403</v>
      </c>
      <c r="W295">
        <v>1</v>
      </c>
      <c r="X295">
        <v>0</v>
      </c>
      <c r="Y295">
        <v>0</v>
      </c>
      <c r="Z295">
        <f>'Résultat (Ln)'!F$30+'Résultat (Ln)'!F$31*Données!S295+'Résultat (Ln)'!F$32*Données!T295+'Résultat (Ln)'!F$33*Données!U295+'Résultat (Ln)'!F$34*Données!V295+'Résultat (Ln)'!F$35*Données!W295+'Résultat (Ln)'!F$36*Données!X295+'Résultat (Ln)'!F$37*Données!Y295</f>
        <v>191520.72859172034</v>
      </c>
      <c r="AA295">
        <f t="shared" si="19"/>
        <v>-161520.72859172034</v>
      </c>
    </row>
    <row r="296" spans="1:27" x14ac:dyDescent="0.25">
      <c r="A296">
        <v>115000</v>
      </c>
      <c r="B296">
        <v>1</v>
      </c>
      <c r="C296">
        <v>38</v>
      </c>
      <c r="D296">
        <v>1</v>
      </c>
      <c r="E296">
        <v>200000</v>
      </c>
      <c r="F296">
        <v>4230</v>
      </c>
      <c r="G296">
        <v>1</v>
      </c>
      <c r="H296">
        <v>0</v>
      </c>
      <c r="I296">
        <v>0</v>
      </c>
      <c r="J296">
        <v>29</v>
      </c>
      <c r="K296">
        <v>1</v>
      </c>
      <c r="L296">
        <f>Résultats!G$32+Résultats!G$33*Données!C296+Résultats!G$34*Données!D296+Résultats!G$35*Données!E296+Résultats!G$36*Données!F296+Résultats!G$37*Données!G296+Résultats!G$38*Données!H296+Résultats!G$39*Données!I296</f>
        <v>153663.4418903694</v>
      </c>
      <c r="M296">
        <f t="shared" si="16"/>
        <v>-38663.441890369402</v>
      </c>
      <c r="Q296">
        <v>140000</v>
      </c>
      <c r="R296">
        <v>1</v>
      </c>
      <c r="S296">
        <v>36.299999237060547</v>
      </c>
      <c r="T296">
        <v>0</v>
      </c>
      <c r="U296">
        <f t="shared" si="17"/>
        <v>12.568978139219542</v>
      </c>
      <c r="V296">
        <f t="shared" si="18"/>
        <v>8.8904105519742807</v>
      </c>
      <c r="W296">
        <v>1</v>
      </c>
      <c r="X296">
        <v>0</v>
      </c>
      <c r="Y296">
        <v>0</v>
      </c>
      <c r="Z296">
        <f>'Résultat (Ln)'!F$30+'Résultat (Ln)'!F$31*Données!S296+'Résultat (Ln)'!F$32*Données!T296+'Résultat (Ln)'!F$33*Données!U296+'Résultat (Ln)'!F$34*Données!V296+'Résultat (Ln)'!F$35*Données!W296+'Résultat (Ln)'!F$36*Données!X296+'Résultat (Ln)'!F$37*Données!Y296</f>
        <v>215721.43470437839</v>
      </c>
      <c r="AA296">
        <f t="shared" si="19"/>
        <v>-75721.434704378393</v>
      </c>
    </row>
    <row r="297" spans="1:27" x14ac:dyDescent="0.25">
      <c r="A297">
        <v>25000</v>
      </c>
      <c r="B297">
        <v>1</v>
      </c>
      <c r="C297">
        <v>47</v>
      </c>
      <c r="D297">
        <v>0</v>
      </c>
      <c r="E297">
        <v>25000</v>
      </c>
      <c r="F297">
        <v>4030</v>
      </c>
      <c r="G297">
        <v>1</v>
      </c>
      <c r="H297">
        <v>0</v>
      </c>
      <c r="I297">
        <v>0</v>
      </c>
      <c r="J297">
        <v>18</v>
      </c>
      <c r="K297">
        <v>1</v>
      </c>
      <c r="L297">
        <f>Résultats!G$32+Résultats!G$33*Données!C297+Résultats!G$34*Données!D297+Résultats!G$35*Données!E297+Résultats!G$36*Données!F297+Résultats!G$37*Données!G297+Résultats!G$38*Données!H297+Résultats!G$39*Données!I297</f>
        <v>77048.847096278798</v>
      </c>
      <c r="M297">
        <f t="shared" si="16"/>
        <v>-52048.847096278798</v>
      </c>
      <c r="Q297">
        <v>115000</v>
      </c>
      <c r="R297">
        <v>1</v>
      </c>
      <c r="S297">
        <v>38</v>
      </c>
      <c r="T297">
        <v>1</v>
      </c>
      <c r="U297">
        <f t="shared" si="17"/>
        <v>12.206072645530174</v>
      </c>
      <c r="V297">
        <f t="shared" si="18"/>
        <v>8.3499572720403243</v>
      </c>
      <c r="W297">
        <v>1</v>
      </c>
      <c r="X297">
        <v>0</v>
      </c>
      <c r="Y297">
        <v>0</v>
      </c>
      <c r="Z297">
        <f>'Résultat (Ln)'!F$30+'Résultat (Ln)'!F$31*Données!S297+'Résultat (Ln)'!F$32*Données!T297+'Résultat (Ln)'!F$33*Données!U297+'Résultat (Ln)'!F$34*Données!V297+'Résultat (Ln)'!F$35*Données!W297+'Résultat (Ln)'!F$36*Données!X297+'Résultat (Ln)'!F$37*Données!Y297</f>
        <v>168088.41658838719</v>
      </c>
      <c r="AA297">
        <f t="shared" si="19"/>
        <v>-53088.41658838719</v>
      </c>
    </row>
    <row r="298" spans="1:27" x14ac:dyDescent="0.25">
      <c r="A298">
        <v>125000</v>
      </c>
      <c r="B298">
        <v>1</v>
      </c>
      <c r="C298">
        <v>44</v>
      </c>
      <c r="D298">
        <v>0</v>
      </c>
      <c r="E298">
        <v>300000</v>
      </c>
      <c r="F298">
        <v>5885</v>
      </c>
      <c r="G298">
        <v>1</v>
      </c>
      <c r="H298">
        <v>0</v>
      </c>
      <c r="I298">
        <v>0</v>
      </c>
      <c r="J298">
        <v>20</v>
      </c>
      <c r="K298">
        <v>1</v>
      </c>
      <c r="L298">
        <f>Résultats!G$32+Résultats!G$33*Données!C298+Résultats!G$34*Données!D298+Résultats!G$35*Données!E298+Résultats!G$36*Données!F298+Résultats!G$37*Données!G298+Résultats!G$38*Données!H298+Résultats!G$39*Données!I298</f>
        <v>205609.58040737317</v>
      </c>
      <c r="M298">
        <f t="shared" si="16"/>
        <v>-80609.580407373171</v>
      </c>
      <c r="Q298">
        <v>25000</v>
      </c>
      <c r="R298">
        <v>1</v>
      </c>
      <c r="S298">
        <v>47</v>
      </c>
      <c r="T298">
        <v>0</v>
      </c>
      <c r="U298">
        <f t="shared" si="17"/>
        <v>10.126631103850338</v>
      </c>
      <c r="V298">
        <f t="shared" si="18"/>
        <v>8.3015216549407285</v>
      </c>
      <c r="W298">
        <v>1</v>
      </c>
      <c r="X298">
        <v>0</v>
      </c>
      <c r="Y298">
        <v>0</v>
      </c>
      <c r="Z298">
        <f>'Résultat (Ln)'!F$30+'Résultat (Ln)'!F$31*Données!S298+'Résultat (Ln)'!F$32*Données!T298+'Résultat (Ln)'!F$33*Données!U298+'Résultat (Ln)'!F$34*Données!V298+'Résultat (Ln)'!F$35*Données!W298+'Résultat (Ln)'!F$36*Données!X298+'Résultat (Ln)'!F$37*Données!Y298</f>
        <v>-49527.35580007884</v>
      </c>
      <c r="AA298">
        <f t="shared" si="19"/>
        <v>74527.355800078833</v>
      </c>
    </row>
    <row r="299" spans="1:27" x14ac:dyDescent="0.25">
      <c r="A299">
        <v>145000</v>
      </c>
      <c r="B299">
        <v>1</v>
      </c>
      <c r="C299">
        <v>8</v>
      </c>
      <c r="D299">
        <v>0</v>
      </c>
      <c r="E299">
        <v>182000</v>
      </c>
      <c r="F299">
        <v>7093</v>
      </c>
      <c r="G299">
        <v>0</v>
      </c>
      <c r="H299">
        <v>0</v>
      </c>
      <c r="I299">
        <v>1</v>
      </c>
      <c r="J299">
        <v>6</v>
      </c>
      <c r="K299">
        <v>1</v>
      </c>
      <c r="L299">
        <f>Résultats!G$32+Résultats!G$33*Données!C299+Résultats!G$34*Données!D299+Résultats!G$35*Données!E299+Résultats!G$36*Données!F299+Résultats!G$37*Données!G299+Résultats!G$38*Données!H299+Résultats!G$39*Données!I299</f>
        <v>114406.64656951881</v>
      </c>
      <c r="M299">
        <f t="shared" si="16"/>
        <v>30593.353430481191</v>
      </c>
      <c r="Q299">
        <v>125000</v>
      </c>
      <c r="R299">
        <v>1</v>
      </c>
      <c r="S299">
        <v>44</v>
      </c>
      <c r="T299">
        <v>0</v>
      </c>
      <c r="U299">
        <f t="shared" si="17"/>
        <v>12.611537753638338</v>
      </c>
      <c r="V299">
        <f t="shared" si="18"/>
        <v>8.680162019694377</v>
      </c>
      <c r="W299">
        <v>1</v>
      </c>
      <c r="X299">
        <v>0</v>
      </c>
      <c r="Y299">
        <v>0</v>
      </c>
      <c r="Z299">
        <f>'Résultat (Ln)'!F$30+'Résultat (Ln)'!F$31*Données!S299+'Résultat (Ln)'!F$32*Données!T299+'Résultat (Ln)'!F$33*Données!U299+'Résultat (Ln)'!F$34*Données!V299+'Résultat (Ln)'!F$35*Données!W299+'Résultat (Ln)'!F$36*Données!X299+'Résultat (Ln)'!F$37*Données!Y299</f>
        <v>223796.76628449242</v>
      </c>
      <c r="AA299">
        <f t="shared" si="19"/>
        <v>-98796.76628449242</v>
      </c>
    </row>
    <row r="300" spans="1:27" x14ac:dyDescent="0.25">
      <c r="A300">
        <v>176000</v>
      </c>
      <c r="B300">
        <v>1</v>
      </c>
      <c r="C300">
        <v>40.700000762939453</v>
      </c>
      <c r="D300">
        <v>0</v>
      </c>
      <c r="E300">
        <v>235000</v>
      </c>
      <c r="F300">
        <v>5941</v>
      </c>
      <c r="G300">
        <v>0</v>
      </c>
      <c r="H300">
        <v>0</v>
      </c>
      <c r="I300">
        <v>0</v>
      </c>
      <c r="J300">
        <v>33.700000762939453</v>
      </c>
      <c r="K300">
        <v>1</v>
      </c>
      <c r="L300">
        <f>Résultats!G$32+Résultats!G$33*Données!C300+Résultats!G$34*Données!D300+Résultats!G$35*Données!E300+Résultats!G$36*Données!F300+Résultats!G$37*Données!G300+Résultats!G$38*Données!H300+Résultats!G$39*Données!I300</f>
        <v>164558.90418036396</v>
      </c>
      <c r="M300">
        <f t="shared" si="16"/>
        <v>11441.095819636044</v>
      </c>
      <c r="Q300">
        <v>145000</v>
      </c>
      <c r="R300">
        <v>1</v>
      </c>
      <c r="S300">
        <v>8</v>
      </c>
      <c r="T300">
        <v>0</v>
      </c>
      <c r="U300">
        <f t="shared" si="17"/>
        <v>12.111761966058932</v>
      </c>
      <c r="V300">
        <f t="shared" si="18"/>
        <v>8.8668636612020872</v>
      </c>
      <c r="W300">
        <v>0</v>
      </c>
      <c r="X300">
        <v>0</v>
      </c>
      <c r="Y300">
        <v>1</v>
      </c>
      <c r="Z300">
        <f>'Résultat (Ln)'!F$30+'Résultat (Ln)'!F$31*Données!S300+'Résultat (Ln)'!F$32*Données!T300+'Résultat (Ln)'!F$33*Données!U300+'Résultat (Ln)'!F$34*Données!V300+'Résultat (Ln)'!F$35*Données!W300+'Résultat (Ln)'!F$36*Données!X300+'Résultat (Ln)'!F$37*Données!Y300</f>
        <v>141038.6383914444</v>
      </c>
      <c r="AA300">
        <f t="shared" si="19"/>
        <v>3961.3616085555987</v>
      </c>
    </row>
    <row r="301" spans="1:27" x14ac:dyDescent="0.25">
      <c r="A301">
        <v>89000</v>
      </c>
      <c r="B301">
        <v>1</v>
      </c>
      <c r="C301">
        <v>26.60000038146973</v>
      </c>
      <c r="D301">
        <v>0</v>
      </c>
      <c r="E301">
        <v>99000</v>
      </c>
      <c r="F301">
        <v>4582</v>
      </c>
      <c r="G301">
        <v>1</v>
      </c>
      <c r="H301">
        <v>0</v>
      </c>
      <c r="I301">
        <v>0</v>
      </c>
      <c r="J301">
        <v>21.20000076293945</v>
      </c>
      <c r="K301">
        <v>1</v>
      </c>
      <c r="L301">
        <f>Résultats!G$32+Résultats!G$33*Données!C301+Résultats!G$34*Données!D301+Résultats!G$35*Données!E301+Résultats!G$36*Données!F301+Résultats!G$37*Données!G301+Résultats!G$38*Données!H301+Résultats!G$39*Données!I301</f>
        <v>89240.172308131136</v>
      </c>
      <c r="M301">
        <f t="shared" si="16"/>
        <v>-240.17230813113565</v>
      </c>
      <c r="Q301">
        <v>176000</v>
      </c>
      <c r="R301">
        <v>1</v>
      </c>
      <c r="S301">
        <v>40.700000762939453</v>
      </c>
      <c r="T301">
        <v>0</v>
      </c>
      <c r="U301">
        <f t="shared" si="17"/>
        <v>12.367340793126296</v>
      </c>
      <c r="V301">
        <f t="shared" si="18"/>
        <v>8.6896327483557414</v>
      </c>
      <c r="W301">
        <v>0</v>
      </c>
      <c r="X301">
        <v>0</v>
      </c>
      <c r="Y301">
        <v>0</v>
      </c>
      <c r="Z301">
        <f>'Résultat (Ln)'!F$30+'Résultat (Ln)'!F$31*Données!S301+'Résultat (Ln)'!F$32*Données!T301+'Résultat (Ln)'!F$33*Données!U301+'Résultat (Ln)'!F$34*Données!V301+'Résultat (Ln)'!F$35*Données!W301+'Résultat (Ln)'!F$36*Données!X301+'Résultat (Ln)'!F$37*Données!Y301</f>
        <v>189338.78375603326</v>
      </c>
      <c r="AA301">
        <f t="shared" si="19"/>
        <v>-13338.783756033255</v>
      </c>
    </row>
    <row r="302" spans="1:27" x14ac:dyDescent="0.25">
      <c r="A302">
        <v>125000</v>
      </c>
      <c r="B302">
        <v>1</v>
      </c>
      <c r="C302">
        <v>38.599998474121087</v>
      </c>
      <c r="D302">
        <v>0</v>
      </c>
      <c r="E302">
        <v>145000</v>
      </c>
      <c r="F302">
        <v>4552</v>
      </c>
      <c r="G302">
        <v>1</v>
      </c>
      <c r="H302">
        <v>0</v>
      </c>
      <c r="I302">
        <v>0</v>
      </c>
      <c r="J302">
        <v>30.10000038146973</v>
      </c>
      <c r="K302">
        <v>1</v>
      </c>
      <c r="L302">
        <f>Résultats!G$32+Résultats!G$33*Données!C302+Résultats!G$34*Données!D302+Résultats!G$35*Données!E302+Résultats!G$36*Données!F302+Résultats!G$37*Données!G302+Résultats!G$38*Données!H302+Résultats!G$39*Données!I302</f>
        <v>124445.93140459686</v>
      </c>
      <c r="M302">
        <f t="shared" si="16"/>
        <v>554.06859540313599</v>
      </c>
      <c r="Q302">
        <v>89000</v>
      </c>
      <c r="R302">
        <v>1</v>
      </c>
      <c r="S302">
        <v>26.60000038146973</v>
      </c>
      <c r="T302">
        <v>0</v>
      </c>
      <c r="U302">
        <f t="shared" si="17"/>
        <v>11.502875129116727</v>
      </c>
      <c r="V302">
        <f t="shared" si="18"/>
        <v>8.4298908630134406</v>
      </c>
      <c r="W302">
        <v>1</v>
      </c>
      <c r="X302">
        <v>0</v>
      </c>
      <c r="Y302">
        <v>0</v>
      </c>
      <c r="Z302">
        <f>'Résultat (Ln)'!F$30+'Résultat (Ln)'!F$31*Données!S302+'Résultat (Ln)'!F$32*Données!T302+'Résultat (Ln)'!F$33*Données!U302+'Résultat (Ln)'!F$34*Données!V302+'Résultat (Ln)'!F$35*Données!W302+'Résultat (Ln)'!F$36*Données!X302+'Résultat (Ln)'!F$37*Données!Y302</f>
        <v>76670.482887606384</v>
      </c>
      <c r="AA302">
        <f t="shared" si="19"/>
        <v>12329.517112393616</v>
      </c>
    </row>
    <row r="303" spans="1:27" x14ac:dyDescent="0.25">
      <c r="A303">
        <v>141000</v>
      </c>
      <c r="B303">
        <v>1</v>
      </c>
      <c r="C303">
        <v>34</v>
      </c>
      <c r="D303">
        <v>0</v>
      </c>
      <c r="E303">
        <v>177000</v>
      </c>
      <c r="F303">
        <v>2625</v>
      </c>
      <c r="G303">
        <v>1</v>
      </c>
      <c r="H303">
        <v>0</v>
      </c>
      <c r="I303">
        <v>1</v>
      </c>
      <c r="J303">
        <v>28</v>
      </c>
      <c r="K303">
        <v>1</v>
      </c>
      <c r="L303">
        <f>Résultats!G$32+Résultats!G$33*Données!C303+Résultats!G$34*Données!D303+Résultats!G$35*Données!E303+Résultats!G$36*Données!F303+Résultats!G$37*Données!G303+Résultats!G$38*Données!H303+Résultats!G$39*Données!I303</f>
        <v>140295.89461406841</v>
      </c>
      <c r="M303">
        <f t="shared" si="16"/>
        <v>704.10538593158708</v>
      </c>
      <c r="Q303">
        <v>125000</v>
      </c>
      <c r="R303">
        <v>1</v>
      </c>
      <c r="S303">
        <v>38.599998474121087</v>
      </c>
      <c r="T303">
        <v>0</v>
      </c>
      <c r="U303">
        <f t="shared" si="17"/>
        <v>11.884489021402711</v>
      </c>
      <c r="V303">
        <f t="shared" si="18"/>
        <v>8.4233219758061662</v>
      </c>
      <c r="W303">
        <v>1</v>
      </c>
      <c r="X303">
        <v>0</v>
      </c>
      <c r="Y303">
        <v>0</v>
      </c>
      <c r="Z303">
        <f>'Résultat (Ln)'!F$30+'Résultat (Ln)'!F$31*Données!S303+'Résultat (Ln)'!F$32*Données!T303+'Résultat (Ln)'!F$33*Données!U303+'Résultat (Ln)'!F$34*Données!V303+'Résultat (Ln)'!F$35*Données!W303+'Résultat (Ln)'!F$36*Données!X303+'Résultat (Ln)'!F$37*Données!Y303</f>
        <v>132058.05986579467</v>
      </c>
      <c r="AA303">
        <f t="shared" si="19"/>
        <v>-7058.0598657946684</v>
      </c>
    </row>
    <row r="304" spans="1:27" x14ac:dyDescent="0.25">
      <c r="A304">
        <v>80000</v>
      </c>
      <c r="B304">
        <v>1</v>
      </c>
      <c r="C304">
        <v>36</v>
      </c>
      <c r="D304">
        <v>0</v>
      </c>
      <c r="E304">
        <v>102000</v>
      </c>
      <c r="F304">
        <v>3900</v>
      </c>
      <c r="G304">
        <v>0</v>
      </c>
      <c r="H304">
        <v>0</v>
      </c>
      <c r="I304">
        <v>0</v>
      </c>
      <c r="J304">
        <v>24</v>
      </c>
      <c r="K304">
        <v>1</v>
      </c>
      <c r="L304">
        <f>Résultats!G$32+Résultats!G$33*Données!C304+Résultats!G$34*Données!D304+Résultats!G$35*Données!E304+Résultats!G$36*Données!F304+Résultats!G$37*Données!G304+Résultats!G$38*Données!H304+Résultats!G$39*Données!I304</f>
        <v>93100.343775178582</v>
      </c>
      <c r="M304">
        <f t="shared" si="16"/>
        <v>-13100.343775178582</v>
      </c>
      <c r="Q304">
        <v>141000</v>
      </c>
      <c r="R304">
        <v>1</v>
      </c>
      <c r="S304">
        <v>34</v>
      </c>
      <c r="T304">
        <v>0</v>
      </c>
      <c r="U304">
        <f t="shared" si="17"/>
        <v>12.083905011555967</v>
      </c>
      <c r="V304">
        <f t="shared" si="18"/>
        <v>7.8728361750257241</v>
      </c>
      <c r="W304">
        <v>1</v>
      </c>
      <c r="X304">
        <v>0</v>
      </c>
      <c r="Y304">
        <v>1</v>
      </c>
      <c r="Z304">
        <f>'Résultat (Ln)'!F$30+'Résultat (Ln)'!F$31*Données!S304+'Résultat (Ln)'!F$32*Données!T304+'Résultat (Ln)'!F$33*Données!U304+'Résultat (Ln)'!F$34*Données!V304+'Résultat (Ln)'!F$35*Données!W304+'Résultat (Ln)'!F$36*Données!X304+'Résultat (Ln)'!F$37*Données!Y304</f>
        <v>146461.30344903714</v>
      </c>
      <c r="AA304">
        <f t="shared" si="19"/>
        <v>-5461.3034490371356</v>
      </c>
    </row>
    <row r="305" spans="1:27" x14ac:dyDescent="0.25">
      <c r="A305">
        <v>90000</v>
      </c>
      <c r="B305">
        <v>1</v>
      </c>
      <c r="C305">
        <v>31.70000076293945</v>
      </c>
      <c r="D305">
        <v>0</v>
      </c>
      <c r="E305">
        <v>178000</v>
      </c>
      <c r="F305">
        <v>3333</v>
      </c>
      <c r="G305">
        <v>1</v>
      </c>
      <c r="H305">
        <v>1</v>
      </c>
      <c r="I305">
        <v>0</v>
      </c>
      <c r="J305">
        <v>30.190000534057621</v>
      </c>
      <c r="K305">
        <v>1</v>
      </c>
      <c r="L305">
        <f>Résultats!G$32+Résultats!G$33*Données!C305+Résultats!G$34*Données!D305+Résultats!G$35*Données!E305+Résultats!G$36*Données!F305+Résultats!G$37*Données!G305+Résultats!G$38*Données!H305+Résultats!G$39*Données!I305</f>
        <v>127942.12700594513</v>
      </c>
      <c r="M305">
        <f t="shared" si="16"/>
        <v>-37942.127005945134</v>
      </c>
      <c r="Q305">
        <v>80000</v>
      </c>
      <c r="R305">
        <v>1</v>
      </c>
      <c r="S305">
        <v>36</v>
      </c>
      <c r="T305">
        <v>0</v>
      </c>
      <c r="U305">
        <f t="shared" si="17"/>
        <v>11.532728092266408</v>
      </c>
      <c r="V305">
        <f t="shared" si="18"/>
        <v>8.2687318321177372</v>
      </c>
      <c r="W305">
        <v>0</v>
      </c>
      <c r="X305">
        <v>0</v>
      </c>
      <c r="Y305">
        <v>0</v>
      </c>
      <c r="Z305">
        <f>'Résultat (Ln)'!F$30+'Résultat (Ln)'!F$31*Données!S305+'Résultat (Ln)'!F$32*Données!T305+'Résultat (Ln)'!F$33*Données!U305+'Résultat (Ln)'!F$34*Données!V305+'Résultat (Ln)'!F$35*Données!W305+'Résultat (Ln)'!F$36*Données!X305+'Résultat (Ln)'!F$37*Données!Y305</f>
        <v>82323.90916260588</v>
      </c>
      <c r="AA305">
        <f t="shared" si="19"/>
        <v>-2323.9091626058798</v>
      </c>
    </row>
    <row r="306" spans="1:27" x14ac:dyDescent="0.25">
      <c r="A306">
        <v>175000</v>
      </c>
      <c r="B306">
        <v>1</v>
      </c>
      <c r="C306">
        <v>35.700000762939453</v>
      </c>
      <c r="D306">
        <v>0</v>
      </c>
      <c r="E306">
        <v>250000</v>
      </c>
      <c r="F306">
        <v>5695</v>
      </c>
      <c r="G306">
        <v>1</v>
      </c>
      <c r="H306">
        <v>0</v>
      </c>
      <c r="I306">
        <v>0</v>
      </c>
      <c r="J306">
        <v>18.090000152587891</v>
      </c>
      <c r="K306">
        <v>1</v>
      </c>
      <c r="L306">
        <f>Résultats!G$32+Résultats!G$33*Données!C306+Résultats!G$34*Données!D306+Résultats!G$35*Données!E306+Résultats!G$36*Données!F306+Résultats!G$37*Données!G306+Résultats!G$38*Données!H306+Résultats!G$39*Données!I306</f>
        <v>172359.77410393732</v>
      </c>
      <c r="M306">
        <f t="shared" si="16"/>
        <v>2640.2258960626787</v>
      </c>
      <c r="Q306">
        <v>90000</v>
      </c>
      <c r="R306">
        <v>1</v>
      </c>
      <c r="S306">
        <v>31.70000076293945</v>
      </c>
      <c r="T306">
        <v>0</v>
      </c>
      <c r="U306">
        <f t="shared" si="17"/>
        <v>12.089538829274222</v>
      </c>
      <c r="V306">
        <f t="shared" si="18"/>
        <v>8.1116280783077404</v>
      </c>
      <c r="W306">
        <v>1</v>
      </c>
      <c r="X306">
        <v>1</v>
      </c>
      <c r="Y306">
        <v>0</v>
      </c>
      <c r="Z306">
        <f>'Résultat (Ln)'!F$30+'Résultat (Ln)'!F$31*Données!S306+'Résultat (Ln)'!F$32*Données!T306+'Résultat (Ln)'!F$33*Données!U306+'Résultat (Ln)'!F$34*Données!V306+'Résultat (Ln)'!F$35*Données!W306+'Résultat (Ln)'!F$36*Données!X306+'Résultat (Ln)'!F$37*Données!Y306</f>
        <v>136687.16870135863</v>
      </c>
      <c r="AA306">
        <f t="shared" si="19"/>
        <v>-46687.168701358634</v>
      </c>
    </row>
    <row r="307" spans="1:27" x14ac:dyDescent="0.25">
      <c r="A307">
        <v>132000</v>
      </c>
      <c r="B307">
        <v>1</v>
      </c>
      <c r="C307">
        <v>32</v>
      </c>
      <c r="D307">
        <v>0</v>
      </c>
      <c r="E307">
        <v>165000</v>
      </c>
      <c r="F307">
        <v>4503</v>
      </c>
      <c r="G307">
        <v>0</v>
      </c>
      <c r="H307">
        <v>1</v>
      </c>
      <c r="I307">
        <v>0</v>
      </c>
      <c r="J307">
        <v>22</v>
      </c>
      <c r="K307">
        <v>1</v>
      </c>
      <c r="L307">
        <f>Résultats!G$32+Résultats!G$33*Données!C307+Résultats!G$34*Données!D307+Résultats!G$35*Données!E307+Résultats!G$36*Données!F307+Résultats!G$37*Données!G307+Résultats!G$38*Données!H307+Résultats!G$39*Données!I307</f>
        <v>117466.92748745611</v>
      </c>
      <c r="M307">
        <f t="shared" si="16"/>
        <v>14533.072512543891</v>
      </c>
      <c r="Q307">
        <v>175000</v>
      </c>
      <c r="R307">
        <v>1</v>
      </c>
      <c r="S307">
        <v>35.700000762939453</v>
      </c>
      <c r="T307">
        <v>0</v>
      </c>
      <c r="U307">
        <f t="shared" si="17"/>
        <v>12.429216196844383</v>
      </c>
      <c r="V307">
        <f t="shared" si="18"/>
        <v>8.6473438758812833</v>
      </c>
      <c r="W307">
        <v>1</v>
      </c>
      <c r="X307">
        <v>0</v>
      </c>
      <c r="Y307">
        <v>0</v>
      </c>
      <c r="Z307">
        <f>'Résultat (Ln)'!F$30+'Résultat (Ln)'!F$31*Données!S307+'Résultat (Ln)'!F$32*Données!T307+'Résultat (Ln)'!F$33*Données!U307+'Résultat (Ln)'!F$34*Données!V307+'Résultat (Ln)'!F$35*Données!W307+'Résultat (Ln)'!F$36*Données!X307+'Résultat (Ln)'!F$37*Données!Y307</f>
        <v>193189.35376056578</v>
      </c>
      <c r="AA307">
        <f t="shared" si="19"/>
        <v>-18189.353760565777</v>
      </c>
    </row>
    <row r="308" spans="1:27" x14ac:dyDescent="0.25">
      <c r="A308">
        <v>92000</v>
      </c>
      <c r="B308">
        <v>1</v>
      </c>
      <c r="C308">
        <v>24.39999961853027</v>
      </c>
      <c r="D308">
        <v>0</v>
      </c>
      <c r="E308">
        <v>115000</v>
      </c>
      <c r="F308">
        <v>5293</v>
      </c>
      <c r="G308">
        <v>1</v>
      </c>
      <c r="H308">
        <v>0</v>
      </c>
      <c r="I308">
        <v>0</v>
      </c>
      <c r="J308">
        <v>23.60000038146973</v>
      </c>
      <c r="K308">
        <v>1</v>
      </c>
      <c r="L308">
        <f>Résultats!G$32+Résultats!G$33*Données!C308+Résultats!G$34*Données!D308+Résultats!G$35*Données!E308+Résultats!G$36*Données!F308+Résultats!G$37*Données!G308+Résultats!G$38*Données!H308+Résultats!G$39*Données!I308</f>
        <v>95562.11571352047</v>
      </c>
      <c r="M308">
        <f t="shared" si="16"/>
        <v>-3562.1157135204703</v>
      </c>
      <c r="Q308">
        <v>132000</v>
      </c>
      <c r="R308">
        <v>1</v>
      </c>
      <c r="S308">
        <v>32</v>
      </c>
      <c r="T308">
        <v>0</v>
      </c>
      <c r="U308">
        <f t="shared" si="17"/>
        <v>12.013700752882718</v>
      </c>
      <c r="V308">
        <f t="shared" si="18"/>
        <v>8.4124991203015718</v>
      </c>
      <c r="W308">
        <v>0</v>
      </c>
      <c r="X308">
        <v>1</v>
      </c>
      <c r="Y308">
        <v>0</v>
      </c>
      <c r="Z308">
        <f>'Résultat (Ln)'!F$30+'Résultat (Ln)'!F$31*Données!S308+'Résultat (Ln)'!F$32*Données!T308+'Résultat (Ln)'!F$33*Données!U308+'Résultat (Ln)'!F$34*Données!V308+'Résultat (Ln)'!F$35*Données!W308+'Résultat (Ln)'!F$36*Données!X308+'Résultat (Ln)'!F$37*Données!Y308</f>
        <v>132848.4105718323</v>
      </c>
      <c r="AA308">
        <f t="shared" si="19"/>
        <v>-848.41057183229714</v>
      </c>
    </row>
    <row r="309" spans="1:27" x14ac:dyDescent="0.25">
      <c r="A309">
        <v>130000</v>
      </c>
      <c r="B309">
        <v>1</v>
      </c>
      <c r="C309">
        <v>47.900001525878913</v>
      </c>
      <c r="D309">
        <v>0</v>
      </c>
      <c r="E309">
        <v>184000</v>
      </c>
      <c r="F309">
        <v>2750</v>
      </c>
      <c r="G309">
        <v>0</v>
      </c>
      <c r="H309">
        <v>0</v>
      </c>
      <c r="I309">
        <v>1</v>
      </c>
      <c r="J309">
        <v>46.849998474121087</v>
      </c>
      <c r="K309">
        <v>1</v>
      </c>
      <c r="L309">
        <f>Résultats!G$32+Résultats!G$33*Données!C309+Résultats!G$34*Données!D309+Résultats!G$35*Données!E309+Résultats!G$36*Données!F309+Résultats!G$37*Données!G309+Résultats!G$38*Données!H309+Résultats!G$39*Données!I309</f>
        <v>152756.69245691597</v>
      </c>
      <c r="M309">
        <f t="shared" si="16"/>
        <v>-22756.692456915975</v>
      </c>
      <c r="Q309">
        <v>92000</v>
      </c>
      <c r="R309">
        <v>1</v>
      </c>
      <c r="S309">
        <v>24.39999961853027</v>
      </c>
      <c r="T309">
        <v>0</v>
      </c>
      <c r="U309">
        <f t="shared" si="17"/>
        <v>11.652687407345388</v>
      </c>
      <c r="V309">
        <f t="shared" si="18"/>
        <v>8.5741404718579872</v>
      </c>
      <c r="W309">
        <v>1</v>
      </c>
      <c r="X309">
        <v>0</v>
      </c>
      <c r="Y309">
        <v>0</v>
      </c>
      <c r="Z309">
        <f>'Résultat (Ln)'!F$30+'Résultat (Ln)'!F$31*Données!S309+'Résultat (Ln)'!F$32*Données!T309+'Résultat (Ln)'!F$33*Données!U309+'Résultat (Ln)'!F$34*Données!V309+'Résultat (Ln)'!F$35*Données!W309+'Résultat (Ln)'!F$36*Données!X309+'Résultat (Ln)'!F$37*Données!Y309</f>
        <v>94086.798492084243</v>
      </c>
      <c r="AA309">
        <f t="shared" si="19"/>
        <v>-2086.7984920842428</v>
      </c>
    </row>
    <row r="310" spans="1:27" x14ac:dyDescent="0.25">
      <c r="A310">
        <v>94000</v>
      </c>
      <c r="B310">
        <v>1</v>
      </c>
      <c r="C310">
        <v>35</v>
      </c>
      <c r="D310">
        <v>0</v>
      </c>
      <c r="E310">
        <v>102000</v>
      </c>
      <c r="F310">
        <v>4400</v>
      </c>
      <c r="G310">
        <v>0</v>
      </c>
      <c r="H310">
        <v>0</v>
      </c>
      <c r="I310">
        <v>0</v>
      </c>
      <c r="J310">
        <v>23</v>
      </c>
      <c r="K310">
        <v>1</v>
      </c>
      <c r="L310">
        <f>Résultats!G$32+Résultats!G$33*Données!C310+Résultats!G$34*Données!D310+Résultats!G$35*Données!E310+Résultats!G$36*Données!F310+Résultats!G$37*Données!G310+Résultats!G$38*Données!H310+Résultats!G$39*Données!I310</f>
        <v>92920.567078938766</v>
      </c>
      <c r="M310">
        <f t="shared" si="16"/>
        <v>1079.4329210612341</v>
      </c>
      <c r="Q310">
        <v>130000</v>
      </c>
      <c r="R310">
        <v>1</v>
      </c>
      <c r="S310">
        <v>47.900001525878913</v>
      </c>
      <c r="T310">
        <v>0</v>
      </c>
      <c r="U310">
        <f t="shared" si="17"/>
        <v>12.122691036591123</v>
      </c>
      <c r="V310">
        <f t="shared" si="18"/>
        <v>7.9193561906606167</v>
      </c>
      <c r="W310">
        <v>0</v>
      </c>
      <c r="X310">
        <v>0</v>
      </c>
      <c r="Y310">
        <v>1</v>
      </c>
      <c r="Z310">
        <f>'Résultat (Ln)'!F$30+'Résultat (Ln)'!F$31*Données!S310+'Résultat (Ln)'!F$32*Données!T310+'Résultat (Ln)'!F$33*Données!U310+'Résultat (Ln)'!F$34*Données!V310+'Résultat (Ln)'!F$35*Données!W310+'Résultat (Ln)'!F$36*Données!X310+'Résultat (Ln)'!F$37*Données!Y310</f>
        <v>164396.02457104737</v>
      </c>
      <c r="AA310">
        <f t="shared" si="19"/>
        <v>-34396.024571047368</v>
      </c>
    </row>
    <row r="311" spans="1:27" x14ac:dyDescent="0.25">
      <c r="A311">
        <v>155000</v>
      </c>
      <c r="B311">
        <v>1</v>
      </c>
      <c r="C311">
        <v>39</v>
      </c>
      <c r="D311">
        <v>0</v>
      </c>
      <c r="E311">
        <v>254000</v>
      </c>
      <c r="F311">
        <v>4845</v>
      </c>
      <c r="G311">
        <v>1</v>
      </c>
      <c r="H311">
        <v>0</v>
      </c>
      <c r="I311">
        <v>0</v>
      </c>
      <c r="J311">
        <v>25</v>
      </c>
      <c r="K311">
        <v>1</v>
      </c>
      <c r="L311">
        <f>Résultats!G$32+Résultats!G$33*Données!C311+Résultats!G$34*Données!D311+Résultats!G$35*Données!E311+Résultats!G$36*Données!F311+Résultats!G$37*Données!G311+Résultats!G$38*Données!H311+Résultats!G$39*Données!I311</f>
        <v>176371.07929245793</v>
      </c>
      <c r="M311">
        <f t="shared" si="16"/>
        <v>-21371.079292457929</v>
      </c>
      <c r="Q311">
        <v>94000</v>
      </c>
      <c r="R311">
        <v>1</v>
      </c>
      <c r="S311">
        <v>35</v>
      </c>
      <c r="T311">
        <v>0</v>
      </c>
      <c r="U311">
        <f t="shared" si="17"/>
        <v>11.532728092266408</v>
      </c>
      <c r="V311">
        <f t="shared" si="18"/>
        <v>8.3893598199063533</v>
      </c>
      <c r="W311">
        <v>0</v>
      </c>
      <c r="X311">
        <v>0</v>
      </c>
      <c r="Y311">
        <v>0</v>
      </c>
      <c r="Z311">
        <f>'Résultat (Ln)'!F$30+'Résultat (Ln)'!F$31*Données!S311+'Résultat (Ln)'!F$32*Données!T311+'Résultat (Ln)'!F$33*Données!U311+'Résultat (Ln)'!F$34*Données!V311+'Résultat (Ln)'!F$35*Données!W311+'Résultat (Ln)'!F$36*Données!X311+'Résultat (Ln)'!F$37*Données!Y311</f>
        <v>84484.975754480314</v>
      </c>
      <c r="AA311">
        <f t="shared" si="19"/>
        <v>9515.0242455196858</v>
      </c>
    </row>
    <row r="312" spans="1:27" x14ac:dyDescent="0.25">
      <c r="A312">
        <v>131000</v>
      </c>
      <c r="B312">
        <v>1</v>
      </c>
      <c r="C312">
        <v>32</v>
      </c>
      <c r="D312">
        <v>0</v>
      </c>
      <c r="E312">
        <v>139000</v>
      </c>
      <c r="F312">
        <v>2958</v>
      </c>
      <c r="G312">
        <v>1</v>
      </c>
      <c r="H312">
        <v>0</v>
      </c>
      <c r="I312">
        <v>0</v>
      </c>
      <c r="J312">
        <v>25</v>
      </c>
      <c r="K312">
        <v>1</v>
      </c>
      <c r="L312">
        <f>Résultats!G$32+Résultats!G$33*Données!C312+Résultats!G$34*Données!D312+Résultats!G$35*Données!E312+Résultats!G$36*Données!F312+Résultats!G$37*Données!G312+Résultats!G$38*Données!H312+Résultats!G$39*Données!I312</f>
        <v>110974.15598210125</v>
      </c>
      <c r="M312">
        <f t="shared" si="16"/>
        <v>20025.844017898751</v>
      </c>
      <c r="Q312">
        <v>155000</v>
      </c>
      <c r="R312">
        <v>1</v>
      </c>
      <c r="S312">
        <v>39</v>
      </c>
      <c r="T312">
        <v>0</v>
      </c>
      <c r="U312">
        <f t="shared" si="17"/>
        <v>12.445089546000673</v>
      </c>
      <c r="V312">
        <f t="shared" si="18"/>
        <v>8.485702524324866</v>
      </c>
      <c r="W312">
        <v>1</v>
      </c>
      <c r="X312">
        <v>0</v>
      </c>
      <c r="Y312">
        <v>0</v>
      </c>
      <c r="Z312">
        <f>'Résultat (Ln)'!F$30+'Résultat (Ln)'!F$31*Données!S312+'Résultat (Ln)'!F$32*Données!T312+'Résultat (Ln)'!F$33*Données!U312+'Résultat (Ln)'!F$34*Données!V312+'Résultat (Ln)'!F$35*Données!W312+'Résultat (Ln)'!F$36*Données!X312+'Résultat (Ln)'!F$37*Données!Y312</f>
        <v>194390.28081381263</v>
      </c>
      <c r="AA312">
        <f t="shared" si="19"/>
        <v>-39390.280813812627</v>
      </c>
    </row>
    <row r="313" spans="1:27" x14ac:dyDescent="0.25">
      <c r="A313">
        <v>130000</v>
      </c>
      <c r="B313">
        <v>1</v>
      </c>
      <c r="C313">
        <v>47</v>
      </c>
      <c r="D313">
        <v>0</v>
      </c>
      <c r="E313">
        <v>137000</v>
      </c>
      <c r="F313">
        <v>4402</v>
      </c>
      <c r="G313">
        <v>0</v>
      </c>
      <c r="H313">
        <v>0</v>
      </c>
      <c r="I313">
        <v>0</v>
      </c>
      <c r="J313">
        <v>31</v>
      </c>
      <c r="K313">
        <v>0</v>
      </c>
      <c r="L313">
        <f>Résultats!G$32+Résultats!G$33*Données!C313+Résultats!G$34*Données!D313+Résultats!G$35*Données!E313+Résultats!G$36*Données!F313+Résultats!G$37*Données!G313+Résultats!G$38*Données!H313+Résultats!G$39*Données!I313</f>
        <v>123051.85160662477</v>
      </c>
      <c r="M313">
        <f t="shared" si="16"/>
        <v>6948.1483933752315</v>
      </c>
      <c r="Q313">
        <v>131000</v>
      </c>
      <c r="R313">
        <v>1</v>
      </c>
      <c r="S313">
        <v>32</v>
      </c>
      <c r="T313">
        <v>0</v>
      </c>
      <c r="U313">
        <f t="shared" si="17"/>
        <v>11.842229212112828</v>
      </c>
      <c r="V313">
        <f t="shared" si="18"/>
        <v>7.9922686432707453</v>
      </c>
      <c r="W313">
        <v>1</v>
      </c>
      <c r="X313">
        <v>0</v>
      </c>
      <c r="Y313">
        <v>0</v>
      </c>
      <c r="Z313">
        <f>'Résultat (Ln)'!F$30+'Résultat (Ln)'!F$31*Données!S313+'Résultat (Ln)'!F$32*Données!T313+'Résultat (Ln)'!F$33*Données!U313+'Résultat (Ln)'!F$34*Données!V313+'Résultat (Ln)'!F$35*Données!W313+'Résultat (Ln)'!F$36*Données!X313+'Résultat (Ln)'!F$37*Données!Y313</f>
        <v>107373.29465391398</v>
      </c>
      <c r="AA313">
        <f t="shared" si="19"/>
        <v>23626.705346086019</v>
      </c>
    </row>
    <row r="314" spans="1:27" x14ac:dyDescent="0.25">
      <c r="A314">
        <v>188000</v>
      </c>
      <c r="B314">
        <v>1</v>
      </c>
      <c r="C314">
        <v>28.39999961853027</v>
      </c>
      <c r="D314">
        <v>0</v>
      </c>
      <c r="E314">
        <v>528000</v>
      </c>
      <c r="F314">
        <v>6250</v>
      </c>
      <c r="G314">
        <v>1</v>
      </c>
      <c r="H314">
        <v>0</v>
      </c>
      <c r="I314">
        <v>0</v>
      </c>
      <c r="J314">
        <v>21.430000305175781</v>
      </c>
      <c r="K314">
        <v>1</v>
      </c>
      <c r="L314">
        <f>Résultats!G$32+Résultats!G$33*Données!C314+Résultats!G$34*Données!D314+Résultats!G$35*Données!E314+Résultats!G$36*Données!F314+Résultats!G$37*Données!G314+Résultats!G$38*Données!H314+Résultats!G$39*Données!I314</f>
        <v>294862.95970081177</v>
      </c>
      <c r="M314">
        <f t="shared" si="16"/>
        <v>-106862.95970081177</v>
      </c>
      <c r="Q314">
        <v>130000</v>
      </c>
      <c r="R314">
        <v>1</v>
      </c>
      <c r="S314">
        <v>47</v>
      </c>
      <c r="T314">
        <v>0</v>
      </c>
      <c r="U314">
        <f t="shared" si="17"/>
        <v>11.827736204810263</v>
      </c>
      <c r="V314">
        <f t="shared" si="18"/>
        <v>8.3898142620864071</v>
      </c>
      <c r="W314">
        <v>0</v>
      </c>
      <c r="X314">
        <v>0</v>
      </c>
      <c r="Y314">
        <v>0</v>
      </c>
      <c r="Z314">
        <f>'Résultat (Ln)'!F$30+'Résultat (Ln)'!F$31*Données!S314+'Résultat (Ln)'!F$32*Données!T314+'Résultat (Ln)'!F$33*Données!U314+'Résultat (Ln)'!F$34*Données!V314+'Résultat (Ln)'!F$35*Données!W314+'Résultat (Ln)'!F$36*Données!X314+'Résultat (Ln)'!F$37*Données!Y314</f>
        <v>130785.7742929091</v>
      </c>
      <c r="AA314">
        <f t="shared" si="19"/>
        <v>-785.77429290910368</v>
      </c>
    </row>
    <row r="315" spans="1:27" x14ac:dyDescent="0.25">
      <c r="A315">
        <v>81000</v>
      </c>
      <c r="B315">
        <v>1</v>
      </c>
      <c r="C315">
        <v>39</v>
      </c>
      <c r="D315">
        <v>0</v>
      </c>
      <c r="E315">
        <v>90000</v>
      </c>
      <c r="F315">
        <v>3273</v>
      </c>
      <c r="G315">
        <v>1</v>
      </c>
      <c r="H315">
        <v>0</v>
      </c>
      <c r="I315">
        <v>0</v>
      </c>
      <c r="J315">
        <v>19</v>
      </c>
      <c r="K315">
        <v>1</v>
      </c>
      <c r="L315">
        <f>Résultats!G$32+Résultats!G$33*Données!C315+Résultats!G$34*Données!D315+Résultats!G$35*Données!E315+Résultats!G$36*Données!F315+Résultats!G$37*Données!G315+Résultats!G$38*Données!H315+Résultats!G$39*Données!I315</f>
        <v>96744.541491180091</v>
      </c>
      <c r="M315">
        <f t="shared" si="16"/>
        <v>-15744.541491180091</v>
      </c>
      <c r="Q315">
        <v>188000</v>
      </c>
      <c r="R315">
        <v>1</v>
      </c>
      <c r="S315">
        <v>28.39999961853027</v>
      </c>
      <c r="T315">
        <v>0</v>
      </c>
      <c r="U315">
        <f t="shared" si="17"/>
        <v>13.176851562688398</v>
      </c>
      <c r="V315">
        <f t="shared" si="18"/>
        <v>8.740336742730447</v>
      </c>
      <c r="W315">
        <v>1</v>
      </c>
      <c r="X315">
        <v>0</v>
      </c>
      <c r="Y315">
        <v>0</v>
      </c>
      <c r="Z315">
        <f>'Résultat (Ln)'!F$30+'Résultat (Ln)'!F$31*Données!S315+'Résultat (Ln)'!F$32*Données!T315+'Résultat (Ln)'!F$33*Données!U315+'Résultat (Ln)'!F$34*Données!V315+'Résultat (Ln)'!F$35*Données!W315+'Résultat (Ln)'!F$36*Données!X315+'Résultat (Ln)'!F$37*Données!Y315</f>
        <v>267019.7084615865</v>
      </c>
      <c r="AA315">
        <f t="shared" si="19"/>
        <v>-79019.708461586502</v>
      </c>
    </row>
    <row r="316" spans="1:27" x14ac:dyDescent="0.25">
      <c r="A316">
        <v>200000</v>
      </c>
      <c r="B316">
        <v>1</v>
      </c>
      <c r="C316">
        <v>11.39999961853027</v>
      </c>
      <c r="D316">
        <v>0</v>
      </c>
      <c r="E316">
        <v>367000</v>
      </c>
      <c r="F316">
        <v>25750</v>
      </c>
      <c r="G316">
        <v>1</v>
      </c>
      <c r="H316">
        <v>0</v>
      </c>
      <c r="I316">
        <v>0</v>
      </c>
      <c r="J316">
        <v>7.4000000953674316</v>
      </c>
      <c r="K316">
        <v>0</v>
      </c>
      <c r="L316">
        <f>Résultats!G$32+Résultats!G$33*Données!C316+Résultats!G$34*Données!D316+Résultats!G$35*Données!E316+Résultats!G$36*Données!F316+Résultats!G$37*Données!G316+Résultats!G$38*Données!H316+Résultats!G$39*Données!I316</f>
        <v>237942.940631757</v>
      </c>
      <c r="M316">
        <f t="shared" si="16"/>
        <v>-37942.940631756996</v>
      </c>
      <c r="Q316">
        <v>81000</v>
      </c>
      <c r="R316">
        <v>1</v>
      </c>
      <c r="S316">
        <v>39</v>
      </c>
      <c r="T316">
        <v>0</v>
      </c>
      <c r="U316">
        <f t="shared" si="17"/>
        <v>11.407564949312402</v>
      </c>
      <c r="V316">
        <f t="shared" si="18"/>
        <v>8.0934622745011797</v>
      </c>
      <c r="W316">
        <v>1</v>
      </c>
      <c r="X316">
        <v>0</v>
      </c>
      <c r="Y316">
        <v>0</v>
      </c>
      <c r="Z316">
        <f>'Résultat (Ln)'!F$30+'Résultat (Ln)'!F$31*Données!S316+'Résultat (Ln)'!F$32*Données!T316+'Résultat (Ln)'!F$33*Données!U316+'Résultat (Ln)'!F$34*Données!V316+'Résultat (Ln)'!F$35*Données!W316+'Résultat (Ln)'!F$36*Données!X316+'Résultat (Ln)'!F$37*Données!Y316</f>
        <v>72171.555223208896</v>
      </c>
      <c r="AA316">
        <f t="shared" si="19"/>
        <v>8828.4447767911042</v>
      </c>
    </row>
    <row r="317" spans="1:27" x14ac:dyDescent="0.25">
      <c r="A317">
        <v>134000</v>
      </c>
      <c r="B317">
        <v>1</v>
      </c>
      <c r="C317">
        <v>39</v>
      </c>
      <c r="D317">
        <v>0</v>
      </c>
      <c r="E317">
        <v>149000</v>
      </c>
      <c r="F317">
        <v>3613</v>
      </c>
      <c r="G317">
        <v>1</v>
      </c>
      <c r="H317">
        <v>0</v>
      </c>
      <c r="I317">
        <v>0</v>
      </c>
      <c r="J317">
        <v>20</v>
      </c>
      <c r="K317">
        <v>1</v>
      </c>
      <c r="L317">
        <f>Résultats!G$32+Résultats!G$33*Données!C317+Résultats!G$34*Données!D317+Résultats!G$35*Données!E317+Résultats!G$36*Données!F317+Résultats!G$37*Données!G317+Résultats!G$38*Données!H317+Résultats!G$39*Données!I317</f>
        <v>124953.63204722163</v>
      </c>
      <c r="M317">
        <f t="shared" si="16"/>
        <v>9046.3679527783679</v>
      </c>
      <c r="Q317">
        <v>200000</v>
      </c>
      <c r="R317">
        <v>1</v>
      </c>
      <c r="S317">
        <v>11.39999961853027</v>
      </c>
      <c r="T317">
        <v>0</v>
      </c>
      <c r="U317">
        <f t="shared" si="17"/>
        <v>12.813117127036707</v>
      </c>
      <c r="V317">
        <f t="shared" si="18"/>
        <v>10.156189906091882</v>
      </c>
      <c r="W317">
        <v>1</v>
      </c>
      <c r="X317">
        <v>0</v>
      </c>
      <c r="Y317">
        <v>0</v>
      </c>
      <c r="Z317">
        <f>'Résultat (Ln)'!F$30+'Résultat (Ln)'!F$31*Données!S317+'Résultat (Ln)'!F$32*Données!T317+'Résultat (Ln)'!F$33*Données!U317+'Résultat (Ln)'!F$34*Données!V317+'Résultat (Ln)'!F$35*Données!W317+'Résultat (Ln)'!F$36*Données!X317+'Résultat (Ln)'!F$37*Données!Y317</f>
        <v>246963.01770744348</v>
      </c>
      <c r="AA317">
        <f t="shared" si="19"/>
        <v>-46963.017707443476</v>
      </c>
    </row>
    <row r="318" spans="1:27" x14ac:dyDescent="0.25">
      <c r="A318">
        <v>122000</v>
      </c>
      <c r="B318">
        <v>1</v>
      </c>
      <c r="C318">
        <v>35.700000762939453</v>
      </c>
      <c r="D318">
        <v>0</v>
      </c>
      <c r="E318">
        <v>162000</v>
      </c>
      <c r="F318">
        <v>4133</v>
      </c>
      <c r="G318">
        <v>0</v>
      </c>
      <c r="H318">
        <v>0</v>
      </c>
      <c r="I318">
        <v>0</v>
      </c>
      <c r="J318">
        <v>29.89999961853027</v>
      </c>
      <c r="K318">
        <v>1</v>
      </c>
      <c r="L318">
        <f>Résultats!G$32+Résultats!G$33*Données!C318+Résultats!G$34*Données!D318+Résultats!G$35*Données!E318+Résultats!G$36*Données!F318+Résultats!G$37*Données!G318+Résultats!G$38*Données!H318+Résultats!G$39*Données!I318</f>
        <v>121224.44411438753</v>
      </c>
      <c r="M318">
        <f t="shared" si="16"/>
        <v>775.55588561246987</v>
      </c>
      <c r="Q318">
        <v>134000</v>
      </c>
      <c r="R318">
        <v>1</v>
      </c>
      <c r="S318">
        <v>39</v>
      </c>
      <c r="T318">
        <v>0</v>
      </c>
      <c r="U318">
        <f t="shared" si="17"/>
        <v>11.911701584927597</v>
      </c>
      <c r="V318">
        <f t="shared" si="18"/>
        <v>8.1922937311476396</v>
      </c>
      <c r="W318">
        <v>1</v>
      </c>
      <c r="X318">
        <v>0</v>
      </c>
      <c r="Y318">
        <v>0</v>
      </c>
      <c r="Z318">
        <f>'Résultat (Ln)'!F$30+'Résultat (Ln)'!F$31*Données!S318+'Résultat (Ln)'!F$32*Données!T318+'Résultat (Ln)'!F$33*Données!U318+'Résultat (Ln)'!F$34*Données!V318+'Résultat (Ln)'!F$35*Données!W318+'Résultat (Ln)'!F$36*Données!X318+'Résultat (Ln)'!F$37*Données!Y318</f>
        <v>128984.57397848227</v>
      </c>
      <c r="AA318">
        <f t="shared" si="19"/>
        <v>5015.4260215177346</v>
      </c>
    </row>
    <row r="319" spans="1:27" x14ac:dyDescent="0.25">
      <c r="A319">
        <v>176000</v>
      </c>
      <c r="B319">
        <v>1</v>
      </c>
      <c r="C319">
        <v>32</v>
      </c>
      <c r="D319">
        <v>0</v>
      </c>
      <c r="E319">
        <v>191000</v>
      </c>
      <c r="F319">
        <v>2779</v>
      </c>
      <c r="G319">
        <v>1</v>
      </c>
      <c r="H319">
        <v>0</v>
      </c>
      <c r="I319">
        <v>0</v>
      </c>
      <c r="J319">
        <v>29</v>
      </c>
      <c r="K319">
        <v>0</v>
      </c>
      <c r="L319">
        <f>Résultats!G$32+Résultats!G$33*Données!C319+Résultats!G$34*Données!D319+Résultats!G$35*Données!E319+Résultats!G$36*Données!F319+Résultats!G$37*Données!G319+Résultats!G$38*Données!H319+Résultats!G$39*Données!I319</f>
        <v>134908.86201460721</v>
      </c>
      <c r="M319">
        <f t="shared" si="16"/>
        <v>41091.137985392794</v>
      </c>
      <c r="Q319">
        <v>122000</v>
      </c>
      <c r="R319">
        <v>1</v>
      </c>
      <c r="S319">
        <v>35.700000762939453</v>
      </c>
      <c r="T319">
        <v>0</v>
      </c>
      <c r="U319">
        <f t="shared" si="17"/>
        <v>11.99535161421452</v>
      </c>
      <c r="V319">
        <f t="shared" si="18"/>
        <v>8.3267588145117326</v>
      </c>
      <c r="W319">
        <v>0</v>
      </c>
      <c r="X319">
        <v>0</v>
      </c>
      <c r="Y319">
        <v>0</v>
      </c>
      <c r="Z319">
        <f>'Résultat (Ln)'!F$30+'Résultat (Ln)'!F$31*Données!S319+'Résultat (Ln)'!F$32*Données!T319+'Résultat (Ln)'!F$33*Données!U319+'Résultat (Ln)'!F$34*Données!V319+'Résultat (Ln)'!F$35*Données!W319+'Résultat (Ln)'!F$36*Données!X319+'Résultat (Ln)'!F$37*Données!Y319</f>
        <v>133175.90099372115</v>
      </c>
      <c r="AA319">
        <f t="shared" si="19"/>
        <v>-11175.900993721152</v>
      </c>
    </row>
    <row r="320" spans="1:27" x14ac:dyDescent="0.25">
      <c r="A320">
        <v>90000</v>
      </c>
      <c r="B320">
        <v>1</v>
      </c>
      <c r="C320">
        <v>26</v>
      </c>
      <c r="D320">
        <v>0</v>
      </c>
      <c r="E320">
        <v>174000</v>
      </c>
      <c r="F320">
        <v>4720</v>
      </c>
      <c r="G320">
        <v>1</v>
      </c>
      <c r="H320">
        <v>0</v>
      </c>
      <c r="I320">
        <v>0</v>
      </c>
      <c r="J320">
        <v>23</v>
      </c>
      <c r="K320">
        <v>1</v>
      </c>
      <c r="L320">
        <f>Résultats!G$32+Résultats!G$33*Données!C320+Résultats!G$34*Données!D320+Résultats!G$35*Données!E320+Résultats!G$36*Données!F320+Résultats!G$37*Données!G320+Résultats!G$38*Données!H320+Résultats!G$39*Données!I320</f>
        <v>123839.87944939832</v>
      </c>
      <c r="M320">
        <f t="shared" si="16"/>
        <v>-33839.879449398315</v>
      </c>
      <c r="Q320">
        <v>176000</v>
      </c>
      <c r="R320">
        <v>1</v>
      </c>
      <c r="S320">
        <v>32</v>
      </c>
      <c r="T320">
        <v>0</v>
      </c>
      <c r="U320">
        <f t="shared" si="17"/>
        <v>12.160028707028767</v>
      </c>
      <c r="V320">
        <f t="shared" si="18"/>
        <v>7.9298464297425033</v>
      </c>
      <c r="W320">
        <v>1</v>
      </c>
      <c r="X320">
        <v>0</v>
      </c>
      <c r="Y320">
        <v>0</v>
      </c>
      <c r="Z320">
        <f>'Résultat (Ln)'!F$30+'Résultat (Ln)'!F$31*Données!S320+'Résultat (Ln)'!F$32*Données!T320+'Résultat (Ln)'!F$33*Données!U320+'Résultat (Ln)'!F$34*Données!V320+'Résultat (Ln)'!F$35*Données!W320+'Résultat (Ln)'!F$36*Données!X320+'Résultat (Ln)'!F$37*Données!Y320</f>
        <v>139689.31103746872</v>
      </c>
      <c r="AA320">
        <f t="shared" si="19"/>
        <v>36310.688962531276</v>
      </c>
    </row>
    <row r="321" spans="1:27" x14ac:dyDescent="0.25">
      <c r="A321">
        <v>25000</v>
      </c>
      <c r="B321">
        <v>1</v>
      </c>
      <c r="C321">
        <v>16</v>
      </c>
      <c r="D321">
        <v>0</v>
      </c>
      <c r="E321">
        <v>25000</v>
      </c>
      <c r="F321">
        <v>3620</v>
      </c>
      <c r="G321">
        <v>0</v>
      </c>
      <c r="H321">
        <v>9</v>
      </c>
      <c r="I321">
        <v>0</v>
      </c>
      <c r="J321">
        <v>14</v>
      </c>
      <c r="K321">
        <v>1</v>
      </c>
      <c r="L321">
        <f>Résultats!G$32+Résultats!G$33*Données!C321+Résultats!G$34*Données!D321+Résultats!G$35*Données!E321+Résultats!G$36*Données!F321+Résultats!G$37*Données!G321+Résultats!G$38*Données!H321+Résultats!G$39*Données!I321</f>
        <v>19001.46573002424</v>
      </c>
      <c r="M321">
        <f t="shared" si="16"/>
        <v>5998.5342699757603</v>
      </c>
      <c r="Q321">
        <v>90000</v>
      </c>
      <c r="R321">
        <v>1</v>
      </c>
      <c r="S321">
        <v>26</v>
      </c>
      <c r="T321">
        <v>0</v>
      </c>
      <c r="U321">
        <f t="shared" si="17"/>
        <v>12.066810578196666</v>
      </c>
      <c r="V321">
        <f t="shared" si="18"/>
        <v>8.4595640785796018</v>
      </c>
      <c r="W321">
        <v>1</v>
      </c>
      <c r="X321">
        <v>0</v>
      </c>
      <c r="Y321">
        <v>0</v>
      </c>
      <c r="Z321">
        <f>'Résultat (Ln)'!F$30+'Résultat (Ln)'!F$31*Données!S321+'Résultat (Ln)'!F$32*Données!T321+'Résultat (Ln)'!F$33*Données!U321+'Résultat (Ln)'!F$34*Données!V321+'Résultat (Ln)'!F$35*Données!W321+'Résultat (Ln)'!F$36*Données!X321+'Résultat (Ln)'!F$37*Données!Y321</f>
        <v>137220.84656825499</v>
      </c>
      <c r="AA321">
        <f t="shared" si="19"/>
        <v>-47220.846568254987</v>
      </c>
    </row>
    <row r="322" spans="1:27" x14ac:dyDescent="0.25">
      <c r="A322">
        <v>203000</v>
      </c>
      <c r="B322">
        <v>1</v>
      </c>
      <c r="C322">
        <v>30.10000038146973</v>
      </c>
      <c r="D322">
        <v>0</v>
      </c>
      <c r="E322">
        <v>225000</v>
      </c>
      <c r="F322">
        <v>6782</v>
      </c>
      <c r="G322">
        <v>0</v>
      </c>
      <c r="H322">
        <v>0</v>
      </c>
      <c r="I322">
        <v>0</v>
      </c>
      <c r="J322">
        <v>30.29999923706055</v>
      </c>
      <c r="K322">
        <v>1</v>
      </c>
      <c r="L322">
        <f>Résultats!G$32+Résultats!G$33*Données!C322+Résultats!G$34*Données!D322+Résultats!G$35*Données!E322+Résultats!G$36*Données!F322+Résultats!G$37*Données!G322+Résultats!G$38*Données!H322+Résultats!G$39*Données!I322</f>
        <v>149343.14421140749</v>
      </c>
      <c r="M322">
        <f t="shared" si="16"/>
        <v>53656.855788592511</v>
      </c>
      <c r="Q322">
        <v>25000</v>
      </c>
      <c r="R322">
        <v>1</v>
      </c>
      <c r="S322">
        <v>16</v>
      </c>
      <c r="T322">
        <v>0</v>
      </c>
      <c r="U322">
        <f t="shared" si="17"/>
        <v>10.126631103850338</v>
      </c>
      <c r="V322">
        <f t="shared" si="18"/>
        <v>8.1942293048198174</v>
      </c>
      <c r="W322">
        <v>0</v>
      </c>
      <c r="X322">
        <v>9</v>
      </c>
      <c r="Y322">
        <v>0</v>
      </c>
      <c r="Z322">
        <f>'Résultat (Ln)'!F$30+'Résultat (Ln)'!F$31*Données!S322+'Résultat (Ln)'!F$32*Données!T322+'Résultat (Ln)'!F$33*Données!U322+'Résultat (Ln)'!F$34*Données!V322+'Résultat (Ln)'!F$35*Données!W322+'Résultat (Ln)'!F$36*Données!X322+'Résultat (Ln)'!F$37*Données!Y322</f>
        <v>-96531.60740044633</v>
      </c>
      <c r="AA322">
        <f t="shared" si="19"/>
        <v>121531.60740044633</v>
      </c>
    </row>
    <row r="323" spans="1:27" x14ac:dyDescent="0.25">
      <c r="A323">
        <v>137000</v>
      </c>
      <c r="B323">
        <v>1</v>
      </c>
      <c r="C323">
        <v>30</v>
      </c>
      <c r="D323">
        <v>0</v>
      </c>
      <c r="E323">
        <v>152000</v>
      </c>
      <c r="F323">
        <v>2484</v>
      </c>
      <c r="G323">
        <v>1</v>
      </c>
      <c r="H323">
        <v>0</v>
      </c>
      <c r="I323">
        <v>0</v>
      </c>
      <c r="J323">
        <v>28.89999961853027</v>
      </c>
      <c r="K323">
        <v>0</v>
      </c>
      <c r="L323">
        <f>Résultats!G$32+Résultats!G$33*Données!C323+Résultats!G$34*Données!D323+Résultats!G$35*Données!E323+Résultats!G$36*Données!F323+Résultats!G$37*Données!G323+Résultats!G$38*Données!H323+Résultats!G$39*Données!I323</f>
        <v>113828.69650524159</v>
      </c>
      <c r="M323">
        <f t="shared" ref="M323:M386" si="20">A323-L323</f>
        <v>23171.303494758409</v>
      </c>
      <c r="Q323">
        <v>203000</v>
      </c>
      <c r="R323">
        <v>1</v>
      </c>
      <c r="S323">
        <v>30.10000038146973</v>
      </c>
      <c r="T323">
        <v>0</v>
      </c>
      <c r="U323">
        <f t="shared" si="17"/>
        <v>12.323855681186558</v>
      </c>
      <c r="V323">
        <f t="shared" si="18"/>
        <v>8.8220273226855834</v>
      </c>
      <c r="W323">
        <v>0</v>
      </c>
      <c r="X323">
        <v>0</v>
      </c>
      <c r="Y323">
        <v>0</v>
      </c>
      <c r="Z323">
        <f>'Résultat (Ln)'!F$30+'Résultat (Ln)'!F$31*Données!S323+'Résultat (Ln)'!F$32*Données!T323+'Résultat (Ln)'!F$33*Données!U323+'Résultat (Ln)'!F$34*Données!V323+'Résultat (Ln)'!F$35*Données!W323+'Résultat (Ln)'!F$36*Données!X323+'Résultat (Ln)'!F$37*Données!Y323</f>
        <v>175436.84861986426</v>
      </c>
      <c r="AA323">
        <f t="shared" si="19"/>
        <v>27563.151380135736</v>
      </c>
    </row>
    <row r="324" spans="1:27" x14ac:dyDescent="0.25">
      <c r="A324">
        <v>120000</v>
      </c>
      <c r="B324">
        <v>1</v>
      </c>
      <c r="C324">
        <v>36</v>
      </c>
      <c r="D324">
        <v>0</v>
      </c>
      <c r="E324">
        <v>150000</v>
      </c>
      <c r="F324">
        <v>3006</v>
      </c>
      <c r="G324">
        <v>1</v>
      </c>
      <c r="H324">
        <v>0</v>
      </c>
      <c r="I324">
        <v>1</v>
      </c>
      <c r="J324">
        <v>25</v>
      </c>
      <c r="K324">
        <v>1</v>
      </c>
      <c r="L324">
        <f>Résultats!G$32+Résultats!G$33*Données!C324+Résultats!G$34*Données!D324+Résultats!G$35*Données!E324+Résultats!G$36*Données!F324+Résultats!G$37*Données!G324+Résultats!G$38*Données!H324+Résultats!G$39*Données!I324</f>
        <v>130723.7941044961</v>
      </c>
      <c r="M324">
        <f t="shared" si="20"/>
        <v>-10723.794104496104</v>
      </c>
      <c r="Q324">
        <v>137000</v>
      </c>
      <c r="R324">
        <v>1</v>
      </c>
      <c r="S324">
        <v>30</v>
      </c>
      <c r="T324">
        <v>0</v>
      </c>
      <c r="U324">
        <f t="shared" ref="U324:U387" si="21">LN(E323)</f>
        <v>11.931635799828413</v>
      </c>
      <c r="V324">
        <f t="shared" ref="V324:V387" si="22">LN(F323)</f>
        <v>7.8176254430533696</v>
      </c>
      <c r="W324">
        <v>1</v>
      </c>
      <c r="X324">
        <v>0</v>
      </c>
      <c r="Y324">
        <v>0</v>
      </c>
      <c r="Z324">
        <f>'Résultat (Ln)'!F$30+'Résultat (Ln)'!F$31*Données!S324+'Résultat (Ln)'!F$32*Données!T324+'Résultat (Ln)'!F$33*Données!U324+'Résultat (Ln)'!F$34*Données!V324+'Résultat (Ln)'!F$35*Données!W324+'Résultat (Ln)'!F$36*Données!X324+'Résultat (Ln)'!F$37*Données!Y324</f>
        <v>109615.19550230434</v>
      </c>
      <c r="AA324">
        <f t="shared" ref="AA324:AA387" si="23">Q324-Z324</f>
        <v>27384.804497695659</v>
      </c>
    </row>
    <row r="325" spans="1:27" x14ac:dyDescent="0.25">
      <c r="A325">
        <v>124000</v>
      </c>
      <c r="B325">
        <v>1</v>
      </c>
      <c r="C325">
        <v>38.200000762939453</v>
      </c>
      <c r="D325">
        <v>0</v>
      </c>
      <c r="E325">
        <v>162000</v>
      </c>
      <c r="F325">
        <v>1573</v>
      </c>
      <c r="G325">
        <v>1</v>
      </c>
      <c r="H325">
        <v>0</v>
      </c>
      <c r="I325">
        <v>0</v>
      </c>
      <c r="J325">
        <v>32.299999237060547</v>
      </c>
      <c r="K325">
        <v>1</v>
      </c>
      <c r="L325">
        <f>Résultats!G$32+Résultats!G$33*Données!C325+Résultats!G$34*Données!D325+Résultats!G$35*Données!E325+Résultats!G$36*Données!F325+Résultats!G$37*Données!G325+Résultats!G$38*Données!H325+Résultats!G$39*Données!I325</f>
        <v>126152.0028868956</v>
      </c>
      <c r="M325">
        <f t="shared" si="20"/>
        <v>-2152.0028868955997</v>
      </c>
      <c r="Q325">
        <v>120000</v>
      </c>
      <c r="R325">
        <v>1</v>
      </c>
      <c r="S325">
        <v>36</v>
      </c>
      <c r="T325">
        <v>0</v>
      </c>
      <c r="U325">
        <f t="shared" si="21"/>
        <v>11.918390573078392</v>
      </c>
      <c r="V325">
        <f t="shared" si="22"/>
        <v>8.00836557031292</v>
      </c>
      <c r="W325">
        <v>1</v>
      </c>
      <c r="X325">
        <v>0</v>
      </c>
      <c r="Y325">
        <v>1</v>
      </c>
      <c r="Z325">
        <f>'Résultat (Ln)'!F$30+'Résultat (Ln)'!F$31*Données!S325+'Résultat (Ln)'!F$32*Données!T325+'Résultat (Ln)'!F$33*Données!U325+'Résultat (Ln)'!F$34*Données!V325+'Résultat (Ln)'!F$35*Données!W325+'Résultat (Ln)'!F$36*Données!X325+'Résultat (Ln)'!F$37*Données!Y325</f>
        <v>134964.00075969449</v>
      </c>
      <c r="AA325">
        <f t="shared" si="23"/>
        <v>-14964.000759694492</v>
      </c>
    </row>
    <row r="326" spans="1:27" x14ac:dyDescent="0.25">
      <c r="A326">
        <v>144000</v>
      </c>
      <c r="B326">
        <v>1</v>
      </c>
      <c r="C326">
        <v>27</v>
      </c>
      <c r="D326">
        <v>0</v>
      </c>
      <c r="E326">
        <v>160000</v>
      </c>
      <c r="F326">
        <v>2773</v>
      </c>
      <c r="G326">
        <v>1</v>
      </c>
      <c r="H326">
        <v>0</v>
      </c>
      <c r="I326">
        <v>0</v>
      </c>
      <c r="J326">
        <v>27</v>
      </c>
      <c r="K326">
        <v>1</v>
      </c>
      <c r="L326">
        <f>Résultats!G$32+Résultats!G$33*Données!C326+Résultats!G$34*Données!D326+Résultats!G$35*Données!E326+Résultats!G$36*Données!F326+Résultats!G$37*Données!G326+Résultats!G$38*Données!H326+Résultats!G$39*Données!I326</f>
        <v>114678.33206597278</v>
      </c>
      <c r="M326">
        <f t="shared" si="20"/>
        <v>29321.667934027224</v>
      </c>
      <c r="Q326">
        <v>124000</v>
      </c>
      <c r="R326">
        <v>1</v>
      </c>
      <c r="S326">
        <v>38.200000762939453</v>
      </c>
      <c r="T326">
        <v>0</v>
      </c>
      <c r="U326">
        <f t="shared" si="21"/>
        <v>11.99535161421452</v>
      </c>
      <c r="V326">
        <f t="shared" si="22"/>
        <v>7.3607399030582776</v>
      </c>
      <c r="W326">
        <v>1</v>
      </c>
      <c r="X326">
        <v>0</v>
      </c>
      <c r="Y326">
        <v>0</v>
      </c>
      <c r="Z326">
        <f>'Résultat (Ln)'!F$30+'Résultat (Ln)'!F$31*Données!S326+'Résultat (Ln)'!F$32*Données!T326+'Résultat (Ln)'!F$33*Données!U326+'Résultat (Ln)'!F$34*Données!V326+'Résultat (Ln)'!F$35*Données!W326+'Résultat (Ln)'!F$36*Données!X326+'Résultat (Ln)'!F$37*Données!Y326</f>
        <v>113652.2679697195</v>
      </c>
      <c r="AA326">
        <f t="shared" si="23"/>
        <v>10347.732030280502</v>
      </c>
    </row>
    <row r="327" spans="1:27" x14ac:dyDescent="0.25">
      <c r="A327">
        <v>135000</v>
      </c>
      <c r="B327">
        <v>1</v>
      </c>
      <c r="C327">
        <v>19.60000038146973</v>
      </c>
      <c r="D327">
        <v>0</v>
      </c>
      <c r="E327">
        <v>240000</v>
      </c>
      <c r="F327">
        <v>4642</v>
      </c>
      <c r="G327">
        <v>1</v>
      </c>
      <c r="H327">
        <v>0</v>
      </c>
      <c r="I327">
        <v>0</v>
      </c>
      <c r="J327">
        <v>14.510000228881839</v>
      </c>
      <c r="K327">
        <v>1</v>
      </c>
      <c r="L327">
        <f>Résultats!G$32+Résultats!G$33*Données!C327+Résultats!G$34*Données!D327+Résultats!G$35*Données!E327+Résultats!G$36*Données!F327+Résultats!G$37*Données!G327+Résultats!G$38*Données!H327+Résultats!G$39*Données!I327</f>
        <v>147156.15777909177</v>
      </c>
      <c r="M327">
        <f t="shared" si="20"/>
        <v>-12156.157779091765</v>
      </c>
      <c r="Q327">
        <v>144000</v>
      </c>
      <c r="R327">
        <v>1</v>
      </c>
      <c r="S327">
        <v>27</v>
      </c>
      <c r="T327">
        <v>0</v>
      </c>
      <c r="U327">
        <f t="shared" si="21"/>
        <v>11.982929094215963</v>
      </c>
      <c r="V327">
        <f t="shared" si="22"/>
        <v>7.9276850456157781</v>
      </c>
      <c r="W327">
        <v>1</v>
      </c>
      <c r="X327">
        <v>0</v>
      </c>
      <c r="Y327">
        <v>0</v>
      </c>
      <c r="Z327">
        <f>'Résultat (Ln)'!F$30+'Résultat (Ln)'!F$31*Données!S327+'Résultat (Ln)'!F$32*Données!T327+'Résultat (Ln)'!F$33*Données!U327+'Résultat (Ln)'!F$34*Données!V327+'Résultat (Ln)'!F$35*Données!W327+'Résultat (Ln)'!F$36*Données!X327+'Résultat (Ln)'!F$37*Données!Y327</f>
        <v>114534.19515583832</v>
      </c>
      <c r="AA327">
        <f t="shared" si="23"/>
        <v>29465.804844161685</v>
      </c>
    </row>
    <row r="328" spans="1:27" x14ac:dyDescent="0.25">
      <c r="A328">
        <v>110000</v>
      </c>
      <c r="B328">
        <v>1</v>
      </c>
      <c r="C328">
        <v>33</v>
      </c>
      <c r="D328">
        <v>0</v>
      </c>
      <c r="E328">
        <v>122000</v>
      </c>
      <c r="F328">
        <v>2415</v>
      </c>
      <c r="G328">
        <v>1</v>
      </c>
      <c r="H328">
        <v>0</v>
      </c>
      <c r="I328">
        <v>0</v>
      </c>
      <c r="J328">
        <v>28</v>
      </c>
      <c r="K328">
        <v>1</v>
      </c>
      <c r="L328">
        <f>Résultats!G$32+Résultats!G$33*Données!C328+Résultats!G$34*Données!D328+Résultats!G$35*Données!E328+Résultats!G$36*Données!F328+Résultats!G$37*Données!G328+Résultats!G$38*Données!H328+Résultats!G$39*Données!I328</f>
        <v>103132.40225417903</v>
      </c>
      <c r="M328">
        <f t="shared" si="20"/>
        <v>6867.5977458209672</v>
      </c>
      <c r="Q328">
        <v>135000</v>
      </c>
      <c r="R328">
        <v>1</v>
      </c>
      <c r="S328">
        <v>19.60000038146973</v>
      </c>
      <c r="T328">
        <v>0</v>
      </c>
      <c r="U328">
        <f t="shared" si="21"/>
        <v>12.388394202324129</v>
      </c>
      <c r="V328">
        <f t="shared" si="22"/>
        <v>8.4429005868343818</v>
      </c>
      <c r="W328">
        <v>1</v>
      </c>
      <c r="X328">
        <v>0</v>
      </c>
      <c r="Y328">
        <v>0</v>
      </c>
      <c r="Z328">
        <f>'Résultat (Ln)'!F$30+'Résultat (Ln)'!F$31*Données!S328+'Résultat (Ln)'!F$32*Données!T328+'Résultat (Ln)'!F$33*Données!U328+'Résultat (Ln)'!F$34*Données!V328+'Résultat (Ln)'!F$35*Données!W328+'Résultat (Ln)'!F$36*Données!X328+'Résultat (Ln)'!F$37*Données!Y328</f>
        <v>163404.78272106199</v>
      </c>
      <c r="AA328">
        <f t="shared" si="23"/>
        <v>-28404.782721061987</v>
      </c>
    </row>
    <row r="329" spans="1:27" x14ac:dyDescent="0.25">
      <c r="A329">
        <v>50000</v>
      </c>
      <c r="B329">
        <v>1</v>
      </c>
      <c r="C329">
        <v>26</v>
      </c>
      <c r="D329">
        <v>0</v>
      </c>
      <c r="E329">
        <v>230000</v>
      </c>
      <c r="F329">
        <v>1977</v>
      </c>
      <c r="G329">
        <v>1</v>
      </c>
      <c r="H329">
        <v>0</v>
      </c>
      <c r="I329">
        <v>0</v>
      </c>
      <c r="J329">
        <v>23</v>
      </c>
      <c r="K329">
        <v>1</v>
      </c>
      <c r="L329">
        <f>Résultats!G$32+Résultats!G$33*Données!C329+Résultats!G$34*Données!D329+Résultats!G$35*Données!E329+Résultats!G$36*Données!F329+Résultats!G$37*Données!G329+Résultats!G$38*Données!H329+Résultats!G$39*Données!I329</f>
        <v>144673.91175079683</v>
      </c>
      <c r="M329">
        <f t="shared" si="20"/>
        <v>-94673.911750796833</v>
      </c>
      <c r="Q329">
        <v>110000</v>
      </c>
      <c r="R329">
        <v>1</v>
      </c>
      <c r="S329">
        <v>33</v>
      </c>
      <c r="T329">
        <v>0</v>
      </c>
      <c r="U329">
        <f t="shared" si="21"/>
        <v>11.711776323715394</v>
      </c>
      <c r="V329">
        <f t="shared" si="22"/>
        <v>7.7894545660866727</v>
      </c>
      <c r="W329">
        <v>1</v>
      </c>
      <c r="X329">
        <v>0</v>
      </c>
      <c r="Y329">
        <v>0</v>
      </c>
      <c r="Z329">
        <f>'Résultat (Ln)'!F$30+'Résultat (Ln)'!F$31*Données!S329+'Résultat (Ln)'!F$32*Données!T329+'Résultat (Ln)'!F$33*Données!U329+'Résultat (Ln)'!F$34*Données!V329+'Résultat (Ln)'!F$35*Données!W329+'Résultat (Ln)'!F$36*Données!X329+'Résultat (Ln)'!F$37*Données!Y329</f>
        <v>88923.28276226639</v>
      </c>
      <c r="AA329">
        <f t="shared" si="23"/>
        <v>21076.71723773361</v>
      </c>
    </row>
    <row r="330" spans="1:27" x14ac:dyDescent="0.25">
      <c r="A330">
        <v>115000</v>
      </c>
      <c r="B330">
        <v>1</v>
      </c>
      <c r="C330">
        <v>34</v>
      </c>
      <c r="D330">
        <v>0</v>
      </c>
      <c r="E330">
        <v>215000</v>
      </c>
      <c r="F330">
        <v>4188</v>
      </c>
      <c r="G330">
        <v>1</v>
      </c>
      <c r="H330">
        <v>0</v>
      </c>
      <c r="I330">
        <v>0</v>
      </c>
      <c r="J330">
        <v>32</v>
      </c>
      <c r="K330">
        <v>1</v>
      </c>
      <c r="L330">
        <f>Résultats!G$32+Résultats!G$33*Données!C330+Résultats!G$34*Données!D330+Résultats!G$35*Données!E330+Résultats!G$36*Données!F330+Résultats!G$37*Données!G330+Résultats!G$38*Données!H330+Résultats!G$39*Données!I330</f>
        <v>151143.42361933552</v>
      </c>
      <c r="M330">
        <f t="shared" si="20"/>
        <v>-36143.423619335517</v>
      </c>
      <c r="Q330">
        <v>50000</v>
      </c>
      <c r="R330">
        <v>1</v>
      </c>
      <c r="S330">
        <v>26</v>
      </c>
      <c r="T330">
        <v>0</v>
      </c>
      <c r="U330">
        <f t="shared" si="21"/>
        <v>12.345834587905333</v>
      </c>
      <c r="V330">
        <f t="shared" si="22"/>
        <v>7.5893358231706172</v>
      </c>
      <c r="W330">
        <v>1</v>
      </c>
      <c r="X330">
        <v>0</v>
      </c>
      <c r="Y330">
        <v>0</v>
      </c>
      <c r="Z330">
        <f>'Résultat (Ln)'!F$30+'Résultat (Ln)'!F$31*Données!S330+'Résultat (Ln)'!F$32*Données!T330+'Résultat (Ln)'!F$33*Données!U330+'Résultat (Ln)'!F$34*Données!V330+'Résultat (Ln)'!F$35*Données!W330+'Résultat (Ln)'!F$36*Données!X330+'Résultat (Ln)'!F$37*Données!Y330</f>
        <v>142724.74191313409</v>
      </c>
      <c r="AA330">
        <f t="shared" si="23"/>
        <v>-92724.741913134087</v>
      </c>
    </row>
    <row r="331" spans="1:27" x14ac:dyDescent="0.25">
      <c r="A331">
        <v>125000</v>
      </c>
      <c r="B331">
        <v>1</v>
      </c>
      <c r="C331">
        <v>37.700000762939453</v>
      </c>
      <c r="D331">
        <v>0</v>
      </c>
      <c r="E331">
        <v>165000</v>
      </c>
      <c r="F331">
        <v>7016</v>
      </c>
      <c r="G331">
        <v>1</v>
      </c>
      <c r="H331">
        <v>0</v>
      </c>
      <c r="I331">
        <v>1</v>
      </c>
      <c r="J331">
        <v>28.89999961853027</v>
      </c>
      <c r="K331">
        <v>1</v>
      </c>
      <c r="L331">
        <f>Résultats!G$32+Résultats!G$33*Données!C331+Résultats!G$34*Données!D331+Résultats!G$35*Données!E331+Résultats!G$36*Données!F331+Résultats!G$37*Données!G331+Résultats!G$38*Données!H331+Résultats!G$39*Données!I331</f>
        <v>147451.36099213234</v>
      </c>
      <c r="M331">
        <f t="shared" si="20"/>
        <v>-22451.360992132337</v>
      </c>
      <c r="Q331">
        <v>115000</v>
      </c>
      <c r="R331">
        <v>1</v>
      </c>
      <c r="S331">
        <v>34</v>
      </c>
      <c r="T331">
        <v>0</v>
      </c>
      <c r="U331">
        <f t="shared" si="21"/>
        <v>12.2783933071098</v>
      </c>
      <c r="V331">
        <f t="shared" si="22"/>
        <v>8.3399785719904269</v>
      </c>
      <c r="W331">
        <v>1</v>
      </c>
      <c r="X331">
        <v>0</v>
      </c>
      <c r="Y331">
        <v>0</v>
      </c>
      <c r="Z331">
        <f>'Résultat (Ln)'!F$30+'Résultat (Ln)'!F$31*Données!S331+'Résultat (Ln)'!F$32*Données!T331+'Résultat (Ln)'!F$33*Données!U331+'Résultat (Ln)'!F$34*Données!V331+'Résultat (Ln)'!F$35*Données!W331+'Résultat (Ln)'!F$36*Données!X331+'Résultat (Ln)'!F$37*Données!Y331</f>
        <v>166324.03443844558</v>
      </c>
      <c r="AA331">
        <f t="shared" si="23"/>
        <v>-51324.034438445582</v>
      </c>
    </row>
    <row r="332" spans="1:27" x14ac:dyDescent="0.25">
      <c r="A332">
        <v>240000</v>
      </c>
      <c r="B332">
        <v>1</v>
      </c>
      <c r="C332">
        <v>61</v>
      </c>
      <c r="D332">
        <v>0</v>
      </c>
      <c r="E332">
        <v>300000</v>
      </c>
      <c r="F332">
        <v>8567</v>
      </c>
      <c r="G332">
        <v>0</v>
      </c>
      <c r="H332">
        <v>0</v>
      </c>
      <c r="I332">
        <v>1</v>
      </c>
      <c r="J332">
        <v>26</v>
      </c>
      <c r="K332">
        <v>1</v>
      </c>
      <c r="L332">
        <f>Résultats!G$32+Résultats!G$33*Données!C332+Résultats!G$34*Données!D332+Résultats!G$35*Données!E332+Résultats!G$36*Données!F332+Résultats!G$37*Données!G332+Résultats!G$38*Données!H332+Résultats!G$39*Données!I332</f>
        <v>233242.96094325194</v>
      </c>
      <c r="M332">
        <f t="shared" si="20"/>
        <v>6757.0390567480645</v>
      </c>
      <c r="Q332">
        <v>125000</v>
      </c>
      <c r="R332">
        <v>1</v>
      </c>
      <c r="S332">
        <v>37.700000762939453</v>
      </c>
      <c r="T332">
        <v>0</v>
      </c>
      <c r="U332">
        <f t="shared" si="21"/>
        <v>12.013700752882718</v>
      </c>
      <c r="V332">
        <f t="shared" si="22"/>
        <v>8.8559485340520183</v>
      </c>
      <c r="W332">
        <v>1</v>
      </c>
      <c r="X332">
        <v>0</v>
      </c>
      <c r="Y332">
        <v>1</v>
      </c>
      <c r="Z332">
        <f>'Résultat (Ln)'!F$30+'Résultat (Ln)'!F$31*Données!S332+'Résultat (Ln)'!F$32*Données!T332+'Résultat (Ln)'!F$33*Données!U332+'Résultat (Ln)'!F$34*Données!V332+'Résultat (Ln)'!F$35*Données!W332+'Résultat (Ln)'!F$36*Données!X332+'Résultat (Ln)'!F$37*Données!Y332</f>
        <v>171029.43629871562</v>
      </c>
      <c r="AA332">
        <f t="shared" si="23"/>
        <v>-46029.43629871562</v>
      </c>
    </row>
    <row r="333" spans="1:27" x14ac:dyDescent="0.25">
      <c r="A333">
        <v>210000</v>
      </c>
      <c r="B333">
        <v>1</v>
      </c>
      <c r="C333">
        <v>32</v>
      </c>
      <c r="D333">
        <v>0</v>
      </c>
      <c r="E333">
        <v>235000</v>
      </c>
      <c r="F333">
        <v>1706</v>
      </c>
      <c r="G333">
        <v>1</v>
      </c>
      <c r="H333">
        <v>0</v>
      </c>
      <c r="I333">
        <v>0</v>
      </c>
      <c r="J333">
        <v>28</v>
      </c>
      <c r="K333">
        <v>1</v>
      </c>
      <c r="L333">
        <f>Résultats!G$32+Résultats!G$33*Données!C333+Résultats!G$34*Données!D333+Résultats!G$35*Données!E333+Résultats!G$36*Données!F333+Résultats!G$37*Données!G333+Résultats!G$38*Données!H333+Résultats!G$39*Données!I333</f>
        <v>153375.55999274651</v>
      </c>
      <c r="M333">
        <f t="shared" si="20"/>
        <v>56624.440007253492</v>
      </c>
      <c r="Q333">
        <v>240000</v>
      </c>
      <c r="R333">
        <v>1</v>
      </c>
      <c r="S333">
        <v>61</v>
      </c>
      <c r="T333">
        <v>0</v>
      </c>
      <c r="U333">
        <f t="shared" si="21"/>
        <v>12.611537753638338</v>
      </c>
      <c r="V333">
        <f t="shared" si="22"/>
        <v>9.0556728919640435</v>
      </c>
      <c r="W333">
        <v>0</v>
      </c>
      <c r="X333">
        <v>0</v>
      </c>
      <c r="Y333">
        <v>1</v>
      </c>
      <c r="Z333">
        <f>'Résultat (Ln)'!F$30+'Résultat (Ln)'!F$31*Données!S333+'Résultat (Ln)'!F$32*Données!T333+'Résultat (Ln)'!F$33*Données!U333+'Résultat (Ln)'!F$34*Données!V333+'Résultat (Ln)'!F$35*Données!W333+'Résultat (Ln)'!F$36*Données!X333+'Résultat (Ln)'!F$37*Données!Y333</f>
        <v>264675.86297142628</v>
      </c>
      <c r="AA333">
        <f t="shared" si="23"/>
        <v>-24675.862971426279</v>
      </c>
    </row>
    <row r="334" spans="1:27" x14ac:dyDescent="0.25">
      <c r="A334">
        <v>189000</v>
      </c>
      <c r="B334">
        <v>1</v>
      </c>
      <c r="C334">
        <v>36</v>
      </c>
      <c r="D334">
        <v>0</v>
      </c>
      <c r="E334">
        <v>289000</v>
      </c>
      <c r="F334">
        <v>4968</v>
      </c>
      <c r="G334">
        <v>0</v>
      </c>
      <c r="H334">
        <v>0</v>
      </c>
      <c r="I334">
        <v>1</v>
      </c>
      <c r="J334">
        <v>36</v>
      </c>
      <c r="K334">
        <v>0</v>
      </c>
      <c r="L334">
        <f>Résultats!G$32+Résultats!G$33*Données!C334+Résultats!G$34*Données!D334+Résultats!G$35*Données!E334+Résultats!G$36*Données!F334+Résultats!G$37*Données!G334+Résultats!G$38*Données!H334+Résultats!G$39*Données!I334</f>
        <v>192415.61878055459</v>
      </c>
      <c r="M334">
        <f t="shared" si="20"/>
        <v>-3415.6187805545924</v>
      </c>
      <c r="Q334">
        <v>210000</v>
      </c>
      <c r="R334">
        <v>1</v>
      </c>
      <c r="S334">
        <v>32</v>
      </c>
      <c r="T334">
        <v>0</v>
      </c>
      <c r="U334">
        <f t="shared" si="21"/>
        <v>12.367340793126296</v>
      </c>
      <c r="V334">
        <f t="shared" si="22"/>
        <v>7.4419067280516247</v>
      </c>
      <c r="W334">
        <v>1</v>
      </c>
      <c r="X334">
        <v>0</v>
      </c>
      <c r="Y334">
        <v>0</v>
      </c>
      <c r="Z334">
        <f>'Résultat (Ln)'!F$30+'Résultat (Ln)'!F$31*Données!S334+'Résultat (Ln)'!F$32*Données!T334+'Résultat (Ln)'!F$33*Données!U334+'Résultat (Ln)'!F$34*Données!V334+'Résultat (Ln)'!F$35*Données!W334+'Résultat (Ln)'!F$36*Données!X334+'Résultat (Ln)'!F$37*Données!Y334</f>
        <v>148227.59171302128</v>
      </c>
      <c r="AA334">
        <f t="shared" si="23"/>
        <v>61772.408286978723</v>
      </c>
    </row>
    <row r="335" spans="1:27" x14ac:dyDescent="0.25">
      <c r="A335">
        <v>176000</v>
      </c>
      <c r="B335">
        <v>1</v>
      </c>
      <c r="C335">
        <v>16.79999923706055</v>
      </c>
      <c r="D335">
        <v>1</v>
      </c>
      <c r="E335">
        <v>196000</v>
      </c>
      <c r="F335">
        <v>14986</v>
      </c>
      <c r="G335">
        <v>0</v>
      </c>
      <c r="H335">
        <v>0</v>
      </c>
      <c r="I335">
        <v>0</v>
      </c>
      <c r="J335">
        <v>12.80000019073486</v>
      </c>
      <c r="K335">
        <v>0</v>
      </c>
      <c r="L335">
        <f>Résultats!G$32+Résultats!G$33*Données!C335+Résultats!G$34*Données!D335+Résultats!G$35*Données!E335+Résultats!G$36*Données!F335+Résultats!G$37*Données!G335+Résultats!G$38*Données!H335+Résultats!G$39*Données!I335</f>
        <v>141270.03832703803</v>
      </c>
      <c r="M335">
        <f t="shared" si="20"/>
        <v>34729.961672961974</v>
      </c>
      <c r="Q335">
        <v>189000</v>
      </c>
      <c r="R335">
        <v>1</v>
      </c>
      <c r="S335">
        <v>36</v>
      </c>
      <c r="T335">
        <v>0</v>
      </c>
      <c r="U335">
        <f t="shared" si="21"/>
        <v>12.574181967094569</v>
      </c>
      <c r="V335">
        <f t="shared" si="22"/>
        <v>8.510772623613315</v>
      </c>
      <c r="W335">
        <v>0</v>
      </c>
      <c r="X335">
        <v>0</v>
      </c>
      <c r="Y335">
        <v>1</v>
      </c>
      <c r="Z335">
        <f>'Résultat (Ln)'!F$30+'Résultat (Ln)'!F$31*Données!S335+'Résultat (Ln)'!F$32*Données!T335+'Résultat (Ln)'!F$33*Données!U335+'Résultat (Ln)'!F$34*Données!V335+'Résultat (Ln)'!F$35*Données!W335+'Résultat (Ln)'!F$36*Données!X335+'Résultat (Ln)'!F$37*Données!Y335</f>
        <v>214838.30396990353</v>
      </c>
      <c r="AA335">
        <f t="shared" si="23"/>
        <v>-25838.303969903529</v>
      </c>
    </row>
    <row r="336" spans="1:27" x14ac:dyDescent="0.25">
      <c r="A336">
        <v>200000</v>
      </c>
      <c r="B336">
        <v>1</v>
      </c>
      <c r="C336">
        <v>36</v>
      </c>
      <c r="D336">
        <v>0</v>
      </c>
      <c r="E336">
        <v>250000</v>
      </c>
      <c r="F336">
        <v>2065</v>
      </c>
      <c r="G336">
        <v>0</v>
      </c>
      <c r="H336">
        <v>1</v>
      </c>
      <c r="I336">
        <v>0</v>
      </c>
      <c r="J336">
        <v>28</v>
      </c>
      <c r="K336">
        <v>0</v>
      </c>
      <c r="L336">
        <f>Résultats!G$32+Résultats!G$33*Données!C336+Résultats!G$34*Données!D336+Résultats!G$35*Données!E336+Résultats!G$36*Données!F336+Résultats!G$37*Données!G336+Résultats!G$38*Données!H336+Résultats!G$39*Données!I336</f>
        <v>157028.31124338706</v>
      </c>
      <c r="M336">
        <f t="shared" si="20"/>
        <v>42971.688756612944</v>
      </c>
      <c r="Q336">
        <v>176000</v>
      </c>
      <c r="R336">
        <v>1</v>
      </c>
      <c r="S336">
        <v>16.79999923706055</v>
      </c>
      <c r="T336">
        <v>1</v>
      </c>
      <c r="U336">
        <f t="shared" si="21"/>
        <v>12.185869938212655</v>
      </c>
      <c r="V336">
        <f t="shared" si="22"/>
        <v>9.6148717109242554</v>
      </c>
      <c r="W336">
        <v>0</v>
      </c>
      <c r="X336">
        <v>0</v>
      </c>
      <c r="Y336">
        <v>0</v>
      </c>
      <c r="Z336">
        <f>'Résultat (Ln)'!F$30+'Résultat (Ln)'!F$31*Données!S336+'Résultat (Ln)'!F$32*Données!T336+'Résultat (Ln)'!F$33*Données!U336+'Résultat (Ln)'!F$34*Données!V336+'Résultat (Ln)'!F$35*Données!W336+'Résultat (Ln)'!F$36*Données!X336+'Résultat (Ln)'!F$37*Données!Y336</f>
        <v>170977.00395295792</v>
      </c>
      <c r="AA336">
        <f t="shared" si="23"/>
        <v>5022.9960470420774</v>
      </c>
    </row>
    <row r="337" spans="1:27" x14ac:dyDescent="0.25">
      <c r="A337">
        <v>172000</v>
      </c>
      <c r="B337">
        <v>1</v>
      </c>
      <c r="C337">
        <v>37.5</v>
      </c>
      <c r="D337">
        <v>0</v>
      </c>
      <c r="E337">
        <v>192000</v>
      </c>
      <c r="F337">
        <v>4153</v>
      </c>
      <c r="G337">
        <v>1</v>
      </c>
      <c r="H337">
        <v>0</v>
      </c>
      <c r="I337">
        <v>0</v>
      </c>
      <c r="J337">
        <v>26.29999923706055</v>
      </c>
      <c r="K337">
        <v>1</v>
      </c>
      <c r="L337">
        <f>Résultats!G$32+Résultats!G$33*Données!C337+Résultats!G$34*Données!D337+Résultats!G$35*Données!E337+Résultats!G$36*Données!F337+Résultats!G$37*Données!G337+Résultats!G$38*Données!H337+Résultats!G$39*Données!I337</f>
        <v>144356.02220897586</v>
      </c>
      <c r="M337">
        <f t="shared" si="20"/>
        <v>27643.977791024139</v>
      </c>
      <c r="Q337">
        <v>200000</v>
      </c>
      <c r="R337">
        <v>1</v>
      </c>
      <c r="S337">
        <v>36</v>
      </c>
      <c r="T337">
        <v>0</v>
      </c>
      <c r="U337">
        <f t="shared" si="21"/>
        <v>12.429216196844383</v>
      </c>
      <c r="V337">
        <f t="shared" si="22"/>
        <v>7.6328855053951328</v>
      </c>
      <c r="W337">
        <v>0</v>
      </c>
      <c r="X337">
        <v>1</v>
      </c>
      <c r="Y337">
        <v>0</v>
      </c>
      <c r="Z337">
        <f>'Résultat (Ln)'!F$30+'Résultat (Ln)'!F$31*Données!S337+'Résultat (Ln)'!F$32*Données!T337+'Résultat (Ln)'!F$33*Données!U337+'Résultat (Ln)'!F$34*Données!V337+'Résultat (Ln)'!F$35*Données!W337+'Résultat (Ln)'!F$36*Données!X337+'Résultat (Ln)'!F$37*Données!Y337</f>
        <v>160413.10583624252</v>
      </c>
      <c r="AA337">
        <f t="shared" si="23"/>
        <v>39586.894163757475</v>
      </c>
    </row>
    <row r="338" spans="1:27" x14ac:dyDescent="0.25">
      <c r="A338">
        <v>125000</v>
      </c>
      <c r="B338">
        <v>1</v>
      </c>
      <c r="C338">
        <v>30</v>
      </c>
      <c r="D338">
        <v>0</v>
      </c>
      <c r="E338">
        <v>125000</v>
      </c>
      <c r="F338">
        <v>2940</v>
      </c>
      <c r="G338">
        <v>1</v>
      </c>
      <c r="H338">
        <v>0</v>
      </c>
      <c r="I338">
        <v>0</v>
      </c>
      <c r="J338">
        <v>30</v>
      </c>
      <c r="K338">
        <v>1</v>
      </c>
      <c r="L338">
        <f>Résultats!G$32+Résultats!G$33*Données!C338+Résultats!G$34*Données!D338+Résultats!G$35*Données!E338+Résultats!G$36*Données!F338+Résultats!G$37*Données!G338+Résultats!G$38*Données!H338+Résultats!G$39*Données!I338</f>
        <v>102104.5892898655</v>
      </c>
      <c r="M338">
        <f t="shared" si="20"/>
        <v>22895.4107101345</v>
      </c>
      <c r="Q338">
        <v>172000</v>
      </c>
      <c r="R338">
        <v>1</v>
      </c>
      <c r="S338">
        <v>37.5</v>
      </c>
      <c r="T338">
        <v>0</v>
      </c>
      <c r="U338">
        <f t="shared" si="21"/>
        <v>12.165250651009918</v>
      </c>
      <c r="V338">
        <f t="shared" si="22"/>
        <v>8.3315862436307544</v>
      </c>
      <c r="W338">
        <v>1</v>
      </c>
      <c r="X338">
        <v>0</v>
      </c>
      <c r="Y338">
        <v>0</v>
      </c>
      <c r="Z338">
        <f>'Résultat (Ln)'!F$30+'Résultat (Ln)'!F$31*Données!S338+'Résultat (Ln)'!F$32*Données!T338+'Résultat (Ln)'!F$33*Données!U338+'Résultat (Ln)'!F$34*Données!V338+'Résultat (Ln)'!F$35*Données!W338+'Résultat (Ln)'!F$36*Données!X338+'Résultat (Ln)'!F$37*Données!Y338</f>
        <v>158237.41722537429</v>
      </c>
      <c r="AA338">
        <f t="shared" si="23"/>
        <v>13762.582774625713</v>
      </c>
    </row>
    <row r="339" spans="1:27" x14ac:dyDescent="0.25">
      <c r="A339">
        <v>131000</v>
      </c>
      <c r="B339">
        <v>1</v>
      </c>
      <c r="C339">
        <v>26.89999961853027</v>
      </c>
      <c r="D339">
        <v>0</v>
      </c>
      <c r="E339">
        <v>164000</v>
      </c>
      <c r="F339">
        <v>1759</v>
      </c>
      <c r="G339">
        <v>1</v>
      </c>
      <c r="H339">
        <v>0</v>
      </c>
      <c r="I339">
        <v>1</v>
      </c>
      <c r="J339">
        <v>22.60000038146973</v>
      </c>
      <c r="K339">
        <v>1</v>
      </c>
      <c r="L339">
        <f>Résultats!G$32+Résultats!G$33*Données!C339+Résultats!G$34*Données!D339+Résultats!G$35*Données!E339+Résultats!G$36*Données!F339+Résultats!G$37*Données!G339+Résultats!G$38*Données!H339+Résultats!G$39*Données!I339</f>
        <v>124391.81813266092</v>
      </c>
      <c r="M339">
        <f t="shared" si="20"/>
        <v>6608.1818673390808</v>
      </c>
      <c r="Q339">
        <v>125000</v>
      </c>
      <c r="R339">
        <v>1</v>
      </c>
      <c r="S339">
        <v>30</v>
      </c>
      <c r="T339">
        <v>0</v>
      </c>
      <c r="U339">
        <f t="shared" si="21"/>
        <v>11.736069016284437</v>
      </c>
      <c r="V339">
        <f t="shared" si="22"/>
        <v>7.9861648603327273</v>
      </c>
      <c r="W339">
        <v>1</v>
      </c>
      <c r="X339">
        <v>0</v>
      </c>
      <c r="Y339">
        <v>0</v>
      </c>
      <c r="Z339">
        <f>'Résultat (Ln)'!F$30+'Résultat (Ln)'!F$31*Données!S339+'Résultat (Ln)'!F$32*Données!T339+'Résultat (Ln)'!F$33*Données!U339+'Résultat (Ln)'!F$34*Données!V339+'Résultat (Ln)'!F$35*Données!W339+'Résultat (Ln)'!F$36*Données!X339+'Résultat (Ln)'!F$37*Données!Y339</f>
        <v>93378.124963133581</v>
      </c>
      <c r="AA339">
        <f t="shared" si="23"/>
        <v>31621.875036866419</v>
      </c>
    </row>
    <row r="340" spans="1:27" x14ac:dyDescent="0.25">
      <c r="A340">
        <v>102000</v>
      </c>
      <c r="B340">
        <v>1</v>
      </c>
      <c r="C340">
        <v>40</v>
      </c>
      <c r="D340">
        <v>0</v>
      </c>
      <c r="E340">
        <v>115000</v>
      </c>
      <c r="F340">
        <v>3400</v>
      </c>
      <c r="G340">
        <v>0</v>
      </c>
      <c r="H340">
        <v>0</v>
      </c>
      <c r="I340">
        <v>1</v>
      </c>
      <c r="J340">
        <v>30</v>
      </c>
      <c r="K340">
        <v>0</v>
      </c>
      <c r="L340">
        <f>Résultats!G$32+Résultats!G$33*Données!C340+Résultats!G$34*Données!D340+Résultats!G$35*Données!E340+Résultats!G$36*Données!F340+Résultats!G$37*Données!G340+Résultats!G$38*Données!H340+Résultats!G$39*Données!I340</f>
        <v>112721.98095848448</v>
      </c>
      <c r="M340">
        <f t="shared" si="20"/>
        <v>-10721.980958484477</v>
      </c>
      <c r="Q340">
        <v>131000</v>
      </c>
      <c r="R340">
        <v>1</v>
      </c>
      <c r="S340">
        <v>26.89999961853027</v>
      </c>
      <c r="T340">
        <v>0</v>
      </c>
      <c r="U340">
        <f t="shared" si="21"/>
        <v>12.007621706806335</v>
      </c>
      <c r="V340">
        <f t="shared" si="22"/>
        <v>7.472500744737558</v>
      </c>
      <c r="W340">
        <v>1</v>
      </c>
      <c r="X340">
        <v>0</v>
      </c>
      <c r="Y340">
        <v>1</v>
      </c>
      <c r="Z340">
        <f>'Résultat (Ln)'!F$30+'Résultat (Ln)'!F$31*Données!S340+'Résultat (Ln)'!F$32*Données!T340+'Résultat (Ln)'!F$33*Données!U340+'Résultat (Ln)'!F$34*Données!V340+'Résultat (Ln)'!F$35*Données!W340+'Résultat (Ln)'!F$36*Données!X340+'Résultat (Ln)'!F$37*Données!Y340</f>
        <v>118379.85547944911</v>
      </c>
      <c r="AA340">
        <f t="shared" si="23"/>
        <v>12620.144520550894</v>
      </c>
    </row>
    <row r="341" spans="1:27" x14ac:dyDescent="0.25">
      <c r="A341">
        <v>133000</v>
      </c>
      <c r="B341">
        <v>1</v>
      </c>
      <c r="C341">
        <v>39</v>
      </c>
      <c r="D341">
        <v>0</v>
      </c>
      <c r="E341">
        <v>148000</v>
      </c>
      <c r="F341">
        <v>4288</v>
      </c>
      <c r="G341">
        <v>1</v>
      </c>
      <c r="H341">
        <v>0</v>
      </c>
      <c r="I341">
        <v>0</v>
      </c>
      <c r="J341">
        <v>18</v>
      </c>
      <c r="K341">
        <v>1</v>
      </c>
      <c r="L341">
        <f>Résultats!G$32+Résultats!G$33*Données!C341+Résultats!G$34*Données!D341+Résultats!G$35*Données!E341+Résultats!G$36*Données!F341+Résultats!G$37*Données!G341+Résultats!G$38*Données!H341+Résultats!G$39*Données!I341</f>
        <v>125794.68525043421</v>
      </c>
      <c r="M341">
        <f t="shared" si="20"/>
        <v>7205.3147495657904</v>
      </c>
      <c r="Q341">
        <v>102000</v>
      </c>
      <c r="R341">
        <v>1</v>
      </c>
      <c r="S341">
        <v>40</v>
      </c>
      <c r="T341">
        <v>0</v>
      </c>
      <c r="U341">
        <f t="shared" si="21"/>
        <v>11.652687407345388</v>
      </c>
      <c r="V341">
        <f t="shared" si="22"/>
        <v>8.1315307106042525</v>
      </c>
      <c r="W341">
        <v>0</v>
      </c>
      <c r="X341">
        <v>0</v>
      </c>
      <c r="Y341">
        <v>1</v>
      </c>
      <c r="Z341">
        <f>'Résultat (Ln)'!F$30+'Résultat (Ln)'!F$31*Données!S341+'Résultat (Ln)'!F$32*Données!T341+'Résultat (Ln)'!F$33*Données!U341+'Résultat (Ln)'!F$34*Données!V341+'Résultat (Ln)'!F$35*Données!W341+'Résultat (Ln)'!F$36*Données!X341+'Résultat (Ln)'!F$37*Données!Y341</f>
        <v>110310.19644712575</v>
      </c>
      <c r="AA341">
        <f t="shared" si="23"/>
        <v>-8310.1964471257525</v>
      </c>
    </row>
    <row r="342" spans="1:27" x14ac:dyDescent="0.25">
      <c r="A342">
        <v>188000</v>
      </c>
      <c r="B342">
        <v>1</v>
      </c>
      <c r="C342">
        <v>28</v>
      </c>
      <c r="D342">
        <v>0</v>
      </c>
      <c r="E342">
        <v>251000</v>
      </c>
      <c r="F342">
        <v>4666</v>
      </c>
      <c r="G342">
        <v>1</v>
      </c>
      <c r="H342">
        <v>0</v>
      </c>
      <c r="I342">
        <v>0</v>
      </c>
      <c r="J342">
        <v>25</v>
      </c>
      <c r="K342">
        <v>1</v>
      </c>
      <c r="L342">
        <f>Résultats!G$32+Résultats!G$33*Données!C342+Résultats!G$34*Données!D342+Résultats!G$35*Données!E342+Résultats!G$36*Données!F342+Résultats!G$37*Données!G342+Résultats!G$38*Données!H342+Résultats!G$39*Données!I342</f>
        <v>161987.9813776747</v>
      </c>
      <c r="M342">
        <f t="shared" si="20"/>
        <v>26012.018622325297</v>
      </c>
      <c r="Q342">
        <v>133000</v>
      </c>
      <c r="R342">
        <v>1</v>
      </c>
      <c r="S342">
        <v>39</v>
      </c>
      <c r="T342">
        <v>0</v>
      </c>
      <c r="U342">
        <f t="shared" si="21"/>
        <v>11.904967552746252</v>
      </c>
      <c r="V342">
        <f t="shared" si="22"/>
        <v>8.3635757027506372</v>
      </c>
      <c r="W342">
        <v>1</v>
      </c>
      <c r="X342">
        <v>0</v>
      </c>
      <c r="Y342">
        <v>0</v>
      </c>
      <c r="Z342">
        <f>'Résultat (Ln)'!F$30+'Résultat (Ln)'!F$31*Données!S342+'Résultat (Ln)'!F$32*Données!T342+'Résultat (Ln)'!F$33*Données!U342+'Résultat (Ln)'!F$34*Données!V342+'Résultat (Ln)'!F$35*Données!W342+'Résultat (Ln)'!F$36*Données!X342+'Résultat (Ln)'!F$37*Données!Y342</f>
        <v>133066.45428482676</v>
      </c>
      <c r="AA342">
        <f t="shared" si="23"/>
        <v>-66.454284826759249</v>
      </c>
    </row>
    <row r="343" spans="1:27" x14ac:dyDescent="0.25">
      <c r="A343">
        <v>108000</v>
      </c>
      <c r="B343">
        <v>1</v>
      </c>
      <c r="C343">
        <v>31</v>
      </c>
      <c r="D343">
        <v>0</v>
      </c>
      <c r="E343">
        <v>171000</v>
      </c>
      <c r="F343">
        <v>2101</v>
      </c>
      <c r="G343">
        <v>0</v>
      </c>
      <c r="H343">
        <v>0</v>
      </c>
      <c r="I343">
        <v>1</v>
      </c>
      <c r="J343">
        <v>31</v>
      </c>
      <c r="K343">
        <v>0</v>
      </c>
      <c r="L343">
        <f>Résultats!G$32+Résultats!G$33*Données!C343+Résultats!G$34*Données!D343+Résultats!G$35*Données!E343+Résultats!G$36*Données!F343+Résultats!G$37*Données!G343+Résultats!G$38*Données!H343+Résultats!G$39*Données!I343</f>
        <v>126016.14480397479</v>
      </c>
      <c r="M343">
        <f t="shared" si="20"/>
        <v>-18016.144803974792</v>
      </c>
      <c r="Q343">
        <v>188000</v>
      </c>
      <c r="R343">
        <v>1</v>
      </c>
      <c r="S343">
        <v>28</v>
      </c>
      <c r="T343">
        <v>0</v>
      </c>
      <c r="U343">
        <f t="shared" si="21"/>
        <v>12.43320821811392</v>
      </c>
      <c r="V343">
        <f t="shared" si="22"/>
        <v>8.4480574525813754</v>
      </c>
      <c r="W343">
        <v>1</v>
      </c>
      <c r="X343">
        <v>0</v>
      </c>
      <c r="Y343">
        <v>0</v>
      </c>
      <c r="Z343">
        <f>'Résultat (Ln)'!F$30+'Résultat (Ln)'!F$31*Données!S343+'Résultat (Ln)'!F$32*Données!T343+'Résultat (Ln)'!F$33*Données!U343+'Résultat (Ln)'!F$34*Données!V343+'Résultat (Ln)'!F$35*Données!W343+'Résultat (Ln)'!F$36*Données!X343+'Résultat (Ln)'!F$37*Données!Y343</f>
        <v>178618.41859199043</v>
      </c>
      <c r="AA343">
        <f t="shared" si="23"/>
        <v>9381.5814080095734</v>
      </c>
    </row>
    <row r="344" spans="1:27" x14ac:dyDescent="0.25">
      <c r="A344">
        <v>125000</v>
      </c>
      <c r="B344">
        <v>1</v>
      </c>
      <c r="C344">
        <v>41</v>
      </c>
      <c r="D344">
        <v>0</v>
      </c>
      <c r="E344">
        <v>215000</v>
      </c>
      <c r="F344">
        <v>4490</v>
      </c>
      <c r="G344">
        <v>1</v>
      </c>
      <c r="H344">
        <v>0</v>
      </c>
      <c r="I344">
        <v>1</v>
      </c>
      <c r="J344">
        <v>30</v>
      </c>
      <c r="K344">
        <v>1</v>
      </c>
      <c r="L344">
        <f>Résultats!G$32+Résultats!G$33*Données!C344+Résultats!G$34*Données!D344+Résultats!G$35*Données!E344+Résultats!G$36*Données!F344+Résultats!G$37*Données!G344+Résultats!G$38*Données!H344+Résultats!G$39*Données!I344</f>
        <v>169694.78491458669</v>
      </c>
      <c r="M344">
        <f t="shared" si="20"/>
        <v>-44694.784914586693</v>
      </c>
      <c r="Q344">
        <v>108000</v>
      </c>
      <c r="R344">
        <v>1</v>
      </c>
      <c r="S344">
        <v>31</v>
      </c>
      <c r="T344">
        <v>0</v>
      </c>
      <c r="U344">
        <f t="shared" si="21"/>
        <v>12.049418835484797</v>
      </c>
      <c r="V344">
        <f t="shared" si="22"/>
        <v>7.6501687008450006</v>
      </c>
      <c r="W344">
        <v>0</v>
      </c>
      <c r="X344">
        <v>0</v>
      </c>
      <c r="Y344">
        <v>1</v>
      </c>
      <c r="Z344">
        <f>'Résultat (Ln)'!F$30+'Résultat (Ln)'!F$31*Données!S344+'Résultat (Ln)'!F$32*Données!T344+'Résultat (Ln)'!F$33*Données!U344+'Résultat (Ln)'!F$34*Données!V344+'Résultat (Ln)'!F$35*Données!W344+'Résultat (Ln)'!F$36*Données!X344+'Résultat (Ln)'!F$37*Données!Y344</f>
        <v>128339.49863791518</v>
      </c>
      <c r="AA344">
        <f t="shared" si="23"/>
        <v>-20339.498637915181</v>
      </c>
    </row>
    <row r="345" spans="1:27" x14ac:dyDescent="0.25">
      <c r="A345">
        <v>151000</v>
      </c>
      <c r="B345">
        <v>1</v>
      </c>
      <c r="C345">
        <v>33.599998474121087</v>
      </c>
      <c r="D345">
        <v>0</v>
      </c>
      <c r="E345">
        <v>188600.0061035156</v>
      </c>
      <c r="F345">
        <v>4843</v>
      </c>
      <c r="G345">
        <v>0</v>
      </c>
      <c r="H345">
        <v>0</v>
      </c>
      <c r="I345">
        <v>0</v>
      </c>
      <c r="J345">
        <v>18.60000038146973</v>
      </c>
      <c r="K345">
        <v>1</v>
      </c>
      <c r="L345">
        <f>Résultats!G$32+Résultats!G$33*Données!C345+Résultats!G$34*Données!D345+Résultats!G$35*Données!E345+Résultats!G$36*Données!F345+Résultats!G$37*Données!G345+Résultats!G$38*Données!H345+Résultats!G$39*Données!I345</f>
        <v>132609.02251557729</v>
      </c>
      <c r="M345">
        <f t="shared" si="20"/>
        <v>18390.977484422707</v>
      </c>
      <c r="Q345">
        <v>125000</v>
      </c>
      <c r="R345">
        <v>1</v>
      </c>
      <c r="S345">
        <v>41</v>
      </c>
      <c r="T345">
        <v>0</v>
      </c>
      <c r="U345">
        <f t="shared" si="21"/>
        <v>12.2783933071098</v>
      </c>
      <c r="V345">
        <f t="shared" si="22"/>
        <v>8.4096079807363004</v>
      </c>
      <c r="W345">
        <v>1</v>
      </c>
      <c r="X345">
        <v>0</v>
      </c>
      <c r="Y345">
        <v>1</v>
      </c>
      <c r="Z345">
        <f>'Résultat (Ln)'!F$30+'Résultat (Ln)'!F$31*Données!S345+'Résultat (Ln)'!F$32*Données!T345+'Résultat (Ln)'!F$33*Données!U345+'Résultat (Ln)'!F$34*Données!V345+'Résultat (Ln)'!F$35*Données!W345+'Résultat (Ln)'!F$36*Données!X345+'Résultat (Ln)'!F$37*Données!Y345</f>
        <v>190918.06412143866</v>
      </c>
      <c r="AA345">
        <f t="shared" si="23"/>
        <v>-65918.064121438656</v>
      </c>
    </row>
    <row r="346" spans="1:27" x14ac:dyDescent="0.25">
      <c r="A346">
        <v>297000</v>
      </c>
      <c r="B346">
        <v>1</v>
      </c>
      <c r="C346">
        <v>38.5</v>
      </c>
      <c r="D346">
        <v>0</v>
      </c>
      <c r="E346">
        <v>410000</v>
      </c>
      <c r="F346">
        <v>13650</v>
      </c>
      <c r="G346">
        <v>1</v>
      </c>
      <c r="H346">
        <v>0</v>
      </c>
      <c r="I346">
        <v>1</v>
      </c>
      <c r="J346">
        <v>23</v>
      </c>
      <c r="K346">
        <v>1</v>
      </c>
      <c r="L346">
        <f>Résultats!G$32+Résultats!G$33*Données!C346+Résultats!G$34*Données!D346+Résultats!G$35*Données!E346+Résultats!G$36*Données!F346+Résultats!G$37*Données!G346+Résultats!G$38*Données!H346+Résultats!G$39*Données!I346</f>
        <v>275629.12862827658</v>
      </c>
      <c r="M346">
        <f t="shared" si="20"/>
        <v>21370.87137172342</v>
      </c>
      <c r="Q346">
        <v>151000</v>
      </c>
      <c r="R346">
        <v>1</v>
      </c>
      <c r="S346">
        <v>33.599998474121087</v>
      </c>
      <c r="T346">
        <v>0</v>
      </c>
      <c r="U346">
        <f t="shared" si="21"/>
        <v>12.147383681543719</v>
      </c>
      <c r="V346">
        <f t="shared" si="22"/>
        <v>8.4852896424032291</v>
      </c>
      <c r="W346">
        <v>0</v>
      </c>
      <c r="X346">
        <v>0</v>
      </c>
      <c r="Y346">
        <v>0</v>
      </c>
      <c r="Z346">
        <f>'Résultat (Ln)'!F$30+'Résultat (Ln)'!F$31*Données!S346+'Résultat (Ln)'!F$32*Données!T346+'Résultat (Ln)'!F$33*Données!U346+'Résultat (Ln)'!F$34*Données!V346+'Résultat (Ln)'!F$35*Données!W346+'Résultat (Ln)'!F$36*Données!X346+'Résultat (Ln)'!F$37*Données!Y346</f>
        <v>151352.89849185778</v>
      </c>
      <c r="AA346">
        <f t="shared" si="23"/>
        <v>-352.89849185777712</v>
      </c>
    </row>
    <row r="347" spans="1:27" x14ac:dyDescent="0.25">
      <c r="A347">
        <v>138000</v>
      </c>
      <c r="B347">
        <v>1</v>
      </c>
      <c r="C347">
        <v>37</v>
      </c>
      <c r="D347">
        <v>0</v>
      </c>
      <c r="E347">
        <v>173000</v>
      </c>
      <c r="F347">
        <v>2917</v>
      </c>
      <c r="G347">
        <v>1</v>
      </c>
      <c r="H347">
        <v>0</v>
      </c>
      <c r="I347">
        <v>0</v>
      </c>
      <c r="J347">
        <v>21</v>
      </c>
      <c r="K347">
        <v>1</v>
      </c>
      <c r="L347">
        <f>Résultats!G$32+Résultats!G$33*Données!C347+Résultats!G$34*Données!D347+Résultats!G$35*Données!E347+Résultats!G$36*Données!F347+Résultats!G$37*Données!G347+Résultats!G$38*Données!H347+Résultats!G$39*Données!I347</f>
        <v>132514.469730563</v>
      </c>
      <c r="M347">
        <f t="shared" si="20"/>
        <v>5485.5302694370039</v>
      </c>
      <c r="Q347">
        <v>297000</v>
      </c>
      <c r="R347">
        <v>1</v>
      </c>
      <c r="S347">
        <v>38.5</v>
      </c>
      <c r="T347">
        <v>0</v>
      </c>
      <c r="U347">
        <f t="shared" si="21"/>
        <v>12.923912438680491</v>
      </c>
      <c r="V347">
        <f t="shared" si="22"/>
        <v>9.5214948006131053</v>
      </c>
      <c r="W347">
        <v>1</v>
      </c>
      <c r="X347">
        <v>0</v>
      </c>
      <c r="Y347">
        <v>1</v>
      </c>
      <c r="Z347">
        <f>'Résultat (Ln)'!F$30+'Résultat (Ln)'!F$31*Données!S347+'Résultat (Ln)'!F$32*Données!T347+'Résultat (Ln)'!F$33*Données!U347+'Résultat (Ln)'!F$34*Données!V347+'Résultat (Ln)'!F$35*Données!W347+'Résultat (Ln)'!F$36*Données!X347+'Résultat (Ln)'!F$37*Données!Y347</f>
        <v>288243.49808009854</v>
      </c>
      <c r="AA347">
        <f t="shared" si="23"/>
        <v>8756.5019199014641</v>
      </c>
    </row>
    <row r="348" spans="1:27" x14ac:dyDescent="0.25">
      <c r="A348">
        <v>135000</v>
      </c>
      <c r="B348">
        <v>1</v>
      </c>
      <c r="C348">
        <v>31</v>
      </c>
      <c r="D348">
        <v>0</v>
      </c>
      <c r="E348">
        <v>150000</v>
      </c>
      <c r="F348">
        <v>4700</v>
      </c>
      <c r="G348">
        <v>1</v>
      </c>
      <c r="H348">
        <v>0</v>
      </c>
      <c r="I348">
        <v>0</v>
      </c>
      <c r="J348">
        <v>31</v>
      </c>
      <c r="K348">
        <v>1</v>
      </c>
      <c r="L348">
        <f>Résultats!G$32+Résultats!G$33*Données!C348+Résultats!G$34*Données!D348+Résultats!G$35*Données!E348+Résultats!G$36*Données!F348+Résultats!G$37*Données!G348+Résultats!G$38*Données!H348+Résultats!G$39*Données!I348</f>
        <v>118337.597149529</v>
      </c>
      <c r="M348">
        <f t="shared" si="20"/>
        <v>16662.402850471</v>
      </c>
      <c r="Q348">
        <v>138000</v>
      </c>
      <c r="R348">
        <v>1</v>
      </c>
      <c r="S348">
        <v>37</v>
      </c>
      <c r="T348">
        <v>0</v>
      </c>
      <c r="U348">
        <f t="shared" si="21"/>
        <v>12.061046873479915</v>
      </c>
      <c r="V348">
        <f t="shared" si="22"/>
        <v>7.9783109698677217</v>
      </c>
      <c r="W348">
        <v>1</v>
      </c>
      <c r="X348">
        <v>0</v>
      </c>
      <c r="Y348">
        <v>0</v>
      </c>
      <c r="Z348">
        <f>'Résultat (Ln)'!F$30+'Résultat (Ln)'!F$31*Données!S348+'Résultat (Ln)'!F$32*Données!T348+'Résultat (Ln)'!F$33*Données!U348+'Résultat (Ln)'!F$34*Données!V348+'Résultat (Ln)'!F$35*Données!W348+'Résultat (Ln)'!F$36*Données!X348+'Résultat (Ln)'!F$37*Données!Y348</f>
        <v>136548.32862999485</v>
      </c>
      <c r="AA348">
        <f t="shared" si="23"/>
        <v>1451.6713700051478</v>
      </c>
    </row>
    <row r="349" spans="1:27" x14ac:dyDescent="0.25">
      <c r="A349">
        <v>144000</v>
      </c>
      <c r="B349">
        <v>1</v>
      </c>
      <c r="C349">
        <v>22.79999923706055</v>
      </c>
      <c r="D349">
        <v>0</v>
      </c>
      <c r="E349">
        <v>189000</v>
      </c>
      <c r="F349">
        <v>4225</v>
      </c>
      <c r="G349">
        <v>1</v>
      </c>
      <c r="H349">
        <v>0</v>
      </c>
      <c r="I349">
        <v>1</v>
      </c>
      <c r="J349">
        <v>17.79999923706055</v>
      </c>
      <c r="K349">
        <v>1</v>
      </c>
      <c r="L349">
        <f>Résultats!G$32+Résultats!G$33*Données!C349+Résultats!G$34*Données!D349+Résultats!G$35*Données!E349+Résultats!G$36*Données!F349+Résultats!G$37*Données!G349+Résultats!G$38*Données!H349+Résultats!G$39*Données!I349</f>
        <v>136134.68450086459</v>
      </c>
      <c r="M349">
        <f t="shared" si="20"/>
        <v>7865.3154991354095</v>
      </c>
      <c r="Q349">
        <v>135000</v>
      </c>
      <c r="R349">
        <v>1</v>
      </c>
      <c r="S349">
        <v>31</v>
      </c>
      <c r="T349">
        <v>0</v>
      </c>
      <c r="U349">
        <f t="shared" si="21"/>
        <v>11.918390573078392</v>
      </c>
      <c r="V349">
        <f t="shared" si="22"/>
        <v>8.4553177876981493</v>
      </c>
      <c r="W349">
        <v>1</v>
      </c>
      <c r="X349">
        <v>0</v>
      </c>
      <c r="Y349">
        <v>0</v>
      </c>
      <c r="Z349">
        <f>'Résultat (Ln)'!F$30+'Résultat (Ln)'!F$31*Données!S349+'Résultat (Ln)'!F$32*Données!T349+'Résultat (Ln)'!F$33*Données!U349+'Résultat (Ln)'!F$34*Données!V349+'Résultat (Ln)'!F$35*Données!W349+'Résultat (Ln)'!F$36*Données!X349+'Résultat (Ln)'!F$37*Données!Y349</f>
        <v>127301.99430911023</v>
      </c>
      <c r="AA349">
        <f t="shared" si="23"/>
        <v>7698.0056908897677</v>
      </c>
    </row>
    <row r="350" spans="1:27" x14ac:dyDescent="0.25">
      <c r="A350">
        <v>281000</v>
      </c>
      <c r="B350">
        <v>1</v>
      </c>
      <c r="C350">
        <v>40</v>
      </c>
      <c r="D350">
        <v>0</v>
      </c>
      <c r="E350">
        <v>350000</v>
      </c>
      <c r="F350">
        <v>7976</v>
      </c>
      <c r="G350">
        <v>1</v>
      </c>
      <c r="H350">
        <v>0</v>
      </c>
      <c r="I350">
        <v>0</v>
      </c>
      <c r="J350">
        <v>32</v>
      </c>
      <c r="K350">
        <v>1</v>
      </c>
      <c r="L350">
        <f>Résultats!G$32+Résultats!G$33*Données!C350+Résultats!G$34*Données!D350+Résultats!G$35*Données!E350+Résultats!G$36*Données!F350+Résultats!G$37*Données!G350+Résultats!G$38*Données!H350+Résultats!G$39*Données!I350</f>
        <v>228414.47570632864</v>
      </c>
      <c r="M350">
        <f t="shared" si="20"/>
        <v>52585.524293671362</v>
      </c>
      <c r="Q350">
        <v>144000</v>
      </c>
      <c r="R350">
        <v>1</v>
      </c>
      <c r="S350">
        <v>22.79999923706055</v>
      </c>
      <c r="T350">
        <v>0</v>
      </c>
      <c r="U350">
        <f t="shared" si="21"/>
        <v>12.149502294041779</v>
      </c>
      <c r="V350">
        <f t="shared" si="22"/>
        <v>8.3487745397912736</v>
      </c>
      <c r="W350">
        <v>1</v>
      </c>
      <c r="X350">
        <v>0</v>
      </c>
      <c r="Y350">
        <v>1</v>
      </c>
      <c r="Z350">
        <f>'Résultat (Ln)'!F$30+'Résultat (Ln)'!F$31*Données!S350+'Résultat (Ln)'!F$32*Données!T350+'Résultat (Ln)'!F$33*Données!U350+'Résultat (Ln)'!F$34*Données!V350+'Résultat (Ln)'!F$35*Données!W350+'Résultat (Ln)'!F$36*Données!X350+'Résultat (Ln)'!F$37*Données!Y350</f>
        <v>153154.25031110871</v>
      </c>
      <c r="AA350">
        <f t="shared" si="23"/>
        <v>-9154.2503111087135</v>
      </c>
    </row>
    <row r="351" spans="1:27" x14ac:dyDescent="0.25">
      <c r="A351">
        <v>115000</v>
      </c>
      <c r="B351">
        <v>1</v>
      </c>
      <c r="C351">
        <v>22</v>
      </c>
      <c r="D351">
        <v>0</v>
      </c>
      <c r="E351">
        <v>145000</v>
      </c>
      <c r="F351">
        <v>3808</v>
      </c>
      <c r="G351">
        <v>0</v>
      </c>
      <c r="H351">
        <v>0</v>
      </c>
      <c r="I351">
        <v>0</v>
      </c>
      <c r="J351">
        <v>20</v>
      </c>
      <c r="K351">
        <v>1</v>
      </c>
      <c r="L351">
        <f>Résultats!G$32+Résultats!G$33*Données!C351+Résultats!G$34*Données!D351+Résultats!G$35*Données!E351+Résultats!G$36*Données!F351+Résultats!G$37*Données!G351+Résultats!G$38*Données!H351+Résultats!G$39*Données!I351</f>
        <v>96919.67258280344</v>
      </c>
      <c r="M351">
        <f t="shared" si="20"/>
        <v>18080.32741719656</v>
      </c>
      <c r="Q351">
        <v>281000</v>
      </c>
      <c r="R351">
        <v>1</v>
      </c>
      <c r="S351">
        <v>40</v>
      </c>
      <c r="T351">
        <v>0</v>
      </c>
      <c r="U351">
        <f t="shared" si="21"/>
        <v>12.765688433465597</v>
      </c>
      <c r="V351">
        <f t="shared" si="22"/>
        <v>8.9841923116416744</v>
      </c>
      <c r="W351">
        <v>1</v>
      </c>
      <c r="X351">
        <v>0</v>
      </c>
      <c r="Y351">
        <v>0</v>
      </c>
      <c r="Z351">
        <f>'Résultat (Ln)'!F$30+'Résultat (Ln)'!F$31*Données!S351+'Résultat (Ln)'!F$32*Données!T351+'Résultat (Ln)'!F$33*Données!U351+'Résultat (Ln)'!F$34*Données!V351+'Résultat (Ln)'!F$35*Données!W351+'Résultat (Ln)'!F$36*Données!X351+'Résultat (Ln)'!F$37*Données!Y351</f>
        <v>243959.64243775359</v>
      </c>
      <c r="AA351">
        <f t="shared" si="23"/>
        <v>37040.357562246412</v>
      </c>
    </row>
    <row r="352" spans="1:27" x14ac:dyDescent="0.25">
      <c r="A352">
        <v>152000</v>
      </c>
      <c r="B352">
        <v>1</v>
      </c>
      <c r="C352">
        <v>31</v>
      </c>
      <c r="D352">
        <v>0</v>
      </c>
      <c r="E352">
        <v>171000</v>
      </c>
      <c r="F352">
        <v>4652</v>
      </c>
      <c r="G352">
        <v>1</v>
      </c>
      <c r="H352">
        <v>0</v>
      </c>
      <c r="I352">
        <v>0</v>
      </c>
      <c r="J352">
        <v>19</v>
      </c>
      <c r="K352">
        <v>1</v>
      </c>
      <c r="L352">
        <f>Résultats!G$32+Résultats!G$33*Données!C352+Résultats!G$34*Données!D352+Résultats!G$35*Données!E352+Résultats!G$36*Données!F352+Résultats!G$37*Données!G352+Résultats!G$38*Données!H352+Résultats!G$39*Données!I352</f>
        <v>128050.60199809773</v>
      </c>
      <c r="M352">
        <f t="shared" si="20"/>
        <v>23949.398001902271</v>
      </c>
      <c r="Q352">
        <v>115000</v>
      </c>
      <c r="R352">
        <v>1</v>
      </c>
      <c r="S352">
        <v>22</v>
      </c>
      <c r="T352">
        <v>0</v>
      </c>
      <c r="U352">
        <f t="shared" si="21"/>
        <v>11.884489021402711</v>
      </c>
      <c r="V352">
        <f t="shared" si="22"/>
        <v>8.2448593959112557</v>
      </c>
      <c r="W352">
        <v>0</v>
      </c>
      <c r="X352">
        <v>0</v>
      </c>
      <c r="Y352">
        <v>0</v>
      </c>
      <c r="Z352">
        <f>'Résultat (Ln)'!F$30+'Résultat (Ln)'!F$31*Données!S352+'Résultat (Ln)'!F$32*Données!T352+'Résultat (Ln)'!F$33*Données!U352+'Résultat (Ln)'!F$34*Données!V352+'Résultat (Ln)'!F$35*Données!W352+'Résultat (Ln)'!F$36*Données!X352+'Résultat (Ln)'!F$37*Données!Y352</f>
        <v>102253.02622035239</v>
      </c>
      <c r="AA352">
        <f t="shared" si="23"/>
        <v>12746.973779647611</v>
      </c>
    </row>
    <row r="353" spans="1:27" x14ac:dyDescent="0.25">
      <c r="A353">
        <v>130000</v>
      </c>
      <c r="B353">
        <v>1</v>
      </c>
      <c r="C353">
        <v>44</v>
      </c>
      <c r="D353">
        <v>0</v>
      </c>
      <c r="E353">
        <v>192000</v>
      </c>
      <c r="F353">
        <v>3445</v>
      </c>
      <c r="G353">
        <v>1</v>
      </c>
      <c r="H353">
        <v>1</v>
      </c>
      <c r="I353">
        <v>0</v>
      </c>
      <c r="J353">
        <v>40</v>
      </c>
      <c r="K353">
        <v>1</v>
      </c>
      <c r="L353">
        <f>Résultats!G$32+Résultats!G$33*Données!C353+Résultats!G$34*Données!D353+Résultats!G$35*Données!E353+Résultats!G$36*Données!F353+Résultats!G$37*Données!G353+Résultats!G$38*Données!H353+Résultats!G$39*Données!I353</f>
        <v>148825.1497391086</v>
      </c>
      <c r="M353">
        <f t="shared" si="20"/>
        <v>-18825.149739108601</v>
      </c>
      <c r="Q353">
        <v>152000</v>
      </c>
      <c r="R353">
        <v>1</v>
      </c>
      <c r="S353">
        <v>31</v>
      </c>
      <c r="T353">
        <v>0</v>
      </c>
      <c r="U353">
        <f t="shared" si="21"/>
        <v>12.049418835484797</v>
      </c>
      <c r="V353">
        <f t="shared" si="22"/>
        <v>8.4450525136385544</v>
      </c>
      <c r="W353">
        <v>1</v>
      </c>
      <c r="X353">
        <v>0</v>
      </c>
      <c r="Y353">
        <v>0</v>
      </c>
      <c r="Z353">
        <f>'Résultat (Ln)'!F$30+'Résultat (Ln)'!F$31*Données!S353+'Résultat (Ln)'!F$32*Données!T353+'Résultat (Ln)'!F$33*Données!U353+'Résultat (Ln)'!F$34*Données!V353+'Résultat (Ln)'!F$35*Données!W353+'Résultat (Ln)'!F$36*Données!X353+'Résultat (Ln)'!F$37*Données!Y353</f>
        <v>141059.74536048569</v>
      </c>
      <c r="AA353">
        <f t="shared" si="23"/>
        <v>10940.254639514314</v>
      </c>
    </row>
    <row r="354" spans="1:27" x14ac:dyDescent="0.25">
      <c r="A354">
        <v>187000</v>
      </c>
      <c r="B354">
        <v>1</v>
      </c>
      <c r="C354">
        <v>28.10000038146973</v>
      </c>
      <c r="D354">
        <v>0</v>
      </c>
      <c r="E354">
        <v>392000</v>
      </c>
      <c r="F354">
        <v>7666</v>
      </c>
      <c r="G354">
        <v>1</v>
      </c>
      <c r="H354">
        <v>0</v>
      </c>
      <c r="I354">
        <v>0</v>
      </c>
      <c r="J354">
        <v>27.10000038146973</v>
      </c>
      <c r="K354">
        <v>1</v>
      </c>
      <c r="L354">
        <f>Résultats!G$32+Résultats!G$33*Données!C354+Résultats!G$34*Données!D354+Résultats!G$35*Données!E354+Résultats!G$36*Données!F354+Résultats!G$37*Données!G354+Résultats!G$38*Données!H354+Résultats!G$39*Données!I354</f>
        <v>233756.62183387636</v>
      </c>
      <c r="M354">
        <f t="shared" si="20"/>
        <v>-46756.621833876357</v>
      </c>
      <c r="Q354">
        <v>130000</v>
      </c>
      <c r="R354">
        <v>1</v>
      </c>
      <c r="S354">
        <v>44</v>
      </c>
      <c r="T354">
        <v>0</v>
      </c>
      <c r="U354">
        <f t="shared" si="21"/>
        <v>12.165250651009918</v>
      </c>
      <c r="V354">
        <f t="shared" si="22"/>
        <v>8.1446791834477583</v>
      </c>
      <c r="W354">
        <v>1</v>
      </c>
      <c r="X354">
        <v>1</v>
      </c>
      <c r="Y354">
        <v>0</v>
      </c>
      <c r="Z354">
        <f>'Résultat (Ln)'!F$30+'Résultat (Ln)'!F$31*Données!S354+'Résultat (Ln)'!F$32*Données!T354+'Résultat (Ln)'!F$33*Données!U354+'Résultat (Ln)'!F$34*Données!V354+'Résultat (Ln)'!F$35*Données!W354+'Résultat (Ln)'!F$36*Données!X354+'Résultat (Ln)'!F$37*Données!Y354</f>
        <v>160761.18775628848</v>
      </c>
      <c r="AA354">
        <f t="shared" si="23"/>
        <v>-30761.187756288477</v>
      </c>
    </row>
    <row r="355" spans="1:27" x14ac:dyDescent="0.25">
      <c r="A355">
        <v>109000</v>
      </c>
      <c r="B355">
        <v>1</v>
      </c>
      <c r="C355">
        <v>32</v>
      </c>
      <c r="D355">
        <v>0</v>
      </c>
      <c r="E355">
        <v>136000</v>
      </c>
      <c r="F355">
        <v>2340</v>
      </c>
      <c r="G355">
        <v>1</v>
      </c>
      <c r="H355">
        <v>1</v>
      </c>
      <c r="I355">
        <v>0</v>
      </c>
      <c r="J355">
        <v>15</v>
      </c>
      <c r="K355">
        <v>1</v>
      </c>
      <c r="L355">
        <f>Résultats!G$32+Résultats!G$33*Données!C355+Résultats!G$34*Données!D355+Résultats!G$35*Données!E355+Résultats!G$36*Données!F355+Résultats!G$37*Données!G355+Résultats!G$38*Données!H355+Résultats!G$39*Données!I355</f>
        <v>106750.46710486893</v>
      </c>
      <c r="M355">
        <f t="shared" si="20"/>
        <v>2249.5328951310657</v>
      </c>
      <c r="Q355">
        <v>187000</v>
      </c>
      <c r="R355">
        <v>1</v>
      </c>
      <c r="S355">
        <v>28.10000038146973</v>
      </c>
      <c r="T355">
        <v>0</v>
      </c>
      <c r="U355">
        <f t="shared" si="21"/>
        <v>12.8790171187726</v>
      </c>
      <c r="V355">
        <f t="shared" si="22"/>
        <v>8.9445502459404995</v>
      </c>
      <c r="W355">
        <v>1</v>
      </c>
      <c r="X355">
        <v>0</v>
      </c>
      <c r="Y355">
        <v>0</v>
      </c>
      <c r="Z355">
        <f>'Résultat (Ln)'!F$30+'Résultat (Ln)'!F$31*Données!S355+'Résultat (Ln)'!F$32*Données!T355+'Résultat (Ln)'!F$33*Données!U355+'Résultat (Ln)'!F$34*Données!V355+'Résultat (Ln)'!F$35*Données!W355+'Résultat (Ln)'!F$36*Données!X355+'Résultat (Ln)'!F$37*Données!Y355</f>
        <v>240453.89481243311</v>
      </c>
      <c r="AA355">
        <f t="shared" si="23"/>
        <v>-53453.894812433107</v>
      </c>
    </row>
    <row r="356" spans="1:27" x14ac:dyDescent="0.25">
      <c r="A356">
        <v>188000</v>
      </c>
      <c r="B356">
        <v>1</v>
      </c>
      <c r="C356">
        <v>38</v>
      </c>
      <c r="D356">
        <v>1</v>
      </c>
      <c r="E356">
        <v>210000</v>
      </c>
      <c r="F356">
        <v>2458</v>
      </c>
      <c r="G356">
        <v>1</v>
      </c>
      <c r="H356">
        <v>0</v>
      </c>
      <c r="I356">
        <v>0</v>
      </c>
      <c r="J356">
        <v>26</v>
      </c>
      <c r="K356">
        <v>1</v>
      </c>
      <c r="L356">
        <f>Résultats!G$32+Résultats!G$33*Données!C356+Résultats!G$34*Données!D356+Résultats!G$35*Données!E356+Résultats!G$36*Données!F356+Résultats!G$37*Données!G356+Résultats!G$38*Données!H356+Résultats!G$39*Données!I356</f>
        <v>154899.21536497632</v>
      </c>
      <c r="M356">
        <f t="shared" si="20"/>
        <v>33100.78463502368</v>
      </c>
      <c r="Q356">
        <v>109000</v>
      </c>
      <c r="R356">
        <v>1</v>
      </c>
      <c r="S356">
        <v>32</v>
      </c>
      <c r="T356">
        <v>0</v>
      </c>
      <c r="U356">
        <f t="shared" si="21"/>
        <v>11.820410164718188</v>
      </c>
      <c r="V356">
        <f t="shared" si="22"/>
        <v>7.7579062083517467</v>
      </c>
      <c r="W356">
        <v>1</v>
      </c>
      <c r="X356">
        <v>1</v>
      </c>
      <c r="Y356">
        <v>0</v>
      </c>
      <c r="Z356">
        <f>'Résultat (Ln)'!F$30+'Résultat (Ln)'!F$31*Données!S356+'Résultat (Ln)'!F$32*Données!T356+'Résultat (Ln)'!F$33*Données!U356+'Résultat (Ln)'!F$34*Données!V356+'Résultat (Ln)'!F$35*Données!W356+'Résultat (Ln)'!F$36*Données!X356+'Résultat (Ln)'!F$37*Données!Y356</f>
        <v>98283.970128610061</v>
      </c>
      <c r="AA356">
        <f t="shared" si="23"/>
        <v>10716.029871389939</v>
      </c>
    </row>
    <row r="357" spans="1:27" x14ac:dyDescent="0.25">
      <c r="A357">
        <v>107000</v>
      </c>
      <c r="B357">
        <v>1</v>
      </c>
      <c r="C357">
        <v>35</v>
      </c>
      <c r="D357">
        <v>1</v>
      </c>
      <c r="E357">
        <v>119000</v>
      </c>
      <c r="F357">
        <v>3975</v>
      </c>
      <c r="G357">
        <v>0</v>
      </c>
      <c r="H357">
        <v>0</v>
      </c>
      <c r="I357">
        <v>0</v>
      </c>
      <c r="J357">
        <v>30</v>
      </c>
      <c r="K357">
        <v>1</v>
      </c>
      <c r="L357">
        <f>Résultats!G$32+Résultats!G$33*Données!C357+Résultats!G$34*Données!D357+Résultats!G$35*Données!E357+Résultats!G$36*Données!F357+Résultats!G$37*Données!G357+Résultats!G$38*Données!H357+Résultats!G$39*Données!I357</f>
        <v>104883.46173121763</v>
      </c>
      <c r="M357">
        <f t="shared" si="20"/>
        <v>2116.5382687823731</v>
      </c>
      <c r="Q357">
        <v>188000</v>
      </c>
      <c r="R357">
        <v>1</v>
      </c>
      <c r="S357">
        <v>38</v>
      </c>
      <c r="T357">
        <v>1</v>
      </c>
      <c r="U357">
        <f t="shared" si="21"/>
        <v>12.254862809699606</v>
      </c>
      <c r="V357">
        <f t="shared" si="22"/>
        <v>7.8071032901259798</v>
      </c>
      <c r="W357">
        <v>1</v>
      </c>
      <c r="X357">
        <v>0</v>
      </c>
      <c r="Y357">
        <v>0</v>
      </c>
      <c r="Z357">
        <f>'Résultat (Ln)'!F$30+'Résultat (Ln)'!F$31*Données!S357+'Résultat (Ln)'!F$32*Données!T357+'Résultat (Ln)'!F$33*Données!U357+'Résultat (Ln)'!F$34*Données!V357+'Résultat (Ln)'!F$35*Données!W357+'Résultat (Ln)'!F$36*Données!X357+'Résultat (Ln)'!F$37*Données!Y357</f>
        <v>158093.73552844534</v>
      </c>
      <c r="AA357">
        <f t="shared" si="23"/>
        <v>29906.264471554663</v>
      </c>
    </row>
    <row r="358" spans="1:27" x14ac:dyDescent="0.25">
      <c r="A358">
        <v>148000</v>
      </c>
      <c r="B358">
        <v>1</v>
      </c>
      <c r="C358">
        <v>32</v>
      </c>
      <c r="D358">
        <v>0</v>
      </c>
      <c r="E358">
        <v>185000</v>
      </c>
      <c r="F358">
        <v>6125</v>
      </c>
      <c r="G358">
        <v>1</v>
      </c>
      <c r="H358">
        <v>0</v>
      </c>
      <c r="I358">
        <v>0</v>
      </c>
      <c r="J358">
        <v>27</v>
      </c>
      <c r="K358">
        <v>1</v>
      </c>
      <c r="L358">
        <f>Résultats!G$32+Résultats!G$33*Données!C358+Résultats!G$34*Données!D358+Résultats!G$35*Données!E358+Résultats!G$36*Données!F358+Résultats!G$37*Données!G358+Résultats!G$38*Données!H358+Résultats!G$39*Données!I358</f>
        <v>138590.97892839045</v>
      </c>
      <c r="M358">
        <f t="shared" si="20"/>
        <v>9409.0210716095462</v>
      </c>
      <c r="Q358">
        <v>107000</v>
      </c>
      <c r="R358">
        <v>1</v>
      </c>
      <c r="S358">
        <v>35</v>
      </c>
      <c r="T358">
        <v>1</v>
      </c>
      <c r="U358">
        <f t="shared" si="21"/>
        <v>11.686878772093667</v>
      </c>
      <c r="V358">
        <f t="shared" si="22"/>
        <v>8.2877800270884325</v>
      </c>
      <c r="W358">
        <v>0</v>
      </c>
      <c r="X358">
        <v>0</v>
      </c>
      <c r="Y358">
        <v>0</v>
      </c>
      <c r="Z358">
        <f>'Résultat (Ln)'!F$30+'Résultat (Ln)'!F$31*Données!S358+'Résultat (Ln)'!F$32*Données!T358+'Résultat (Ln)'!F$33*Données!U358+'Résultat (Ln)'!F$34*Données!V358+'Résultat (Ln)'!F$35*Données!W358+'Résultat (Ln)'!F$36*Données!X358+'Résultat (Ln)'!F$37*Données!Y358</f>
        <v>102509.17135403433</v>
      </c>
      <c r="AA358">
        <f t="shared" si="23"/>
        <v>4490.8286459656665</v>
      </c>
    </row>
    <row r="359" spans="1:27" x14ac:dyDescent="0.25">
      <c r="A359">
        <v>126000</v>
      </c>
      <c r="B359">
        <v>1</v>
      </c>
      <c r="C359">
        <v>31.10000038146973</v>
      </c>
      <c r="D359">
        <v>0</v>
      </c>
      <c r="E359">
        <v>139000</v>
      </c>
      <c r="F359">
        <v>3695</v>
      </c>
      <c r="G359">
        <v>0</v>
      </c>
      <c r="H359">
        <v>0</v>
      </c>
      <c r="I359">
        <v>0</v>
      </c>
      <c r="J359">
        <v>30.079999923706058</v>
      </c>
      <c r="K359">
        <v>1</v>
      </c>
      <c r="L359">
        <f>Résultats!G$32+Résultats!G$33*Données!C359+Résultats!G$34*Données!D359+Résultats!G$35*Données!E359+Résultats!G$36*Données!F359+Résultats!G$37*Données!G359+Résultats!G$38*Données!H359+Résultats!G$39*Données!I359</f>
        <v>104351.88388659168</v>
      </c>
      <c r="M359">
        <f t="shared" si="20"/>
        <v>21648.116113408323</v>
      </c>
      <c r="Q359">
        <v>148000</v>
      </c>
      <c r="R359">
        <v>1</v>
      </c>
      <c r="S359">
        <v>32</v>
      </c>
      <c r="T359">
        <v>0</v>
      </c>
      <c r="U359">
        <f t="shared" si="21"/>
        <v>12.128111104060462</v>
      </c>
      <c r="V359">
        <f t="shared" si="22"/>
        <v>8.7201340354129275</v>
      </c>
      <c r="W359">
        <v>1</v>
      </c>
      <c r="X359">
        <v>0</v>
      </c>
      <c r="Y359">
        <v>0</v>
      </c>
      <c r="Z359">
        <f>'Résultat (Ln)'!F$30+'Résultat (Ln)'!F$31*Données!S359+'Résultat (Ln)'!F$32*Données!T359+'Résultat (Ln)'!F$33*Données!U359+'Résultat (Ln)'!F$34*Données!V359+'Résultat (Ln)'!F$35*Données!W359+'Résultat (Ln)'!F$36*Données!X359+'Résultat (Ln)'!F$37*Données!Y359</f>
        <v>158432.12801584144</v>
      </c>
      <c r="AA359">
        <f t="shared" si="23"/>
        <v>-10432.128015841445</v>
      </c>
    </row>
    <row r="360" spans="1:27" x14ac:dyDescent="0.25">
      <c r="A360">
        <v>278000</v>
      </c>
      <c r="B360">
        <v>1</v>
      </c>
      <c r="C360">
        <v>39</v>
      </c>
      <c r="D360">
        <v>0</v>
      </c>
      <c r="E360">
        <v>370000</v>
      </c>
      <c r="F360">
        <v>9583</v>
      </c>
      <c r="G360">
        <v>1</v>
      </c>
      <c r="H360">
        <v>0</v>
      </c>
      <c r="I360">
        <v>0</v>
      </c>
      <c r="J360">
        <v>30</v>
      </c>
      <c r="K360">
        <v>1</v>
      </c>
      <c r="L360">
        <f>Résultats!G$32+Résultats!G$33*Données!C360+Résultats!G$34*Données!D360+Résultats!G$35*Données!E360+Résultats!G$36*Données!F360+Résultats!G$37*Données!G360+Résultats!G$38*Données!H360+Résultats!G$39*Données!I360</f>
        <v>239718.89499743292</v>
      </c>
      <c r="M360">
        <f t="shared" si="20"/>
        <v>38281.105002567085</v>
      </c>
      <c r="Q360">
        <v>126000</v>
      </c>
      <c r="R360">
        <v>1</v>
      </c>
      <c r="S360">
        <v>31.10000038146973</v>
      </c>
      <c r="T360">
        <v>0</v>
      </c>
      <c r="U360">
        <f t="shared" si="21"/>
        <v>11.842229212112828</v>
      </c>
      <c r="V360">
        <f t="shared" si="22"/>
        <v>8.2147358333823028</v>
      </c>
      <c r="W360">
        <v>0</v>
      </c>
      <c r="X360">
        <v>0</v>
      </c>
      <c r="Y360">
        <v>0</v>
      </c>
      <c r="Z360">
        <f>'Résultat (Ln)'!F$30+'Résultat (Ln)'!F$31*Données!S360+'Résultat (Ln)'!F$32*Données!T360+'Résultat (Ln)'!F$33*Données!U360+'Résultat (Ln)'!F$34*Données!V360+'Résultat (Ln)'!F$35*Données!W360+'Résultat (Ln)'!F$36*Données!X360+'Résultat (Ln)'!F$37*Données!Y360</f>
        <v>107998.69612101579</v>
      </c>
      <c r="AA360">
        <f t="shared" si="23"/>
        <v>18001.30387898421</v>
      </c>
    </row>
    <row r="361" spans="1:27" x14ac:dyDescent="0.25">
      <c r="A361">
        <v>95000</v>
      </c>
      <c r="B361">
        <v>1</v>
      </c>
      <c r="C361">
        <v>34.700000762939453</v>
      </c>
      <c r="D361">
        <v>0</v>
      </c>
      <c r="E361">
        <v>125000</v>
      </c>
      <c r="F361">
        <v>3250</v>
      </c>
      <c r="G361">
        <v>0</v>
      </c>
      <c r="H361">
        <v>0</v>
      </c>
      <c r="I361">
        <v>0</v>
      </c>
      <c r="J361">
        <v>30.719999313354489</v>
      </c>
      <c r="K361">
        <v>0</v>
      </c>
      <c r="L361">
        <f>Résultats!G$32+Résultats!G$33*Données!C361+Résultats!G$34*Données!D361+Résultats!G$35*Données!E361+Résultats!G$36*Données!F361+Résultats!G$37*Données!G361+Résultats!G$38*Données!H361+Résultats!G$39*Données!I361</f>
        <v>101087.43655042045</v>
      </c>
      <c r="M361">
        <f t="shared" si="20"/>
        <v>-6087.436550420447</v>
      </c>
      <c r="Q361">
        <v>278000</v>
      </c>
      <c r="R361">
        <v>1</v>
      </c>
      <c r="S361">
        <v>39</v>
      </c>
      <c r="T361">
        <v>0</v>
      </c>
      <c r="U361">
        <f t="shared" si="21"/>
        <v>12.821258284620408</v>
      </c>
      <c r="V361">
        <f t="shared" si="22"/>
        <v>9.167745974343763</v>
      </c>
      <c r="W361">
        <v>1</v>
      </c>
      <c r="X361">
        <v>0</v>
      </c>
      <c r="Y361">
        <v>0</v>
      </c>
      <c r="Z361">
        <f>'Résultat (Ln)'!F$30+'Résultat (Ln)'!F$31*Données!S361+'Résultat (Ln)'!F$32*Données!T361+'Résultat (Ln)'!F$33*Données!U361+'Résultat (Ln)'!F$34*Données!V361+'Résultat (Ln)'!F$35*Données!W361+'Résultat (Ln)'!F$36*Données!X361+'Résultat (Ln)'!F$37*Données!Y361</f>
        <v>253842.35114390444</v>
      </c>
      <c r="AA361">
        <f t="shared" si="23"/>
        <v>24157.648856095562</v>
      </c>
    </row>
    <row r="362" spans="1:27" x14ac:dyDescent="0.25">
      <c r="A362">
        <v>100000</v>
      </c>
      <c r="B362">
        <v>1</v>
      </c>
      <c r="C362">
        <v>26.60000038146973</v>
      </c>
      <c r="D362">
        <v>0</v>
      </c>
      <c r="E362">
        <v>243000</v>
      </c>
      <c r="F362">
        <v>3052</v>
      </c>
      <c r="G362">
        <v>1</v>
      </c>
      <c r="H362">
        <v>0</v>
      </c>
      <c r="I362">
        <v>0</v>
      </c>
      <c r="J362">
        <v>26.10000038146973</v>
      </c>
      <c r="K362">
        <v>1</v>
      </c>
      <c r="L362">
        <f>Résultats!G$32+Résultats!G$33*Données!C362+Résultats!G$34*Données!D362+Résultats!G$35*Données!E362+Résultats!G$36*Données!F362+Résultats!G$37*Données!G362+Résultats!G$38*Données!H362+Résultats!G$39*Données!I362</f>
        <v>153516.628327382</v>
      </c>
      <c r="M362">
        <f t="shared" si="20"/>
        <v>-53516.628327382001</v>
      </c>
      <c r="Q362">
        <v>95000</v>
      </c>
      <c r="R362">
        <v>1</v>
      </c>
      <c r="S362">
        <v>34.700000762939453</v>
      </c>
      <c r="T362">
        <v>0</v>
      </c>
      <c r="U362">
        <f t="shared" si="21"/>
        <v>11.736069016284437</v>
      </c>
      <c r="V362">
        <f t="shared" si="22"/>
        <v>8.0864102753237823</v>
      </c>
      <c r="W362">
        <v>0</v>
      </c>
      <c r="X362">
        <v>0</v>
      </c>
      <c r="Y362">
        <v>0</v>
      </c>
      <c r="Z362">
        <f>'Résultat (Ln)'!F$30+'Résultat (Ln)'!F$31*Données!S362+'Résultat (Ln)'!F$32*Données!T362+'Résultat (Ln)'!F$33*Données!U362+'Résultat (Ln)'!F$34*Données!V362+'Résultat (Ln)'!F$35*Données!W362+'Résultat (Ln)'!F$36*Données!X362+'Résultat (Ln)'!F$37*Données!Y362</f>
        <v>97419.149734776525</v>
      </c>
      <c r="AA362">
        <f t="shared" si="23"/>
        <v>-2419.1497347765253</v>
      </c>
    </row>
    <row r="363" spans="1:27" x14ac:dyDescent="0.25">
      <c r="A363">
        <v>65000</v>
      </c>
      <c r="B363">
        <v>1</v>
      </c>
      <c r="C363">
        <v>29</v>
      </c>
      <c r="D363">
        <v>0</v>
      </c>
      <c r="E363">
        <v>160000</v>
      </c>
      <c r="F363">
        <v>4463</v>
      </c>
      <c r="G363">
        <v>0</v>
      </c>
      <c r="H363">
        <v>0</v>
      </c>
      <c r="I363">
        <v>0</v>
      </c>
      <c r="J363">
        <v>16</v>
      </c>
      <c r="K363">
        <v>1</v>
      </c>
      <c r="L363">
        <f>Résultats!G$32+Résultats!G$33*Données!C363+Résultats!G$34*Données!D363+Résultats!G$35*Données!E363+Résultats!G$36*Données!F363+Résultats!G$37*Données!G363+Résultats!G$38*Données!H363+Résultats!G$39*Données!I363</f>
        <v>113233.91499128693</v>
      </c>
      <c r="M363">
        <f t="shared" si="20"/>
        <v>-48233.914991286932</v>
      </c>
      <c r="Q363">
        <v>100000</v>
      </c>
      <c r="R363">
        <v>1</v>
      </c>
      <c r="S363">
        <v>26.60000038146973</v>
      </c>
      <c r="T363">
        <v>0</v>
      </c>
      <c r="U363">
        <f t="shared" si="21"/>
        <v>12.400816722322686</v>
      </c>
      <c r="V363">
        <f t="shared" si="22"/>
        <v>8.0235523924043477</v>
      </c>
      <c r="W363">
        <v>1</v>
      </c>
      <c r="X363">
        <v>0</v>
      </c>
      <c r="Y363">
        <v>0</v>
      </c>
      <c r="Z363">
        <f>'Résultat (Ln)'!F$30+'Résultat (Ln)'!F$31*Données!S363+'Résultat (Ln)'!F$32*Données!T363+'Résultat (Ln)'!F$33*Données!U363+'Résultat (Ln)'!F$34*Données!V363+'Résultat (Ln)'!F$35*Données!W363+'Résultat (Ln)'!F$36*Données!X363+'Résultat (Ln)'!F$37*Données!Y363</f>
        <v>161529.75596802923</v>
      </c>
      <c r="AA363">
        <f t="shared" si="23"/>
        <v>-61529.755968029232</v>
      </c>
    </row>
    <row r="364" spans="1:27" x14ac:dyDescent="0.25">
      <c r="A364">
        <v>225000</v>
      </c>
      <c r="B364">
        <v>1</v>
      </c>
      <c r="C364">
        <v>21.20000076293945</v>
      </c>
      <c r="D364">
        <v>0</v>
      </c>
      <c r="E364">
        <v>255000</v>
      </c>
      <c r="F364">
        <v>11417</v>
      </c>
      <c r="G364">
        <v>1</v>
      </c>
      <c r="H364">
        <v>0</v>
      </c>
      <c r="I364">
        <v>1</v>
      </c>
      <c r="J364">
        <v>17.70000076293945</v>
      </c>
      <c r="K364">
        <v>1</v>
      </c>
      <c r="L364">
        <f>Résultats!G$32+Résultats!G$33*Données!C364+Résultats!G$34*Données!D364+Résultats!G$35*Données!E364+Résultats!G$36*Données!F364+Résultats!G$37*Données!G364+Résultats!G$38*Données!H364+Résultats!G$39*Données!I364</f>
        <v>179052.29611391691</v>
      </c>
      <c r="M364">
        <f t="shared" si="20"/>
        <v>45947.703886083094</v>
      </c>
      <c r="Q364">
        <v>65000</v>
      </c>
      <c r="R364">
        <v>1</v>
      </c>
      <c r="S364">
        <v>29</v>
      </c>
      <c r="T364">
        <v>0</v>
      </c>
      <c r="U364">
        <f t="shared" si="21"/>
        <v>11.982929094215963</v>
      </c>
      <c r="V364">
        <f t="shared" si="22"/>
        <v>8.4035764646292694</v>
      </c>
      <c r="W364">
        <v>0</v>
      </c>
      <c r="X364">
        <v>0</v>
      </c>
      <c r="Y364">
        <v>0</v>
      </c>
      <c r="Z364">
        <f>'Résultat (Ln)'!F$30+'Résultat (Ln)'!F$31*Données!S364+'Résultat (Ln)'!F$32*Données!T364+'Résultat (Ln)'!F$33*Données!U364+'Résultat (Ln)'!F$34*Données!V364+'Résultat (Ln)'!F$35*Données!W364+'Résultat (Ln)'!F$36*Données!X364+'Résultat (Ln)'!F$37*Données!Y364</f>
        <v>125810.99840350513</v>
      </c>
      <c r="AA364">
        <f t="shared" si="23"/>
        <v>-60810.998403505131</v>
      </c>
    </row>
    <row r="365" spans="1:27" x14ac:dyDescent="0.25">
      <c r="A365">
        <v>120000</v>
      </c>
      <c r="B365">
        <v>1</v>
      </c>
      <c r="C365">
        <v>36</v>
      </c>
      <c r="D365">
        <v>0</v>
      </c>
      <c r="E365">
        <v>149000</v>
      </c>
      <c r="F365">
        <v>7333</v>
      </c>
      <c r="G365">
        <v>0</v>
      </c>
      <c r="H365">
        <v>0</v>
      </c>
      <c r="I365">
        <v>1</v>
      </c>
      <c r="J365">
        <v>16</v>
      </c>
      <c r="K365">
        <v>1</v>
      </c>
      <c r="L365">
        <f>Résultats!G$32+Résultats!G$33*Données!C365+Résultats!G$34*Données!D365+Résultats!G$35*Données!E365+Résultats!G$36*Données!F365+Résultats!G$37*Données!G365+Résultats!G$38*Données!H365+Résultats!G$39*Données!I365</f>
        <v>131625.02828640025</v>
      </c>
      <c r="M365">
        <f t="shared" si="20"/>
        <v>-11625.028286400251</v>
      </c>
      <c r="Q365">
        <v>225000</v>
      </c>
      <c r="R365">
        <v>1</v>
      </c>
      <c r="S365">
        <v>21.20000076293945</v>
      </c>
      <c r="T365">
        <v>0</v>
      </c>
      <c r="U365">
        <f t="shared" si="21"/>
        <v>12.449018824140563</v>
      </c>
      <c r="V365">
        <f t="shared" si="22"/>
        <v>9.342858751676328</v>
      </c>
      <c r="W365">
        <v>1</v>
      </c>
      <c r="X365">
        <v>0</v>
      </c>
      <c r="Y365">
        <v>1</v>
      </c>
      <c r="Z365">
        <f>'Résultat (Ln)'!F$30+'Résultat (Ln)'!F$31*Données!S365+'Résultat (Ln)'!F$32*Données!T365+'Résultat (Ln)'!F$33*Données!U365+'Résultat (Ln)'!F$34*Données!V365+'Résultat (Ln)'!F$35*Données!W365+'Résultat (Ln)'!F$36*Données!X365+'Résultat (Ln)'!F$37*Données!Y365</f>
        <v>211185.71062560994</v>
      </c>
      <c r="AA365">
        <f t="shared" si="23"/>
        <v>13814.289374390064</v>
      </c>
    </row>
    <row r="366" spans="1:27" x14ac:dyDescent="0.25">
      <c r="A366">
        <v>123000</v>
      </c>
      <c r="B366">
        <v>1</v>
      </c>
      <c r="C366">
        <v>34</v>
      </c>
      <c r="D366">
        <v>0</v>
      </c>
      <c r="E366">
        <v>140000</v>
      </c>
      <c r="F366">
        <v>3077</v>
      </c>
      <c r="G366">
        <v>1</v>
      </c>
      <c r="H366">
        <v>0</v>
      </c>
      <c r="I366">
        <v>0</v>
      </c>
      <c r="J366">
        <v>27</v>
      </c>
      <c r="K366">
        <v>1</v>
      </c>
      <c r="L366">
        <f>Résultats!G$32+Résultats!G$33*Données!C366+Résultats!G$34*Données!D366+Résultats!G$35*Données!E366+Résultats!G$36*Données!F366+Résultats!G$37*Données!G366+Résultats!G$38*Données!H366+Résultats!G$39*Données!I366</f>
        <v>113969.04670553427</v>
      </c>
      <c r="M366">
        <f t="shared" si="20"/>
        <v>9030.9532944657258</v>
      </c>
      <c r="Q366">
        <v>120000</v>
      </c>
      <c r="R366">
        <v>1</v>
      </c>
      <c r="S366">
        <v>36</v>
      </c>
      <c r="T366">
        <v>0</v>
      </c>
      <c r="U366">
        <f t="shared" si="21"/>
        <v>11.911701584927597</v>
      </c>
      <c r="V366">
        <f t="shared" si="22"/>
        <v>8.9001399880937999</v>
      </c>
      <c r="W366">
        <v>0</v>
      </c>
      <c r="X366">
        <v>0</v>
      </c>
      <c r="Y366">
        <v>1</v>
      </c>
      <c r="Z366">
        <f>'Résultat (Ln)'!F$30+'Résultat (Ln)'!F$31*Données!S366+'Résultat (Ln)'!F$32*Données!T366+'Résultat (Ln)'!F$33*Données!U366+'Résultat (Ln)'!F$34*Données!V366+'Résultat (Ln)'!F$35*Données!W366+'Résultat (Ln)'!F$36*Données!X366+'Résultat (Ln)'!F$37*Données!Y366</f>
        <v>154743.46064181664</v>
      </c>
      <c r="AA366">
        <f t="shared" si="23"/>
        <v>-34743.460641816637</v>
      </c>
    </row>
    <row r="367" spans="1:27" x14ac:dyDescent="0.25">
      <c r="A367">
        <v>170000</v>
      </c>
      <c r="B367">
        <v>1</v>
      </c>
      <c r="C367">
        <v>29</v>
      </c>
      <c r="D367">
        <v>0</v>
      </c>
      <c r="E367">
        <v>455000</v>
      </c>
      <c r="F367">
        <v>5865</v>
      </c>
      <c r="G367">
        <v>1</v>
      </c>
      <c r="H367">
        <v>0</v>
      </c>
      <c r="I367">
        <v>0</v>
      </c>
      <c r="J367">
        <v>28</v>
      </c>
      <c r="K367">
        <v>1</v>
      </c>
      <c r="L367">
        <f>Résultats!G$32+Résultats!G$33*Données!C367+Résultats!G$34*Données!D367+Résultats!G$35*Données!E367+Résultats!G$36*Données!F367+Résultats!G$37*Données!G367+Résultats!G$38*Données!H367+Résultats!G$39*Données!I367</f>
        <v>260718.52561754815</v>
      </c>
      <c r="M367">
        <f t="shared" si="20"/>
        <v>-90718.525617548148</v>
      </c>
      <c r="Q367">
        <v>123000</v>
      </c>
      <c r="R367">
        <v>1</v>
      </c>
      <c r="S367">
        <v>34</v>
      </c>
      <c r="T367">
        <v>0</v>
      </c>
      <c r="U367">
        <f t="shared" si="21"/>
        <v>11.849397701591441</v>
      </c>
      <c r="V367">
        <f t="shared" si="22"/>
        <v>8.0317103753220422</v>
      </c>
      <c r="W367">
        <v>1</v>
      </c>
      <c r="X367">
        <v>0</v>
      </c>
      <c r="Y367">
        <v>0</v>
      </c>
      <c r="Z367">
        <f>'Résultat (Ln)'!F$30+'Résultat (Ln)'!F$31*Données!S367+'Résultat (Ln)'!F$32*Données!T367+'Résultat (Ln)'!F$33*Données!U367+'Résultat (Ln)'!F$34*Données!V367+'Résultat (Ln)'!F$35*Données!W367+'Résultat (Ln)'!F$36*Données!X367+'Résultat (Ln)'!F$37*Données!Y367</f>
        <v>111691.98153074375</v>
      </c>
      <c r="AA367">
        <f t="shared" si="23"/>
        <v>11308.018469256247</v>
      </c>
    </row>
    <row r="368" spans="1:27" x14ac:dyDescent="0.25">
      <c r="A368">
        <v>135000</v>
      </c>
      <c r="B368">
        <v>1</v>
      </c>
      <c r="C368">
        <v>32.799999237060547</v>
      </c>
      <c r="D368">
        <v>0</v>
      </c>
      <c r="E368">
        <v>150000</v>
      </c>
      <c r="F368">
        <v>831</v>
      </c>
      <c r="G368">
        <v>1</v>
      </c>
      <c r="H368">
        <v>1</v>
      </c>
      <c r="I368">
        <v>1</v>
      </c>
      <c r="J368">
        <v>29.60000038146973</v>
      </c>
      <c r="K368">
        <v>1</v>
      </c>
      <c r="L368">
        <f>Résultats!G$32+Résultats!G$33*Données!C368+Résultats!G$34*Données!D368+Résultats!G$35*Données!E368+Résultats!G$36*Données!F368+Résultats!G$37*Données!G368+Résultats!G$38*Données!H368+Résultats!G$39*Données!I368</f>
        <v>121208.08401525713</v>
      </c>
      <c r="M368">
        <f t="shared" si="20"/>
        <v>13791.915984742867</v>
      </c>
      <c r="Q368">
        <v>170000</v>
      </c>
      <c r="R368">
        <v>1</v>
      </c>
      <c r="S368">
        <v>29</v>
      </c>
      <c r="T368">
        <v>0</v>
      </c>
      <c r="U368">
        <f t="shared" si="21"/>
        <v>13.028052697933088</v>
      </c>
      <c r="V368">
        <f t="shared" si="22"/>
        <v>8.6767577610875755</v>
      </c>
      <c r="W368">
        <v>1</v>
      </c>
      <c r="X368">
        <v>0</v>
      </c>
      <c r="Y368">
        <v>0</v>
      </c>
      <c r="Z368">
        <f>'Résultat (Ln)'!F$30+'Résultat (Ln)'!F$31*Données!S368+'Résultat (Ln)'!F$32*Données!T368+'Résultat (Ln)'!F$33*Données!U368+'Résultat (Ln)'!F$34*Données!V368+'Résultat (Ln)'!F$35*Données!W368+'Résultat (Ln)'!F$36*Données!X368+'Résultat (Ln)'!F$37*Données!Y368</f>
        <v>250019.23197322266</v>
      </c>
      <c r="AA368">
        <f t="shared" si="23"/>
        <v>-80019.231973222661</v>
      </c>
    </row>
    <row r="369" spans="1:27" x14ac:dyDescent="0.25">
      <c r="A369">
        <v>400000</v>
      </c>
      <c r="B369">
        <v>1</v>
      </c>
      <c r="C369">
        <v>20.89999961853027</v>
      </c>
      <c r="D369">
        <v>0</v>
      </c>
      <c r="E369">
        <v>549000</v>
      </c>
      <c r="F369">
        <v>28541</v>
      </c>
      <c r="G369">
        <v>1</v>
      </c>
      <c r="H369">
        <v>0</v>
      </c>
      <c r="I369">
        <v>0</v>
      </c>
      <c r="J369">
        <v>13.30000019073486</v>
      </c>
      <c r="K369">
        <v>1</v>
      </c>
      <c r="L369">
        <f>Résultats!G$32+Résultats!G$33*Données!C369+Résultats!G$34*Données!D369+Résultats!G$35*Données!E369+Résultats!G$36*Données!F369+Résultats!G$37*Données!G369+Résultats!G$38*Données!H369+Résultats!G$39*Données!I369</f>
        <v>339249.1686696168</v>
      </c>
      <c r="M369">
        <f t="shared" si="20"/>
        <v>60750.831330383196</v>
      </c>
      <c r="Q369">
        <v>135000</v>
      </c>
      <c r="R369">
        <v>1</v>
      </c>
      <c r="S369">
        <v>32.799999237060547</v>
      </c>
      <c r="T369">
        <v>0</v>
      </c>
      <c r="U369">
        <f t="shared" si="21"/>
        <v>11.918390573078392</v>
      </c>
      <c r="V369">
        <f t="shared" si="22"/>
        <v>6.7226297948554485</v>
      </c>
      <c r="W369">
        <v>1</v>
      </c>
      <c r="X369">
        <v>1</v>
      </c>
      <c r="Y369">
        <v>1</v>
      </c>
      <c r="Z369">
        <f>'Résultat (Ln)'!F$30+'Résultat (Ln)'!F$31*Données!S369+'Résultat (Ln)'!F$32*Données!T369+'Résultat (Ln)'!F$33*Données!U369+'Résultat (Ln)'!F$34*Données!V369+'Résultat (Ln)'!F$35*Données!W369+'Résultat (Ln)'!F$36*Données!X369+'Résultat (Ln)'!F$37*Données!Y369</f>
        <v>94816.450392173836</v>
      </c>
      <c r="AA369">
        <f t="shared" si="23"/>
        <v>40183.549607826164</v>
      </c>
    </row>
    <row r="370" spans="1:27" x14ac:dyDescent="0.25">
      <c r="A370">
        <v>139000</v>
      </c>
      <c r="B370">
        <v>1</v>
      </c>
      <c r="C370">
        <v>20</v>
      </c>
      <c r="D370">
        <v>0</v>
      </c>
      <c r="E370">
        <v>148000</v>
      </c>
      <c r="F370">
        <v>4083</v>
      </c>
      <c r="G370">
        <v>1</v>
      </c>
      <c r="H370">
        <v>0</v>
      </c>
      <c r="I370">
        <v>1</v>
      </c>
      <c r="J370">
        <v>12</v>
      </c>
      <c r="K370">
        <v>1</v>
      </c>
      <c r="L370">
        <f>Résultats!G$32+Résultats!G$33*Données!C370+Résultats!G$34*Données!D370+Résultats!G$35*Données!E370+Résultats!G$36*Données!F370+Résultats!G$37*Données!G370+Résultats!G$38*Données!H370+Résultats!G$39*Données!I370</f>
        <v>113498.15849418615</v>
      </c>
      <c r="M370">
        <f t="shared" si="20"/>
        <v>25501.841505813849</v>
      </c>
      <c r="Q370">
        <v>400000</v>
      </c>
      <c r="R370">
        <v>1</v>
      </c>
      <c r="S370">
        <v>20.89999961853027</v>
      </c>
      <c r="T370">
        <v>0</v>
      </c>
      <c r="U370">
        <f t="shared" si="21"/>
        <v>13.215853720491667</v>
      </c>
      <c r="V370">
        <f t="shared" si="22"/>
        <v>10.259096928959389</v>
      </c>
      <c r="W370">
        <v>1</v>
      </c>
      <c r="X370">
        <v>0</v>
      </c>
      <c r="Y370">
        <v>0</v>
      </c>
      <c r="Z370">
        <f>'Résultat (Ln)'!F$30+'Résultat (Ln)'!F$31*Données!S370+'Résultat (Ln)'!F$32*Données!T370+'Résultat (Ln)'!F$33*Données!U370+'Résultat (Ln)'!F$34*Données!V370+'Résultat (Ln)'!F$35*Données!W370+'Résultat (Ln)'!F$36*Données!X370+'Résultat (Ln)'!F$37*Données!Y370</f>
        <v>304630.093207817</v>
      </c>
      <c r="AA370">
        <f t="shared" si="23"/>
        <v>95369.906792182999</v>
      </c>
    </row>
    <row r="371" spans="1:27" x14ac:dyDescent="0.25">
      <c r="A371">
        <v>87000</v>
      </c>
      <c r="B371">
        <v>1</v>
      </c>
      <c r="C371">
        <v>37</v>
      </c>
      <c r="D371">
        <v>0</v>
      </c>
      <c r="E371">
        <v>123000</v>
      </c>
      <c r="F371">
        <v>3249</v>
      </c>
      <c r="G371">
        <v>0</v>
      </c>
      <c r="H371">
        <v>0</v>
      </c>
      <c r="I371">
        <v>0</v>
      </c>
      <c r="J371">
        <v>28</v>
      </c>
      <c r="K371">
        <v>0</v>
      </c>
      <c r="L371">
        <f>Résultats!G$32+Résultats!G$33*Données!C371+Résultats!G$34*Données!D371+Résultats!G$35*Données!E371+Résultats!G$36*Données!F371+Résultats!G$37*Données!G371+Résultats!G$38*Données!H371+Résultats!G$39*Données!I371</f>
        <v>102793.5332213143</v>
      </c>
      <c r="M371">
        <f t="shared" si="20"/>
        <v>-15793.533221314297</v>
      </c>
      <c r="Q371">
        <v>139000</v>
      </c>
      <c r="R371">
        <v>1</v>
      </c>
      <c r="S371">
        <v>20</v>
      </c>
      <c r="T371">
        <v>0</v>
      </c>
      <c r="U371">
        <f t="shared" si="21"/>
        <v>11.904967552746252</v>
      </c>
      <c r="V371">
        <f t="shared" si="22"/>
        <v>8.314587291319576</v>
      </c>
      <c r="W371">
        <v>1</v>
      </c>
      <c r="X371">
        <v>0</v>
      </c>
      <c r="Y371">
        <v>1</v>
      </c>
      <c r="Z371">
        <f>'Résultat (Ln)'!F$30+'Résultat (Ln)'!F$31*Données!S371+'Résultat (Ln)'!F$32*Données!T371+'Résultat (Ln)'!F$33*Données!U371+'Résultat (Ln)'!F$34*Données!V371+'Résultat (Ln)'!F$35*Données!W371+'Résultat (Ln)'!F$36*Données!X371+'Résultat (Ln)'!F$37*Données!Y371</f>
        <v>122560.68794421783</v>
      </c>
      <c r="AA371">
        <f t="shared" si="23"/>
        <v>16439.312055782168</v>
      </c>
    </row>
    <row r="372" spans="1:27" x14ac:dyDescent="0.25">
      <c r="A372">
        <v>210000</v>
      </c>
      <c r="B372">
        <v>1</v>
      </c>
      <c r="C372">
        <v>31.60000038146973</v>
      </c>
      <c r="D372">
        <v>0</v>
      </c>
      <c r="E372">
        <v>262000</v>
      </c>
      <c r="F372">
        <v>7190</v>
      </c>
      <c r="G372">
        <v>1</v>
      </c>
      <c r="H372">
        <v>0</v>
      </c>
      <c r="I372">
        <v>1</v>
      </c>
      <c r="J372">
        <v>28.39999961853027</v>
      </c>
      <c r="K372">
        <v>1</v>
      </c>
      <c r="L372">
        <f>Résultats!G$32+Résultats!G$33*Données!C372+Résultats!G$34*Données!D372+Résultats!G$35*Données!E372+Résultats!G$36*Données!F372+Résultats!G$37*Données!G372+Résultats!G$38*Données!H372+Résultats!G$39*Données!I372</f>
        <v>186076.11330421685</v>
      </c>
      <c r="M372">
        <f t="shared" si="20"/>
        <v>23923.886695783149</v>
      </c>
      <c r="Q372">
        <v>87000</v>
      </c>
      <c r="R372">
        <v>1</v>
      </c>
      <c r="S372">
        <v>37</v>
      </c>
      <c r="T372">
        <v>0</v>
      </c>
      <c r="U372">
        <f t="shared" si="21"/>
        <v>11.719939634354555</v>
      </c>
      <c r="V372">
        <f t="shared" si="22"/>
        <v>8.0861025356691005</v>
      </c>
      <c r="W372">
        <v>0</v>
      </c>
      <c r="X372">
        <v>0</v>
      </c>
      <c r="Y372">
        <v>0</v>
      </c>
      <c r="Z372">
        <f>'Résultat (Ln)'!F$30+'Résultat (Ln)'!F$31*Données!S372+'Résultat (Ln)'!F$32*Données!T372+'Résultat (Ln)'!F$33*Données!U372+'Résultat (Ln)'!F$34*Données!V372+'Résultat (Ln)'!F$35*Données!W372+'Résultat (Ln)'!F$36*Données!X372+'Résultat (Ln)'!F$37*Données!Y372</f>
        <v>98492.213998175255</v>
      </c>
      <c r="AA372">
        <f t="shared" si="23"/>
        <v>-11492.213998175255</v>
      </c>
    </row>
    <row r="373" spans="1:27" x14ac:dyDescent="0.25">
      <c r="A373">
        <v>113000</v>
      </c>
      <c r="B373">
        <v>1</v>
      </c>
      <c r="C373">
        <v>35.799999237060547</v>
      </c>
      <c r="D373">
        <v>0</v>
      </c>
      <c r="E373">
        <v>125000</v>
      </c>
      <c r="F373">
        <v>2416</v>
      </c>
      <c r="G373">
        <v>0</v>
      </c>
      <c r="H373">
        <v>0</v>
      </c>
      <c r="I373">
        <v>0</v>
      </c>
      <c r="J373">
        <v>23.79999923706055</v>
      </c>
      <c r="K373">
        <v>1</v>
      </c>
      <c r="L373">
        <f>Résultats!G$32+Résultats!G$33*Données!C373+Résultats!G$34*Données!D373+Résultats!G$35*Données!E373+Résultats!G$36*Données!F373+Résultats!G$37*Données!G373+Résultats!G$38*Données!H373+Résultats!G$39*Données!I373</f>
        <v>100734.85755167771</v>
      </c>
      <c r="M373">
        <f t="shared" si="20"/>
        <v>12265.142448322295</v>
      </c>
      <c r="Q373">
        <v>210000</v>
      </c>
      <c r="R373">
        <v>1</v>
      </c>
      <c r="S373">
        <v>31.60000038146973</v>
      </c>
      <c r="T373">
        <v>0</v>
      </c>
      <c r="U373">
        <f t="shared" si="21"/>
        <v>12.476099782743233</v>
      </c>
      <c r="V373">
        <f t="shared" si="22"/>
        <v>8.8804464507150929</v>
      </c>
      <c r="W373">
        <v>1</v>
      </c>
      <c r="X373">
        <v>0</v>
      </c>
      <c r="Y373">
        <v>1</v>
      </c>
      <c r="Z373">
        <f>'Résultat (Ln)'!F$30+'Résultat (Ln)'!F$31*Données!S373+'Résultat (Ln)'!F$32*Données!T373+'Résultat (Ln)'!F$33*Données!U373+'Résultat (Ln)'!F$34*Données!V373+'Résultat (Ln)'!F$35*Données!W373+'Résultat (Ln)'!F$36*Données!X373+'Résultat (Ln)'!F$37*Données!Y373</f>
        <v>213829.17531875934</v>
      </c>
      <c r="AA373">
        <f t="shared" si="23"/>
        <v>-3829.1753187593422</v>
      </c>
    </row>
    <row r="374" spans="1:27" x14ac:dyDescent="0.25">
      <c r="A374">
        <v>216000</v>
      </c>
      <c r="B374">
        <v>1</v>
      </c>
      <c r="C374">
        <v>41</v>
      </c>
      <c r="D374">
        <v>0</v>
      </c>
      <c r="E374">
        <v>300000</v>
      </c>
      <c r="F374">
        <v>3800</v>
      </c>
      <c r="G374">
        <v>1</v>
      </c>
      <c r="H374">
        <v>0</v>
      </c>
      <c r="I374">
        <v>1</v>
      </c>
      <c r="J374">
        <v>30</v>
      </c>
      <c r="K374">
        <v>1</v>
      </c>
      <c r="L374">
        <f>Résultats!G$32+Résultats!G$33*Données!C374+Résultats!G$34*Données!D374+Résultats!G$35*Données!E374+Résultats!G$36*Données!F374+Résultats!G$37*Données!G374+Résultats!G$38*Données!H374+Résultats!G$39*Données!I374</f>
        <v>208048.73946938789</v>
      </c>
      <c r="M374">
        <f t="shared" si="20"/>
        <v>7951.2605306121113</v>
      </c>
      <c r="Q374">
        <v>113000</v>
      </c>
      <c r="R374">
        <v>1</v>
      </c>
      <c r="S374">
        <v>35.799999237060547</v>
      </c>
      <c r="T374">
        <v>0</v>
      </c>
      <c r="U374">
        <f t="shared" si="21"/>
        <v>11.736069016284437</v>
      </c>
      <c r="V374">
        <f t="shared" si="22"/>
        <v>7.7898685590547059</v>
      </c>
      <c r="W374">
        <v>0</v>
      </c>
      <c r="X374">
        <v>0</v>
      </c>
      <c r="Y374">
        <v>0</v>
      </c>
      <c r="Z374">
        <f>'Résultat (Ln)'!F$30+'Résultat (Ln)'!F$31*Données!S374+'Résultat (Ln)'!F$32*Données!T374+'Résultat (Ln)'!F$33*Données!U374+'Résultat (Ln)'!F$34*Données!V374+'Résultat (Ln)'!F$35*Données!W374+'Résultat (Ln)'!F$36*Données!X374+'Résultat (Ln)'!F$37*Données!Y374</f>
        <v>90446.645380995644</v>
      </c>
      <c r="AA374">
        <f t="shared" si="23"/>
        <v>22553.354619004356</v>
      </c>
    </row>
    <row r="375" spans="1:27" x14ac:dyDescent="0.25">
      <c r="A375">
        <v>232000</v>
      </c>
      <c r="B375">
        <v>1</v>
      </c>
      <c r="C375">
        <v>44</v>
      </c>
      <c r="D375">
        <v>0</v>
      </c>
      <c r="E375">
        <v>282500</v>
      </c>
      <c r="F375">
        <v>3900</v>
      </c>
      <c r="G375">
        <v>1</v>
      </c>
      <c r="H375">
        <v>0</v>
      </c>
      <c r="I375">
        <v>1</v>
      </c>
      <c r="J375">
        <v>37</v>
      </c>
      <c r="K375">
        <v>1</v>
      </c>
      <c r="L375">
        <f>Résultats!G$32+Résultats!G$33*Données!C375+Résultats!G$34*Données!D375+Résultats!G$35*Données!E375+Résultats!G$36*Données!F375+Résultats!G$37*Données!G375+Résultats!G$38*Données!H375+Résultats!G$39*Données!I375</f>
        <v>203516.84714154582</v>
      </c>
      <c r="M375">
        <f t="shared" si="20"/>
        <v>28483.152858454181</v>
      </c>
      <c r="Q375">
        <v>216000</v>
      </c>
      <c r="R375">
        <v>1</v>
      </c>
      <c r="S375">
        <v>41</v>
      </c>
      <c r="T375">
        <v>0</v>
      </c>
      <c r="U375">
        <f t="shared" si="21"/>
        <v>12.611537753638338</v>
      </c>
      <c r="V375">
        <f t="shared" si="22"/>
        <v>8.2427563457144775</v>
      </c>
      <c r="W375">
        <v>1</v>
      </c>
      <c r="X375">
        <v>0</v>
      </c>
      <c r="Y375">
        <v>1</v>
      </c>
      <c r="Z375">
        <f>'Résultat (Ln)'!F$30+'Résultat (Ln)'!F$31*Données!S375+'Résultat (Ln)'!F$32*Données!T375+'Résultat (Ln)'!F$33*Données!U375+'Résultat (Ln)'!F$34*Données!V375+'Résultat (Ln)'!F$35*Données!W375+'Résultat (Ln)'!F$36*Données!X375+'Résultat (Ln)'!F$37*Données!Y375</f>
        <v>221950.18535824885</v>
      </c>
      <c r="AA375">
        <f t="shared" si="23"/>
        <v>-5950.1853582488548</v>
      </c>
    </row>
    <row r="376" spans="1:27" x14ac:dyDescent="0.25">
      <c r="A376">
        <v>60000</v>
      </c>
      <c r="B376">
        <v>1</v>
      </c>
      <c r="C376">
        <v>32</v>
      </c>
      <c r="D376">
        <v>0</v>
      </c>
      <c r="E376">
        <v>216000</v>
      </c>
      <c r="F376">
        <v>2688</v>
      </c>
      <c r="G376">
        <v>1</v>
      </c>
      <c r="H376">
        <v>0</v>
      </c>
      <c r="I376">
        <v>1</v>
      </c>
      <c r="J376">
        <v>31</v>
      </c>
      <c r="K376">
        <v>0</v>
      </c>
      <c r="L376">
        <f>Résultats!G$32+Résultats!G$33*Données!C376+Résultats!G$34*Données!D376+Résultats!G$35*Données!E376+Résultats!G$36*Données!F376+Résultats!G$37*Données!G376+Résultats!G$38*Données!H376+Résultats!G$39*Données!I376</f>
        <v>156331.81193810774</v>
      </c>
      <c r="M376">
        <f t="shared" si="20"/>
        <v>-96331.811938107741</v>
      </c>
      <c r="Q376">
        <v>232000</v>
      </c>
      <c r="R376">
        <v>1</v>
      </c>
      <c r="S376">
        <v>44</v>
      </c>
      <c r="T376">
        <v>0</v>
      </c>
      <c r="U376">
        <f t="shared" si="21"/>
        <v>12.551433829568632</v>
      </c>
      <c r="V376">
        <f t="shared" si="22"/>
        <v>8.2687318321177372</v>
      </c>
      <c r="W376">
        <v>1</v>
      </c>
      <c r="X376">
        <v>0</v>
      </c>
      <c r="Y376">
        <v>1</v>
      </c>
      <c r="Z376">
        <f>'Résultat (Ln)'!F$30+'Résultat (Ln)'!F$31*Données!S376+'Résultat (Ln)'!F$32*Données!T376+'Résultat (Ln)'!F$33*Données!U376+'Résultat (Ln)'!F$34*Données!V376+'Résultat (Ln)'!F$35*Données!W376+'Résultat (Ln)'!F$36*Données!X376+'Résultat (Ln)'!F$37*Données!Y376</f>
        <v>219901.93719559538</v>
      </c>
      <c r="AA376">
        <f t="shared" si="23"/>
        <v>12098.062804404617</v>
      </c>
    </row>
    <row r="377" spans="1:27" x14ac:dyDescent="0.25">
      <c r="A377">
        <v>130000</v>
      </c>
      <c r="B377">
        <v>1</v>
      </c>
      <c r="C377">
        <v>37</v>
      </c>
      <c r="D377">
        <v>0</v>
      </c>
      <c r="E377">
        <v>200000</v>
      </c>
      <c r="F377">
        <v>3773</v>
      </c>
      <c r="G377">
        <v>1</v>
      </c>
      <c r="H377">
        <v>0</v>
      </c>
      <c r="I377">
        <v>0</v>
      </c>
      <c r="J377">
        <v>28</v>
      </c>
      <c r="K377">
        <v>1</v>
      </c>
      <c r="L377">
        <f>Résultats!G$32+Résultats!G$33*Données!C377+Résultats!G$34*Données!D377+Résultats!G$35*Données!E377+Résultats!G$36*Données!F377+Résultats!G$37*Données!G377+Résultats!G$38*Données!H377+Résultats!G$39*Données!I377</f>
        <v>146780.95396981071</v>
      </c>
      <c r="M377">
        <f t="shared" si="20"/>
        <v>-16780.953969810711</v>
      </c>
      <c r="Q377">
        <v>60000</v>
      </c>
      <c r="R377">
        <v>1</v>
      </c>
      <c r="S377">
        <v>32</v>
      </c>
      <c r="T377">
        <v>0</v>
      </c>
      <c r="U377">
        <f t="shared" si="21"/>
        <v>12.283033686666302</v>
      </c>
      <c r="V377">
        <f t="shared" si="22"/>
        <v>7.8965527016430404</v>
      </c>
      <c r="W377">
        <v>1</v>
      </c>
      <c r="X377">
        <v>0</v>
      </c>
      <c r="Y377">
        <v>1</v>
      </c>
      <c r="Z377">
        <f>'Résultat (Ln)'!F$30+'Résultat (Ln)'!F$31*Données!S377+'Résultat (Ln)'!F$32*Données!T377+'Résultat (Ln)'!F$33*Données!U377+'Résultat (Ln)'!F$34*Données!V377+'Résultat (Ln)'!F$35*Données!W377+'Résultat (Ln)'!F$36*Données!X377+'Résultat (Ln)'!F$37*Données!Y377</f>
        <v>166028.08141607305</v>
      </c>
      <c r="AA377">
        <f t="shared" si="23"/>
        <v>-106028.08141607305</v>
      </c>
    </row>
    <row r="378" spans="1:27" x14ac:dyDescent="0.25">
      <c r="A378">
        <v>230000</v>
      </c>
      <c r="B378">
        <v>1</v>
      </c>
      <c r="C378">
        <v>32</v>
      </c>
      <c r="D378">
        <v>0</v>
      </c>
      <c r="E378">
        <v>337500</v>
      </c>
      <c r="F378">
        <v>8209</v>
      </c>
      <c r="G378">
        <v>1</v>
      </c>
      <c r="H378">
        <v>0</v>
      </c>
      <c r="I378">
        <v>0</v>
      </c>
      <c r="J378">
        <v>25.89999961853027</v>
      </c>
      <c r="K378">
        <v>1</v>
      </c>
      <c r="L378">
        <f>Résultats!G$32+Résultats!G$33*Données!C378+Résultats!G$34*Données!D378+Résultats!G$35*Données!E378+Résultats!G$36*Données!F378+Résultats!G$37*Données!G378+Résultats!G$38*Données!H378+Résultats!G$39*Données!I378</f>
        <v>213839.70127120015</v>
      </c>
      <c r="M378">
        <f t="shared" si="20"/>
        <v>16160.298728799855</v>
      </c>
      <c r="Q378">
        <v>130000</v>
      </c>
      <c r="R378">
        <v>1</v>
      </c>
      <c r="S378">
        <v>37</v>
      </c>
      <c r="T378">
        <v>0</v>
      </c>
      <c r="U378">
        <f t="shared" si="21"/>
        <v>12.206072645530174</v>
      </c>
      <c r="V378">
        <f t="shared" si="22"/>
        <v>8.235625719964311</v>
      </c>
      <c r="W378">
        <v>1</v>
      </c>
      <c r="X378">
        <v>0</v>
      </c>
      <c r="Y378">
        <v>0</v>
      </c>
      <c r="Z378">
        <f>'Résultat (Ln)'!F$30+'Résultat (Ln)'!F$31*Données!S378+'Résultat (Ln)'!F$32*Données!T378+'Résultat (Ln)'!F$33*Données!U378+'Résultat (Ln)'!F$34*Données!V378+'Résultat (Ln)'!F$35*Données!W378+'Résultat (Ln)'!F$36*Données!X378+'Résultat (Ln)'!F$37*Données!Y378</f>
        <v>159311.04459267497</v>
      </c>
      <c r="AA378">
        <f t="shared" si="23"/>
        <v>-29311.044592674967</v>
      </c>
    </row>
    <row r="379" spans="1:27" x14ac:dyDescent="0.25">
      <c r="A379">
        <v>94000</v>
      </c>
      <c r="B379">
        <v>1</v>
      </c>
      <c r="C379">
        <v>44</v>
      </c>
      <c r="D379">
        <v>1</v>
      </c>
      <c r="E379">
        <v>117000</v>
      </c>
      <c r="F379">
        <v>2071</v>
      </c>
      <c r="G379">
        <v>1</v>
      </c>
      <c r="H379">
        <v>1</v>
      </c>
      <c r="I379">
        <v>1</v>
      </c>
      <c r="J379">
        <v>36</v>
      </c>
      <c r="K379">
        <v>1</v>
      </c>
      <c r="L379">
        <f>Résultats!G$32+Résultats!G$33*Données!C379+Résultats!G$34*Données!D379+Résultats!G$35*Données!E379+Résultats!G$36*Données!F379+Résultats!G$37*Données!G379+Résultats!G$38*Données!H379+Résultats!G$39*Données!I379</f>
        <v>125914.84032037298</v>
      </c>
      <c r="M379">
        <f t="shared" si="20"/>
        <v>-31914.840320372983</v>
      </c>
      <c r="Q379">
        <v>230000</v>
      </c>
      <c r="R379">
        <v>1</v>
      </c>
      <c r="S379">
        <v>32</v>
      </c>
      <c r="T379">
        <v>0</v>
      </c>
      <c r="U379">
        <f t="shared" si="21"/>
        <v>12.729320789294722</v>
      </c>
      <c r="V379">
        <f t="shared" si="22"/>
        <v>9.0129863923482656</v>
      </c>
      <c r="W379">
        <v>1</v>
      </c>
      <c r="X379">
        <v>0</v>
      </c>
      <c r="Y379">
        <v>0</v>
      </c>
      <c r="Z379">
        <f>'Résultat (Ln)'!F$30+'Résultat (Ln)'!F$31*Données!S379+'Résultat (Ln)'!F$32*Données!T379+'Résultat (Ln)'!F$33*Données!U379+'Résultat (Ln)'!F$34*Données!V379+'Résultat (Ln)'!F$35*Données!W379+'Résultat (Ln)'!F$36*Données!X379+'Résultat (Ln)'!F$37*Données!Y379</f>
        <v>231092.41729047085</v>
      </c>
      <c r="AA379">
        <f t="shared" si="23"/>
        <v>-1092.4172904708539</v>
      </c>
    </row>
    <row r="380" spans="1:27" x14ac:dyDescent="0.25">
      <c r="A380">
        <v>136000</v>
      </c>
      <c r="B380">
        <v>1</v>
      </c>
      <c r="C380">
        <v>34</v>
      </c>
      <c r="D380">
        <v>0</v>
      </c>
      <c r="E380">
        <v>170000</v>
      </c>
      <c r="F380">
        <v>5316</v>
      </c>
      <c r="G380">
        <v>0</v>
      </c>
      <c r="H380">
        <v>0</v>
      </c>
      <c r="I380">
        <v>0</v>
      </c>
      <c r="J380">
        <v>29</v>
      </c>
      <c r="K380">
        <v>1</v>
      </c>
      <c r="L380">
        <f>Résultats!G$32+Résultats!G$33*Données!C380+Résultats!G$34*Données!D380+Résultats!G$35*Données!E380+Résultats!G$36*Données!F380+Résultats!G$37*Données!G380+Résultats!G$38*Données!H380+Résultats!G$39*Données!I380</f>
        <v>125299.7321965915</v>
      </c>
      <c r="M380">
        <f t="shared" si="20"/>
        <v>10700.267803408497</v>
      </c>
      <c r="Q380">
        <v>94000</v>
      </c>
      <c r="R380">
        <v>1</v>
      </c>
      <c r="S380">
        <v>44</v>
      </c>
      <c r="T380">
        <v>1</v>
      </c>
      <c r="U380">
        <f t="shared" si="21"/>
        <v>11.669929213779893</v>
      </c>
      <c r="V380">
        <f t="shared" si="22"/>
        <v>7.6357868613955846</v>
      </c>
      <c r="W380">
        <v>1</v>
      </c>
      <c r="X380">
        <v>1</v>
      </c>
      <c r="Y380">
        <v>1</v>
      </c>
      <c r="Z380">
        <f>'Résultat (Ln)'!F$30+'Résultat (Ln)'!F$31*Données!S380+'Résultat (Ln)'!F$32*Données!T380+'Résultat (Ln)'!F$33*Données!U380+'Résultat (Ln)'!F$34*Données!V380+'Résultat (Ln)'!F$35*Données!W380+'Résultat (Ln)'!F$36*Données!X380+'Résultat (Ln)'!F$37*Données!Y380</f>
        <v>111828.38000140345</v>
      </c>
      <c r="AA380">
        <f t="shared" si="23"/>
        <v>-17828.38000140345</v>
      </c>
    </row>
    <row r="381" spans="1:27" x14ac:dyDescent="0.25">
      <c r="A381">
        <v>144000</v>
      </c>
      <c r="B381">
        <v>1</v>
      </c>
      <c r="C381">
        <v>26.60000038146973</v>
      </c>
      <c r="D381">
        <v>0</v>
      </c>
      <c r="E381">
        <v>160000</v>
      </c>
      <c r="F381">
        <v>4750</v>
      </c>
      <c r="G381">
        <v>1</v>
      </c>
      <c r="H381">
        <v>0</v>
      </c>
      <c r="I381">
        <v>0</v>
      </c>
      <c r="J381">
        <v>18.89999961853027</v>
      </c>
      <c r="K381">
        <v>1</v>
      </c>
      <c r="L381">
        <f>Résultats!G$32+Résultats!G$33*Données!C381+Résultats!G$34*Données!D381+Résultats!G$35*Données!E381+Résultats!G$36*Données!F381+Résultats!G$37*Données!G381+Résultats!G$38*Données!H381+Résultats!G$39*Données!I381</f>
        <v>118049.86997460792</v>
      </c>
      <c r="M381">
        <f t="shared" si="20"/>
        <v>25950.130025392078</v>
      </c>
      <c r="Q381">
        <v>136000</v>
      </c>
      <c r="R381">
        <v>1</v>
      </c>
      <c r="S381">
        <v>34</v>
      </c>
      <c r="T381">
        <v>0</v>
      </c>
      <c r="U381">
        <f t="shared" si="21"/>
        <v>12.043553716032399</v>
      </c>
      <c r="V381">
        <f t="shared" si="22"/>
        <v>8.5784764198331356</v>
      </c>
      <c r="W381">
        <v>0</v>
      </c>
      <c r="X381">
        <v>0</v>
      </c>
      <c r="Y381">
        <v>0</v>
      </c>
      <c r="Z381">
        <f>'Résultat (Ln)'!F$30+'Résultat (Ln)'!F$31*Données!S381+'Résultat (Ln)'!F$32*Données!T381+'Résultat (Ln)'!F$33*Données!U381+'Résultat (Ln)'!F$34*Données!V381+'Résultat (Ln)'!F$35*Données!W381+'Résultat (Ln)'!F$36*Données!X381+'Résultat (Ln)'!F$37*Données!Y381</f>
        <v>143325.10184246907</v>
      </c>
      <c r="AA381">
        <f t="shared" si="23"/>
        <v>-7325.1018424690701</v>
      </c>
    </row>
    <row r="382" spans="1:27" x14ac:dyDescent="0.25">
      <c r="A382">
        <v>139000</v>
      </c>
      <c r="B382">
        <v>1</v>
      </c>
      <c r="C382">
        <v>35</v>
      </c>
      <c r="D382">
        <v>0</v>
      </c>
      <c r="E382">
        <v>146000</v>
      </c>
      <c r="F382">
        <v>2929</v>
      </c>
      <c r="G382">
        <v>1</v>
      </c>
      <c r="H382">
        <v>0</v>
      </c>
      <c r="I382">
        <v>0</v>
      </c>
      <c r="J382">
        <v>28</v>
      </c>
      <c r="K382">
        <v>0</v>
      </c>
      <c r="L382">
        <f>Résultats!G$32+Résultats!G$33*Données!C382+Résultats!G$34*Données!D382+Résultats!G$35*Données!E382+Résultats!G$36*Données!F382+Résultats!G$37*Données!G382+Résultats!G$38*Données!H382+Résultats!G$39*Données!I382</f>
        <v>117632.64416655588</v>
      </c>
      <c r="M382">
        <f t="shared" si="20"/>
        <v>21367.355833444119</v>
      </c>
      <c r="Q382">
        <v>144000</v>
      </c>
      <c r="R382">
        <v>1</v>
      </c>
      <c r="S382">
        <v>26.60000038146973</v>
      </c>
      <c r="T382">
        <v>0</v>
      </c>
      <c r="U382">
        <f t="shared" si="21"/>
        <v>11.982929094215963</v>
      </c>
      <c r="V382">
        <f t="shared" si="22"/>
        <v>8.4658998970286863</v>
      </c>
      <c r="W382">
        <v>1</v>
      </c>
      <c r="X382">
        <v>0</v>
      </c>
      <c r="Y382">
        <v>0</v>
      </c>
      <c r="Z382">
        <f>'Résultat (Ln)'!F$30+'Résultat (Ln)'!F$31*Données!S382+'Résultat (Ln)'!F$32*Données!T382+'Résultat (Ln)'!F$33*Données!U382+'Résultat (Ln)'!F$34*Données!V382+'Résultat (Ln)'!F$35*Données!W382+'Résultat (Ln)'!F$36*Données!X382+'Résultat (Ln)'!F$37*Données!Y382</f>
        <v>129140.04148327956</v>
      </c>
      <c r="AA382">
        <f t="shared" si="23"/>
        <v>14859.958516720435</v>
      </c>
    </row>
    <row r="383" spans="1:27" x14ac:dyDescent="0.25">
      <c r="A383">
        <v>118000</v>
      </c>
      <c r="B383">
        <v>1</v>
      </c>
      <c r="C383">
        <v>27</v>
      </c>
      <c r="D383">
        <v>0</v>
      </c>
      <c r="E383">
        <v>132000</v>
      </c>
      <c r="F383">
        <v>4873</v>
      </c>
      <c r="G383">
        <v>1</v>
      </c>
      <c r="H383">
        <v>0</v>
      </c>
      <c r="I383">
        <v>0</v>
      </c>
      <c r="J383">
        <v>26</v>
      </c>
      <c r="K383">
        <v>1</v>
      </c>
      <c r="L383">
        <f>Résultats!G$32+Résultats!G$33*Données!C383+Résultats!G$34*Données!D383+Résultats!G$35*Données!E383+Résultats!G$36*Données!F383+Résultats!G$37*Données!G383+Résultats!G$38*Données!H383+Résultats!G$39*Données!I383</f>
        <v>105672.99401122665</v>
      </c>
      <c r="M383">
        <f t="shared" si="20"/>
        <v>12327.005988773351</v>
      </c>
      <c r="Q383">
        <v>139000</v>
      </c>
      <c r="R383">
        <v>1</v>
      </c>
      <c r="S383">
        <v>35</v>
      </c>
      <c r="T383">
        <v>0</v>
      </c>
      <c r="U383">
        <f t="shared" si="21"/>
        <v>11.891361900690473</v>
      </c>
      <c r="V383">
        <f t="shared" si="22"/>
        <v>7.9824163468277334</v>
      </c>
      <c r="W383">
        <v>1</v>
      </c>
      <c r="X383">
        <v>0</v>
      </c>
      <c r="Y383">
        <v>0</v>
      </c>
      <c r="Z383">
        <f>'Résultat (Ln)'!F$30+'Résultat (Ln)'!F$31*Données!S383+'Résultat (Ln)'!F$32*Données!T383+'Résultat (Ln)'!F$33*Données!U383+'Résultat (Ln)'!F$34*Données!V383+'Résultat (Ln)'!F$35*Données!W383+'Résultat (Ln)'!F$36*Données!X383+'Résultat (Ln)'!F$37*Données!Y383</f>
        <v>116029.90847718694</v>
      </c>
      <c r="AA383">
        <f t="shared" si="23"/>
        <v>22970.091522813062</v>
      </c>
    </row>
    <row r="384" spans="1:27" x14ac:dyDescent="0.25">
      <c r="A384">
        <v>127000</v>
      </c>
      <c r="B384">
        <v>1</v>
      </c>
      <c r="C384">
        <v>39</v>
      </c>
      <c r="D384">
        <v>0</v>
      </c>
      <c r="E384">
        <v>141000</v>
      </c>
      <c r="F384">
        <v>2059</v>
      </c>
      <c r="G384">
        <v>1</v>
      </c>
      <c r="H384">
        <v>1</v>
      </c>
      <c r="I384">
        <v>0</v>
      </c>
      <c r="J384">
        <v>34</v>
      </c>
      <c r="K384">
        <v>1</v>
      </c>
      <c r="L384">
        <f>Résultats!G$32+Résultats!G$33*Données!C384+Résultats!G$34*Données!D384+Résultats!G$35*Données!E384+Résultats!G$36*Données!F384+Résultats!G$37*Données!G384+Résultats!G$38*Données!H384+Résultats!G$39*Données!I384</f>
        <v>116581.40785227877</v>
      </c>
      <c r="M384">
        <f t="shared" si="20"/>
        <v>10418.592147721225</v>
      </c>
      <c r="Q384">
        <v>118000</v>
      </c>
      <c r="R384">
        <v>1</v>
      </c>
      <c r="S384">
        <v>27</v>
      </c>
      <c r="T384">
        <v>0</v>
      </c>
      <c r="U384">
        <f t="shared" si="21"/>
        <v>11.790557201568507</v>
      </c>
      <c r="V384">
        <f t="shared" si="22"/>
        <v>8.4914650428435063</v>
      </c>
      <c r="W384">
        <v>1</v>
      </c>
      <c r="X384">
        <v>0</v>
      </c>
      <c r="Y384">
        <v>0</v>
      </c>
      <c r="Z384">
        <f>'Résultat (Ln)'!F$30+'Résultat (Ln)'!F$31*Données!S384+'Résultat (Ln)'!F$32*Données!T384+'Résultat (Ln)'!F$33*Données!U384+'Résultat (Ln)'!F$34*Données!V384+'Résultat (Ln)'!F$35*Données!W384+'Résultat (Ln)'!F$36*Données!X384+'Résultat (Ln)'!F$37*Données!Y384</f>
        <v>109724.43819989946</v>
      </c>
      <c r="AA384">
        <f t="shared" si="23"/>
        <v>8275.561800100535</v>
      </c>
    </row>
    <row r="385" spans="1:27" x14ac:dyDescent="0.25">
      <c r="A385">
        <v>70000</v>
      </c>
      <c r="B385">
        <v>1</v>
      </c>
      <c r="C385">
        <v>31.70000076293945</v>
      </c>
      <c r="D385">
        <v>0</v>
      </c>
      <c r="E385">
        <v>88000</v>
      </c>
      <c r="F385">
        <v>1733</v>
      </c>
      <c r="G385">
        <v>1</v>
      </c>
      <c r="H385">
        <v>0</v>
      </c>
      <c r="I385">
        <v>0</v>
      </c>
      <c r="J385">
        <v>20.889999389648441</v>
      </c>
      <c r="K385">
        <v>1</v>
      </c>
      <c r="L385">
        <f>Résultats!G$32+Résultats!G$33*Données!C385+Résultats!G$34*Données!D385+Résultats!G$35*Données!E385+Résultats!G$36*Données!F385+Résultats!G$37*Données!G385+Résultats!G$38*Données!H385+Résultats!G$39*Données!I385</f>
        <v>84441.149519377388</v>
      </c>
      <c r="M385">
        <f t="shared" si="20"/>
        <v>-14441.149519377388</v>
      </c>
      <c r="Q385">
        <v>127000</v>
      </c>
      <c r="R385">
        <v>1</v>
      </c>
      <c r="S385">
        <v>39</v>
      </c>
      <c r="T385">
        <v>0</v>
      </c>
      <c r="U385">
        <f t="shared" si="21"/>
        <v>11.856515169360305</v>
      </c>
      <c r="V385">
        <f t="shared" si="22"/>
        <v>7.6299757070277892</v>
      </c>
      <c r="W385">
        <v>1</v>
      </c>
      <c r="X385">
        <v>1</v>
      </c>
      <c r="Y385">
        <v>0</v>
      </c>
      <c r="Z385">
        <f>'Résultat (Ln)'!F$30+'Résultat (Ln)'!F$31*Données!S385+'Résultat (Ln)'!F$32*Données!T385+'Résultat (Ln)'!F$33*Données!U385+'Résultat (Ln)'!F$34*Données!V385+'Résultat (Ln)'!F$35*Données!W385+'Résultat (Ln)'!F$36*Données!X385+'Résultat (Ln)'!F$37*Données!Y385</f>
        <v>107120.6409936049</v>
      </c>
      <c r="AA385">
        <f t="shared" si="23"/>
        <v>19879.359006395098</v>
      </c>
    </row>
    <row r="386" spans="1:27" x14ac:dyDescent="0.25">
      <c r="A386">
        <v>152000</v>
      </c>
      <c r="B386">
        <v>1</v>
      </c>
      <c r="C386">
        <v>21.89999961853027</v>
      </c>
      <c r="D386">
        <v>0</v>
      </c>
      <c r="E386">
        <v>190000</v>
      </c>
      <c r="F386">
        <v>3572</v>
      </c>
      <c r="G386">
        <v>1</v>
      </c>
      <c r="H386">
        <v>0</v>
      </c>
      <c r="I386">
        <v>0</v>
      </c>
      <c r="J386">
        <v>21.29999923706055</v>
      </c>
      <c r="K386">
        <v>1</v>
      </c>
      <c r="L386">
        <f>Résultats!G$32+Résultats!G$33*Données!C386+Résultats!G$34*Données!D386+Résultats!G$35*Données!E386+Résultats!G$36*Données!F386+Résultats!G$37*Données!G386+Résultats!G$38*Données!H386+Résultats!G$39*Données!I386</f>
        <v>124377.00285970686</v>
      </c>
      <c r="M386">
        <f t="shared" si="20"/>
        <v>27622.997140293141</v>
      </c>
      <c r="Q386">
        <v>70000</v>
      </c>
      <c r="R386">
        <v>1</v>
      </c>
      <c r="S386">
        <v>31.70000076293945</v>
      </c>
      <c r="T386">
        <v>0</v>
      </c>
      <c r="U386">
        <f t="shared" si="21"/>
        <v>11.385092093460344</v>
      </c>
      <c r="V386">
        <f t="shared" si="22"/>
        <v>7.4576092897156059</v>
      </c>
      <c r="W386">
        <v>1</v>
      </c>
      <c r="X386">
        <v>0</v>
      </c>
      <c r="Y386">
        <v>0</v>
      </c>
      <c r="Z386">
        <f>'Résultat (Ln)'!F$30+'Résultat (Ln)'!F$31*Données!S386+'Résultat (Ln)'!F$32*Données!T386+'Résultat (Ln)'!F$33*Données!U386+'Résultat (Ln)'!F$34*Données!V386+'Résultat (Ln)'!F$35*Données!W386+'Résultat (Ln)'!F$36*Données!X386+'Résultat (Ln)'!F$37*Données!Y386</f>
        <v>43008.665451773464</v>
      </c>
      <c r="AA386">
        <f t="shared" si="23"/>
        <v>26991.334548226536</v>
      </c>
    </row>
    <row r="387" spans="1:27" x14ac:dyDescent="0.25">
      <c r="A387">
        <v>170000</v>
      </c>
      <c r="B387">
        <v>1</v>
      </c>
      <c r="C387">
        <v>37</v>
      </c>
      <c r="D387">
        <v>1</v>
      </c>
      <c r="E387">
        <v>280000</v>
      </c>
      <c r="F387">
        <v>7451</v>
      </c>
      <c r="G387">
        <v>0</v>
      </c>
      <c r="H387">
        <v>0</v>
      </c>
      <c r="I387">
        <v>0</v>
      </c>
      <c r="J387">
        <v>24</v>
      </c>
      <c r="K387">
        <v>0</v>
      </c>
      <c r="L387">
        <f>Résultats!G$32+Résultats!G$33*Données!C387+Résultats!G$34*Données!D387+Résultats!G$35*Données!E387+Résultats!G$36*Données!F387+Résultats!G$37*Données!G387+Résultats!G$38*Données!H387+Résultats!G$39*Données!I387</f>
        <v>189096.02762911216</v>
      </c>
      <c r="M387">
        <f t="shared" ref="M387:M450" si="24">A387-L387</f>
        <v>-19096.027629112155</v>
      </c>
      <c r="Q387">
        <v>152000</v>
      </c>
      <c r="R387">
        <v>1</v>
      </c>
      <c r="S387">
        <v>21.89999961853027</v>
      </c>
      <c r="T387">
        <v>0</v>
      </c>
      <c r="U387">
        <f t="shared" si="21"/>
        <v>12.154779351142624</v>
      </c>
      <c r="V387">
        <f t="shared" si="22"/>
        <v>8.1808809419963904</v>
      </c>
      <c r="W387">
        <v>1</v>
      </c>
      <c r="X387">
        <v>0</v>
      </c>
      <c r="Y387">
        <v>0</v>
      </c>
      <c r="Z387">
        <f>'Résultat (Ln)'!F$30+'Résultat (Ln)'!F$31*Données!S387+'Résultat (Ln)'!F$32*Données!T387+'Résultat (Ln)'!F$33*Données!U387+'Résultat (Ln)'!F$34*Données!V387+'Résultat (Ln)'!F$35*Données!W387+'Résultat (Ln)'!F$36*Données!X387+'Résultat (Ln)'!F$37*Données!Y387</f>
        <v>133824.45103911826</v>
      </c>
      <c r="AA387">
        <f t="shared" si="23"/>
        <v>18175.548960881744</v>
      </c>
    </row>
    <row r="388" spans="1:27" x14ac:dyDescent="0.25">
      <c r="A388">
        <v>79000</v>
      </c>
      <c r="B388">
        <v>1</v>
      </c>
      <c r="C388">
        <v>43</v>
      </c>
      <c r="D388">
        <v>0</v>
      </c>
      <c r="E388">
        <v>147000</v>
      </c>
      <c r="F388">
        <v>4107</v>
      </c>
      <c r="G388">
        <v>1</v>
      </c>
      <c r="H388">
        <v>0</v>
      </c>
      <c r="I388">
        <v>0</v>
      </c>
      <c r="J388">
        <v>11</v>
      </c>
      <c r="K388">
        <v>1</v>
      </c>
      <c r="L388">
        <f>Résultats!G$32+Résultats!G$33*Données!C388+Résultats!G$34*Données!D388+Résultats!G$35*Données!E388+Résultats!G$36*Données!F388+Résultats!G$37*Données!G388+Résultats!G$38*Données!H388+Résultats!G$39*Données!I388</f>
        <v>129571.67398503072</v>
      </c>
      <c r="M388">
        <f t="shared" si="24"/>
        <v>-50571.67398503072</v>
      </c>
      <c r="Q388">
        <v>170000</v>
      </c>
      <c r="R388">
        <v>1</v>
      </c>
      <c r="S388">
        <v>37</v>
      </c>
      <c r="T388">
        <v>1</v>
      </c>
      <c r="U388">
        <f t="shared" ref="U388:U451" si="25">LN(E387)</f>
        <v>12.542544882151386</v>
      </c>
      <c r="V388">
        <f t="shared" ref="V388:V451" si="26">LN(F387)</f>
        <v>8.9161035305537268</v>
      </c>
      <c r="W388">
        <v>0</v>
      </c>
      <c r="X388">
        <v>0</v>
      </c>
      <c r="Y388">
        <v>0</v>
      </c>
      <c r="Z388">
        <f>'Résultat (Ln)'!F$30+'Résultat (Ln)'!F$31*Données!S388+'Résultat (Ln)'!F$32*Données!T388+'Résultat (Ln)'!F$33*Données!U388+'Résultat (Ln)'!F$34*Données!V388+'Résultat (Ln)'!F$35*Données!W388+'Résultat (Ln)'!F$36*Données!X388+'Résultat (Ln)'!F$37*Données!Y388</f>
        <v>214298.6974414126</v>
      </c>
      <c r="AA388">
        <f t="shared" ref="AA388:AA451" si="27">Q388-Z388</f>
        <v>-44298.697441412602</v>
      </c>
    </row>
    <row r="389" spans="1:27" x14ac:dyDescent="0.25">
      <c r="A389">
        <v>131000</v>
      </c>
      <c r="B389">
        <v>1</v>
      </c>
      <c r="C389">
        <v>19.39999961853027</v>
      </c>
      <c r="D389">
        <v>0</v>
      </c>
      <c r="E389">
        <v>164000</v>
      </c>
      <c r="F389">
        <v>12000</v>
      </c>
      <c r="G389">
        <v>0</v>
      </c>
      <c r="H389">
        <v>1</v>
      </c>
      <c r="I389">
        <v>0</v>
      </c>
      <c r="J389">
        <v>11.5</v>
      </c>
      <c r="K389">
        <v>1</v>
      </c>
      <c r="L389">
        <f>Résultats!G$32+Résultats!G$33*Données!C389+Résultats!G$34*Données!D389+Résultats!G$35*Données!E389+Résultats!G$36*Données!F389+Résultats!G$37*Données!G389+Résultats!G$38*Données!H389+Résultats!G$39*Données!I389</f>
        <v>117054.31888478844</v>
      </c>
      <c r="M389">
        <f t="shared" si="24"/>
        <v>13945.681115211555</v>
      </c>
      <c r="Q389">
        <v>79000</v>
      </c>
      <c r="R389">
        <v>1</v>
      </c>
      <c r="S389">
        <v>43</v>
      </c>
      <c r="T389">
        <v>0</v>
      </c>
      <c r="U389">
        <f t="shared" si="25"/>
        <v>11.898187865760873</v>
      </c>
      <c r="V389">
        <f t="shared" si="26"/>
        <v>8.3204481139565587</v>
      </c>
      <c r="W389">
        <v>1</v>
      </c>
      <c r="X389">
        <v>0</v>
      </c>
      <c r="Y389">
        <v>0</v>
      </c>
      <c r="Z389">
        <f>'Résultat (Ln)'!F$30+'Résultat (Ln)'!F$31*Données!S389+'Résultat (Ln)'!F$32*Données!T389+'Résultat (Ln)'!F$33*Données!U389+'Résultat (Ln)'!F$34*Données!V389+'Résultat (Ln)'!F$35*Données!W389+'Résultat (Ln)'!F$36*Données!X389+'Résultat (Ln)'!F$37*Données!Y389</f>
        <v>136018.31835360784</v>
      </c>
      <c r="AA389">
        <f t="shared" si="27"/>
        <v>-57018.318353607843</v>
      </c>
    </row>
    <row r="390" spans="1:27" x14ac:dyDescent="0.25">
      <c r="A390">
        <v>150000</v>
      </c>
      <c r="B390">
        <v>1</v>
      </c>
      <c r="C390">
        <v>38.400001525878913</v>
      </c>
      <c r="D390">
        <v>0</v>
      </c>
      <c r="E390">
        <v>187000</v>
      </c>
      <c r="F390">
        <v>2814</v>
      </c>
      <c r="G390">
        <v>0</v>
      </c>
      <c r="H390">
        <v>0</v>
      </c>
      <c r="I390">
        <v>0</v>
      </c>
      <c r="J390">
        <v>21</v>
      </c>
      <c r="K390">
        <v>1</v>
      </c>
      <c r="L390">
        <f>Résultats!G$32+Résultats!G$33*Données!C390+Résultats!G$34*Données!D390+Résultats!G$35*Données!E390+Résultats!G$36*Données!F390+Résultats!G$37*Données!G390+Résultats!G$38*Données!H390+Résultats!G$39*Données!I390</f>
        <v>133443.74519575495</v>
      </c>
      <c r="M390">
        <f t="shared" si="24"/>
        <v>16556.254804245051</v>
      </c>
      <c r="Q390">
        <v>131000</v>
      </c>
      <c r="R390">
        <v>1</v>
      </c>
      <c r="S390">
        <v>19.39999961853027</v>
      </c>
      <c r="T390">
        <v>0</v>
      </c>
      <c r="U390">
        <f t="shared" si="25"/>
        <v>12.007621706806335</v>
      </c>
      <c r="V390">
        <f t="shared" si="26"/>
        <v>9.3926619287701367</v>
      </c>
      <c r="W390">
        <v>0</v>
      </c>
      <c r="X390">
        <v>1</v>
      </c>
      <c r="Y390">
        <v>0</v>
      </c>
      <c r="Z390">
        <f>'Résultat (Ln)'!F$30+'Résultat (Ln)'!F$31*Données!S390+'Résultat (Ln)'!F$32*Données!T390+'Résultat (Ln)'!F$33*Données!U390+'Résultat (Ln)'!F$34*Données!V390+'Résultat (Ln)'!F$35*Données!W390+'Résultat (Ln)'!F$36*Données!X390+'Résultat (Ln)'!F$37*Données!Y390</f>
        <v>144288.49022036724</v>
      </c>
      <c r="AA390">
        <f t="shared" si="27"/>
        <v>-13288.490220367239</v>
      </c>
    </row>
    <row r="391" spans="1:27" x14ac:dyDescent="0.25">
      <c r="A391">
        <v>100000</v>
      </c>
      <c r="B391">
        <v>1</v>
      </c>
      <c r="C391">
        <v>31</v>
      </c>
      <c r="D391">
        <v>0</v>
      </c>
      <c r="E391">
        <v>202000</v>
      </c>
      <c r="F391">
        <v>3825</v>
      </c>
      <c r="G391">
        <v>1</v>
      </c>
      <c r="H391">
        <v>0</v>
      </c>
      <c r="I391">
        <v>0</v>
      </c>
      <c r="J391">
        <v>30</v>
      </c>
      <c r="K391">
        <v>1</v>
      </c>
      <c r="L391">
        <f>Résultats!G$32+Résultats!G$33*Données!C391+Résultats!G$34*Données!D391+Résultats!G$35*Données!E391+Résultats!G$36*Données!F391+Résultats!G$37*Données!G391+Résultats!G$38*Données!H391+Résultats!G$39*Données!I391</f>
        <v>140923.60317546889</v>
      </c>
      <c r="M391">
        <f t="shared" si="24"/>
        <v>-40923.603175468888</v>
      </c>
      <c r="Q391">
        <v>150000</v>
      </c>
      <c r="R391">
        <v>1</v>
      </c>
      <c r="S391">
        <v>38.400001525878913</v>
      </c>
      <c r="T391">
        <v>0</v>
      </c>
      <c r="U391">
        <f t="shared" si="25"/>
        <v>12.138863895836725</v>
      </c>
      <c r="V391">
        <f t="shared" si="26"/>
        <v>7.9423622376743346</v>
      </c>
      <c r="W391">
        <v>0</v>
      </c>
      <c r="X391">
        <v>0</v>
      </c>
      <c r="Y391">
        <v>0</v>
      </c>
      <c r="Z391">
        <f>'Résultat (Ln)'!F$30+'Résultat (Ln)'!F$31*Données!S391+'Résultat (Ln)'!F$32*Données!T391+'Résultat (Ln)'!F$33*Données!U391+'Résultat (Ln)'!F$34*Données!V391+'Résultat (Ln)'!F$35*Données!W391+'Résultat (Ln)'!F$36*Données!X391+'Résultat (Ln)'!F$37*Données!Y391</f>
        <v>141078.58607709955</v>
      </c>
      <c r="AA391">
        <f t="shared" si="27"/>
        <v>8921.4139229004504</v>
      </c>
    </row>
    <row r="392" spans="1:27" x14ac:dyDescent="0.25">
      <c r="A392">
        <v>111000</v>
      </c>
      <c r="B392">
        <v>1</v>
      </c>
      <c r="C392">
        <v>32</v>
      </c>
      <c r="D392">
        <v>0</v>
      </c>
      <c r="E392">
        <v>120000</v>
      </c>
      <c r="F392">
        <v>1708</v>
      </c>
      <c r="G392">
        <v>1</v>
      </c>
      <c r="H392">
        <v>0</v>
      </c>
      <c r="I392">
        <v>0</v>
      </c>
      <c r="J392">
        <v>29</v>
      </c>
      <c r="K392">
        <v>1</v>
      </c>
      <c r="L392">
        <f>Résultats!G$32+Résultats!G$33*Données!C392+Résultats!G$34*Données!D392+Résultats!G$35*Données!E392+Résultats!G$36*Données!F392+Résultats!G$37*Données!G392+Résultats!G$38*Données!H392+Résultats!G$39*Données!I392</f>
        <v>99679.809670126691</v>
      </c>
      <c r="M392">
        <f t="shared" si="24"/>
        <v>11320.190329873309</v>
      </c>
      <c r="Q392">
        <v>100000</v>
      </c>
      <c r="R392">
        <v>1</v>
      </c>
      <c r="S392">
        <v>31</v>
      </c>
      <c r="T392">
        <v>0</v>
      </c>
      <c r="U392">
        <f t="shared" si="25"/>
        <v>12.216022976383341</v>
      </c>
      <c r="V392">
        <f t="shared" si="26"/>
        <v>8.2493137462606363</v>
      </c>
      <c r="W392">
        <v>1</v>
      </c>
      <c r="X392">
        <v>0</v>
      </c>
      <c r="Y392">
        <v>0</v>
      </c>
      <c r="Z392">
        <f>'Résultat (Ln)'!F$30+'Résultat (Ln)'!F$31*Données!S392+'Résultat (Ln)'!F$32*Données!T392+'Résultat (Ln)'!F$33*Données!U392+'Résultat (Ln)'!F$34*Données!V392+'Résultat (Ln)'!F$35*Données!W392+'Résultat (Ln)'!F$36*Données!X392+'Résultat (Ln)'!F$37*Données!Y392</f>
        <v>153429.32167777111</v>
      </c>
      <c r="AA392">
        <f t="shared" si="27"/>
        <v>-53429.321677771106</v>
      </c>
    </row>
    <row r="393" spans="1:27" x14ac:dyDescent="0.25">
      <c r="A393">
        <v>118000</v>
      </c>
      <c r="B393">
        <v>1</v>
      </c>
      <c r="C393">
        <v>35</v>
      </c>
      <c r="D393">
        <v>0</v>
      </c>
      <c r="E393">
        <v>131000</v>
      </c>
      <c r="F393">
        <v>5050</v>
      </c>
      <c r="G393">
        <v>0</v>
      </c>
      <c r="H393">
        <v>0</v>
      </c>
      <c r="I393">
        <v>0</v>
      </c>
      <c r="J393">
        <v>22</v>
      </c>
      <c r="K393">
        <v>1</v>
      </c>
      <c r="L393">
        <f>Résultats!G$32+Résultats!G$33*Données!C393+Résultats!G$34*Données!D393+Résultats!G$35*Données!E393+Résultats!G$36*Données!F393+Résultats!G$37*Données!G393+Résultats!G$38*Données!H393+Résultats!G$39*Données!I393</f>
        <v>107721.77365818602</v>
      </c>
      <c r="M393">
        <f t="shared" si="24"/>
        <v>10278.226341813977</v>
      </c>
      <c r="Q393">
        <v>111000</v>
      </c>
      <c r="R393">
        <v>1</v>
      </c>
      <c r="S393">
        <v>32</v>
      </c>
      <c r="T393">
        <v>0</v>
      </c>
      <c r="U393">
        <f t="shared" si="25"/>
        <v>11.695247021764184</v>
      </c>
      <c r="V393">
        <f t="shared" si="26"/>
        <v>7.4430783743485156</v>
      </c>
      <c r="W393">
        <v>1</v>
      </c>
      <c r="X393">
        <v>0</v>
      </c>
      <c r="Y393">
        <v>0</v>
      </c>
      <c r="Z393">
        <f>'Résultat (Ln)'!F$30+'Résultat (Ln)'!F$31*Données!S393+'Résultat (Ln)'!F$32*Données!T393+'Résultat (Ln)'!F$33*Données!U393+'Résultat (Ln)'!F$34*Données!V393+'Résultat (Ln)'!F$35*Données!W393+'Résultat (Ln)'!F$36*Données!X393+'Résultat (Ln)'!F$37*Données!Y393</f>
        <v>76214.97897516079</v>
      </c>
      <c r="AA393">
        <f t="shared" si="27"/>
        <v>34785.02102483921</v>
      </c>
    </row>
    <row r="394" spans="1:27" x14ac:dyDescent="0.25">
      <c r="A394">
        <v>490000</v>
      </c>
      <c r="B394">
        <v>1</v>
      </c>
      <c r="C394">
        <v>39</v>
      </c>
      <c r="D394">
        <v>0</v>
      </c>
      <c r="E394">
        <v>613000</v>
      </c>
      <c r="F394">
        <v>17368</v>
      </c>
      <c r="G394">
        <v>1</v>
      </c>
      <c r="H394">
        <v>0</v>
      </c>
      <c r="I394">
        <v>0</v>
      </c>
      <c r="J394">
        <v>28</v>
      </c>
      <c r="K394">
        <v>1</v>
      </c>
      <c r="L394">
        <f>Résultats!G$32+Résultats!G$33*Données!C394+Résultats!G$34*Données!D394+Résultats!G$35*Données!E394+Résultats!G$36*Données!F394+Résultats!G$37*Données!G394+Résultats!G$38*Données!H394+Résultats!G$39*Données!I394</f>
        <v>368274.2139272886</v>
      </c>
      <c r="M394">
        <f t="shared" si="24"/>
        <v>121725.7860727114</v>
      </c>
      <c r="Q394">
        <v>118000</v>
      </c>
      <c r="R394">
        <v>1</v>
      </c>
      <c r="S394">
        <v>35</v>
      </c>
      <c r="T394">
        <v>0</v>
      </c>
      <c r="U394">
        <f t="shared" si="25"/>
        <v>11.782952602183288</v>
      </c>
      <c r="V394">
        <f t="shared" si="26"/>
        <v>8.5271435222694052</v>
      </c>
      <c r="W394">
        <v>0</v>
      </c>
      <c r="X394">
        <v>0</v>
      </c>
      <c r="Y394">
        <v>0</v>
      </c>
      <c r="Z394">
        <f>'Résultat (Ln)'!F$30+'Résultat (Ln)'!F$31*Données!S394+'Résultat (Ln)'!F$32*Données!T394+'Résultat (Ln)'!F$33*Données!U394+'Résultat (Ln)'!F$34*Données!V394+'Résultat (Ln)'!F$35*Données!W394+'Résultat (Ln)'!F$36*Données!X394+'Résultat (Ln)'!F$37*Données!Y394</f>
        <v>115172.18699833602</v>
      </c>
      <c r="AA394">
        <f t="shared" si="27"/>
        <v>2827.813001663977</v>
      </c>
    </row>
    <row r="395" spans="1:27" x14ac:dyDescent="0.25">
      <c r="A395">
        <v>155000</v>
      </c>
      <c r="B395">
        <v>1</v>
      </c>
      <c r="C395">
        <v>23.39999961853027</v>
      </c>
      <c r="D395">
        <v>0</v>
      </c>
      <c r="E395">
        <v>199000</v>
      </c>
      <c r="F395">
        <v>3583</v>
      </c>
      <c r="G395">
        <v>0</v>
      </c>
      <c r="H395">
        <v>0</v>
      </c>
      <c r="I395">
        <v>0</v>
      </c>
      <c r="J395">
        <v>22.930000305175781</v>
      </c>
      <c r="K395">
        <v>1</v>
      </c>
      <c r="L395">
        <f>Résultats!G$32+Résultats!G$33*Données!C395+Résultats!G$34*Données!D395+Résultats!G$35*Données!E395+Résultats!G$36*Données!F395+Résultats!G$37*Données!G395+Résultats!G$38*Données!H395+Résultats!G$39*Données!I395</f>
        <v>123307.28502641172</v>
      </c>
      <c r="M395">
        <f t="shared" si="24"/>
        <v>31692.714973588285</v>
      </c>
      <c r="Q395">
        <v>490000</v>
      </c>
      <c r="R395">
        <v>1</v>
      </c>
      <c r="S395">
        <v>39</v>
      </c>
      <c r="T395">
        <v>0</v>
      </c>
      <c r="U395">
        <f t="shared" si="25"/>
        <v>13.326120214918349</v>
      </c>
      <c r="V395">
        <f t="shared" si="26"/>
        <v>9.762384711558127</v>
      </c>
      <c r="W395">
        <v>1</v>
      </c>
      <c r="X395">
        <v>0</v>
      </c>
      <c r="Y395">
        <v>0</v>
      </c>
      <c r="Z395">
        <f>'Résultat (Ln)'!F$30+'Résultat (Ln)'!F$31*Données!S395+'Résultat (Ln)'!F$32*Données!T395+'Résultat (Ln)'!F$33*Données!U395+'Résultat (Ln)'!F$34*Données!V395+'Résultat (Ln)'!F$35*Données!W395+'Résultat (Ln)'!F$36*Données!X395+'Résultat (Ln)'!F$37*Données!Y395</f>
        <v>324638.42657398572</v>
      </c>
      <c r="AA395">
        <f t="shared" si="27"/>
        <v>165361.57342601428</v>
      </c>
    </row>
    <row r="396" spans="1:27" x14ac:dyDescent="0.25">
      <c r="A396">
        <v>185000</v>
      </c>
      <c r="B396">
        <v>1</v>
      </c>
      <c r="C396">
        <v>30</v>
      </c>
      <c r="D396">
        <v>0</v>
      </c>
      <c r="E396">
        <v>460000</v>
      </c>
      <c r="F396">
        <v>14583</v>
      </c>
      <c r="G396">
        <v>1</v>
      </c>
      <c r="H396">
        <v>0</v>
      </c>
      <c r="I396">
        <v>0</v>
      </c>
      <c r="J396">
        <v>17</v>
      </c>
      <c r="K396">
        <v>1</v>
      </c>
      <c r="L396">
        <f>Résultats!G$32+Résultats!G$33*Données!C396+Résultats!G$34*Données!D396+Résultats!G$35*Données!E396+Résultats!G$36*Données!F396+Résultats!G$37*Données!G396+Résultats!G$38*Données!H396+Résultats!G$39*Données!I396</f>
        <v>281095.59259468818</v>
      </c>
      <c r="M396">
        <f t="shared" si="24"/>
        <v>-96095.592594688176</v>
      </c>
      <c r="Q396">
        <v>155000</v>
      </c>
      <c r="R396">
        <v>1</v>
      </c>
      <c r="S396">
        <v>23.39999961853027</v>
      </c>
      <c r="T396">
        <v>0</v>
      </c>
      <c r="U396">
        <f t="shared" si="25"/>
        <v>12.201060103706629</v>
      </c>
      <c r="V396">
        <f t="shared" si="26"/>
        <v>8.1839557173049542</v>
      </c>
      <c r="W396">
        <v>0</v>
      </c>
      <c r="X396">
        <v>0</v>
      </c>
      <c r="Y396">
        <v>0</v>
      </c>
      <c r="Z396">
        <f>'Résultat (Ln)'!F$30+'Résultat (Ln)'!F$31*Données!S396+'Résultat (Ln)'!F$32*Données!T396+'Résultat (Ln)'!F$33*Données!U396+'Résultat (Ln)'!F$34*Données!V396+'Résultat (Ln)'!F$35*Données!W396+'Résultat (Ln)'!F$36*Données!X396+'Résultat (Ln)'!F$37*Données!Y396</f>
        <v>136190.80762522298</v>
      </c>
      <c r="AA396">
        <f t="shared" si="27"/>
        <v>18809.19237477702</v>
      </c>
    </row>
    <row r="397" spans="1:27" x14ac:dyDescent="0.25">
      <c r="A397">
        <v>176000</v>
      </c>
      <c r="B397">
        <v>1</v>
      </c>
      <c r="C397">
        <v>38</v>
      </c>
      <c r="D397">
        <v>0</v>
      </c>
      <c r="E397">
        <v>195899.9938964844</v>
      </c>
      <c r="F397">
        <v>3415</v>
      </c>
      <c r="G397">
        <v>1</v>
      </c>
      <c r="H397">
        <v>1</v>
      </c>
      <c r="I397">
        <v>0</v>
      </c>
      <c r="J397">
        <v>27.29000091552734</v>
      </c>
      <c r="K397">
        <v>1</v>
      </c>
      <c r="L397">
        <f>Résultats!G$32+Résultats!G$33*Données!C397+Résultats!G$34*Données!D397+Résultats!G$35*Données!E397+Résultats!G$36*Données!F397+Résultats!G$37*Données!G397+Résultats!G$38*Données!H397+Résultats!G$39*Données!I397</f>
        <v>143696.10874119619</v>
      </c>
      <c r="M397">
        <f t="shared" si="24"/>
        <v>32303.891258803807</v>
      </c>
      <c r="Q397">
        <v>185000</v>
      </c>
      <c r="R397">
        <v>1</v>
      </c>
      <c r="S397">
        <v>30</v>
      </c>
      <c r="T397">
        <v>0</v>
      </c>
      <c r="U397">
        <f t="shared" si="25"/>
        <v>13.038981768465277</v>
      </c>
      <c r="V397">
        <f t="shared" si="26"/>
        <v>9.5876117457135646</v>
      </c>
      <c r="W397">
        <v>1</v>
      </c>
      <c r="X397">
        <v>0</v>
      </c>
      <c r="Y397">
        <v>0</v>
      </c>
      <c r="Z397">
        <f>'Résultat (Ln)'!F$30+'Résultat (Ln)'!F$31*Données!S397+'Résultat (Ln)'!F$32*Données!T397+'Résultat (Ln)'!F$33*Données!U397+'Résultat (Ln)'!F$34*Données!V397+'Résultat (Ln)'!F$35*Données!W397+'Résultat (Ln)'!F$36*Données!X397+'Résultat (Ln)'!F$37*Données!Y397</f>
        <v>277958.44304761954</v>
      </c>
      <c r="AA397">
        <f t="shared" si="27"/>
        <v>-92958.443047619541</v>
      </c>
    </row>
    <row r="398" spans="1:27" x14ac:dyDescent="0.25">
      <c r="A398">
        <v>82000</v>
      </c>
      <c r="B398">
        <v>1</v>
      </c>
      <c r="C398">
        <v>23.39999961853027</v>
      </c>
      <c r="D398">
        <v>0</v>
      </c>
      <c r="E398">
        <v>102000</v>
      </c>
      <c r="F398">
        <v>2458</v>
      </c>
      <c r="G398">
        <v>1</v>
      </c>
      <c r="H398">
        <v>0</v>
      </c>
      <c r="I398">
        <v>0</v>
      </c>
      <c r="J398">
        <v>18.60000038146973</v>
      </c>
      <c r="K398">
        <v>1</v>
      </c>
      <c r="L398">
        <f>Résultats!G$32+Résultats!G$33*Données!C398+Résultats!G$34*Données!D398+Résultats!G$35*Données!E398+Résultats!G$36*Données!F398+Résultats!G$37*Données!G398+Résultats!G$38*Données!H398+Résultats!G$39*Données!I398</f>
        <v>82849.425659740926</v>
      </c>
      <c r="M398">
        <f t="shared" si="24"/>
        <v>-849.42565974092577</v>
      </c>
      <c r="Q398">
        <v>176000</v>
      </c>
      <c r="R398">
        <v>1</v>
      </c>
      <c r="S398">
        <v>38</v>
      </c>
      <c r="T398">
        <v>0</v>
      </c>
      <c r="U398">
        <f t="shared" si="25"/>
        <v>12.185359572776349</v>
      </c>
      <c r="V398">
        <f t="shared" si="26"/>
        <v>8.1359327720048906</v>
      </c>
      <c r="W398">
        <v>1</v>
      </c>
      <c r="X398">
        <v>1</v>
      </c>
      <c r="Y398">
        <v>0</v>
      </c>
      <c r="Z398">
        <f>'Résultat (Ln)'!F$30+'Résultat (Ln)'!F$31*Données!S398+'Résultat (Ln)'!F$32*Données!T398+'Résultat (Ln)'!F$33*Données!U398+'Résultat (Ln)'!F$34*Données!V398+'Résultat (Ln)'!F$35*Données!W398+'Résultat (Ln)'!F$36*Données!X398+'Résultat (Ln)'!F$37*Données!Y398</f>
        <v>155339.2291537681</v>
      </c>
      <c r="AA398">
        <f t="shared" si="27"/>
        <v>20660.770846231899</v>
      </c>
    </row>
    <row r="399" spans="1:27" x14ac:dyDescent="0.25">
      <c r="A399">
        <v>154000</v>
      </c>
      <c r="B399">
        <v>1</v>
      </c>
      <c r="C399">
        <v>36</v>
      </c>
      <c r="D399">
        <v>0</v>
      </c>
      <c r="E399">
        <v>162000</v>
      </c>
      <c r="F399">
        <v>3167</v>
      </c>
      <c r="G399">
        <v>1</v>
      </c>
      <c r="H399">
        <v>0</v>
      </c>
      <c r="I399">
        <v>0</v>
      </c>
      <c r="J399">
        <v>30</v>
      </c>
      <c r="K399">
        <v>0</v>
      </c>
      <c r="L399">
        <f>Résultats!G$32+Résultats!G$33*Données!C399+Résultats!G$34*Données!D399+Résultats!G$35*Données!E399+Résultats!G$36*Données!F399+Résultats!G$37*Données!G399+Résultats!G$38*Données!H399+Résultats!G$39*Données!I399</f>
        <v>126713.76023748543</v>
      </c>
      <c r="M399">
        <f t="shared" si="24"/>
        <v>27286.239762514568</v>
      </c>
      <c r="Q399">
        <v>82000</v>
      </c>
      <c r="R399">
        <v>1</v>
      </c>
      <c r="S399">
        <v>23.39999961853027</v>
      </c>
      <c r="T399">
        <v>0</v>
      </c>
      <c r="U399">
        <f t="shared" si="25"/>
        <v>11.532728092266408</v>
      </c>
      <c r="V399">
        <f t="shared" si="26"/>
        <v>7.8071032901259798</v>
      </c>
      <c r="W399">
        <v>1</v>
      </c>
      <c r="X399">
        <v>0</v>
      </c>
      <c r="Y399">
        <v>0</v>
      </c>
      <c r="Z399">
        <f>'Résultat (Ln)'!F$30+'Résultat (Ln)'!F$31*Données!S399+'Résultat (Ln)'!F$32*Données!T399+'Résultat (Ln)'!F$33*Données!U399+'Résultat (Ln)'!F$34*Données!V399+'Résultat (Ln)'!F$35*Données!W399+'Résultat (Ln)'!F$36*Données!X399+'Résultat (Ln)'!F$37*Données!Y399</f>
        <v>58493.484867037499</v>
      </c>
      <c r="AA399">
        <f t="shared" si="27"/>
        <v>23506.515132962501</v>
      </c>
    </row>
    <row r="400" spans="1:27" x14ac:dyDescent="0.25">
      <c r="A400">
        <v>85000</v>
      </c>
      <c r="B400">
        <v>1</v>
      </c>
      <c r="C400">
        <v>25</v>
      </c>
      <c r="D400">
        <v>0</v>
      </c>
      <c r="E400">
        <v>110000</v>
      </c>
      <c r="F400">
        <v>2214</v>
      </c>
      <c r="G400">
        <v>1</v>
      </c>
      <c r="H400">
        <v>0</v>
      </c>
      <c r="I400">
        <v>0</v>
      </c>
      <c r="J400">
        <v>24</v>
      </c>
      <c r="K400">
        <v>1</v>
      </c>
      <c r="L400">
        <f>Résultats!G$32+Résultats!G$33*Données!C400+Résultats!G$34*Données!D400+Résultats!G$35*Données!E400+Résultats!G$36*Données!F400+Résultats!G$37*Données!G400+Résultats!G$38*Données!H400+Résultats!G$39*Données!I400</f>
        <v>87950.104736648806</v>
      </c>
      <c r="M400">
        <f t="shared" si="24"/>
        <v>-2950.1047366488056</v>
      </c>
      <c r="Q400">
        <v>154000</v>
      </c>
      <c r="R400">
        <v>1</v>
      </c>
      <c r="S400">
        <v>36</v>
      </c>
      <c r="T400">
        <v>0</v>
      </c>
      <c r="U400">
        <f t="shared" si="25"/>
        <v>11.99535161421452</v>
      </c>
      <c r="V400">
        <f t="shared" si="26"/>
        <v>8.0605400465386392</v>
      </c>
      <c r="W400">
        <v>1</v>
      </c>
      <c r="X400">
        <v>0</v>
      </c>
      <c r="Y400">
        <v>0</v>
      </c>
      <c r="Z400">
        <f>'Résultat (Ln)'!F$30+'Résultat (Ln)'!F$31*Données!S400+'Résultat (Ln)'!F$32*Données!T400+'Résultat (Ln)'!F$33*Données!U400+'Résultat (Ln)'!F$34*Données!V400+'Résultat (Ln)'!F$35*Données!W400+'Résultat (Ln)'!F$36*Données!X400+'Résultat (Ln)'!F$37*Données!Y400</f>
        <v>130590.22678776238</v>
      </c>
      <c r="AA400">
        <f t="shared" si="27"/>
        <v>23409.773212237618</v>
      </c>
    </row>
    <row r="401" spans="1:27" x14ac:dyDescent="0.25">
      <c r="A401">
        <v>140000</v>
      </c>
      <c r="B401">
        <v>1</v>
      </c>
      <c r="C401">
        <v>30.70000076293945</v>
      </c>
      <c r="D401">
        <v>0</v>
      </c>
      <c r="E401">
        <v>284000</v>
      </c>
      <c r="F401">
        <v>4562</v>
      </c>
      <c r="G401">
        <v>1</v>
      </c>
      <c r="H401">
        <v>0</v>
      </c>
      <c r="I401">
        <v>0</v>
      </c>
      <c r="J401">
        <v>23.10000038146973</v>
      </c>
      <c r="K401">
        <v>1</v>
      </c>
      <c r="L401">
        <f>Résultats!G$32+Résultats!G$33*Données!C401+Résultats!G$34*Données!D401+Résultats!G$35*Données!E401+Résultats!G$36*Données!F401+Résultats!G$37*Données!G401+Résultats!G$38*Données!H401+Résultats!G$39*Données!I401</f>
        <v>180297.32025781638</v>
      </c>
      <c r="M401">
        <f t="shared" si="24"/>
        <v>-40297.320257816376</v>
      </c>
      <c r="Q401">
        <v>85000</v>
      </c>
      <c r="R401">
        <v>1</v>
      </c>
      <c r="S401">
        <v>25</v>
      </c>
      <c r="T401">
        <v>0</v>
      </c>
      <c r="U401">
        <f t="shared" si="25"/>
        <v>11.608235644774552</v>
      </c>
      <c r="V401">
        <f t="shared" si="26"/>
        <v>7.7025561132685825</v>
      </c>
      <c r="W401">
        <v>1</v>
      </c>
      <c r="X401">
        <v>0</v>
      </c>
      <c r="Y401">
        <v>0</v>
      </c>
      <c r="Z401">
        <f>'Résultat (Ln)'!F$30+'Résultat (Ln)'!F$31*Données!S401+'Résultat (Ln)'!F$32*Données!T401+'Résultat (Ln)'!F$33*Données!U401+'Résultat (Ln)'!F$34*Données!V401+'Résultat (Ln)'!F$35*Données!W401+'Résultat (Ln)'!F$36*Données!X401+'Résultat (Ln)'!F$37*Données!Y401</f>
        <v>65610.717273497299</v>
      </c>
      <c r="AA401">
        <f t="shared" si="27"/>
        <v>19389.282726502701</v>
      </c>
    </row>
    <row r="402" spans="1:27" x14ac:dyDescent="0.25">
      <c r="A402">
        <v>186000</v>
      </c>
      <c r="B402">
        <v>1</v>
      </c>
      <c r="C402">
        <v>37</v>
      </c>
      <c r="D402">
        <v>0</v>
      </c>
      <c r="E402">
        <v>207000</v>
      </c>
      <c r="F402">
        <v>3189</v>
      </c>
      <c r="G402">
        <v>1</v>
      </c>
      <c r="H402">
        <v>0</v>
      </c>
      <c r="I402">
        <v>0</v>
      </c>
      <c r="J402">
        <v>32</v>
      </c>
      <c r="K402">
        <v>1</v>
      </c>
      <c r="L402">
        <f>Résultats!G$32+Résultats!G$33*Données!C402+Résultats!G$34*Données!D402+Résultats!G$35*Données!E402+Résultats!G$36*Données!F402+Résultats!G$37*Données!G402+Résultats!G$38*Données!H402+Résultats!G$39*Données!I402</f>
        <v>148917.95902891768</v>
      </c>
      <c r="M402">
        <f t="shared" si="24"/>
        <v>37082.040971082315</v>
      </c>
      <c r="Q402">
        <v>140000</v>
      </c>
      <c r="R402">
        <v>1</v>
      </c>
      <c r="S402">
        <v>30.70000076293945</v>
      </c>
      <c r="T402">
        <v>0</v>
      </c>
      <c r="U402">
        <f t="shared" si="25"/>
        <v>12.556729517143344</v>
      </c>
      <c r="V402">
        <f t="shared" si="26"/>
        <v>8.4255164028443339</v>
      </c>
      <c r="W402">
        <v>1</v>
      </c>
      <c r="X402">
        <v>0</v>
      </c>
      <c r="Y402">
        <v>0</v>
      </c>
      <c r="Z402">
        <f>'Résultat (Ln)'!F$30+'Résultat (Ln)'!F$31*Données!S402+'Résultat (Ln)'!F$32*Données!T402+'Résultat (Ln)'!F$33*Données!U402+'Résultat (Ln)'!F$34*Données!V402+'Résultat (Ln)'!F$35*Données!W402+'Résultat (Ln)'!F$36*Données!X402+'Résultat (Ln)'!F$37*Données!Y402</f>
        <v>194526.68414015693</v>
      </c>
      <c r="AA402">
        <f t="shared" si="27"/>
        <v>-54526.684140156925</v>
      </c>
    </row>
    <row r="403" spans="1:27" x14ac:dyDescent="0.25">
      <c r="A403">
        <v>106000</v>
      </c>
      <c r="B403">
        <v>1</v>
      </c>
      <c r="C403">
        <v>33</v>
      </c>
      <c r="D403">
        <v>0</v>
      </c>
      <c r="E403">
        <v>132000</v>
      </c>
      <c r="F403">
        <v>7083</v>
      </c>
      <c r="G403">
        <v>1</v>
      </c>
      <c r="H403">
        <v>0</v>
      </c>
      <c r="I403">
        <v>0</v>
      </c>
      <c r="J403">
        <v>16</v>
      </c>
      <c r="K403">
        <v>1</v>
      </c>
      <c r="L403">
        <f>Résultats!G$32+Résultats!G$33*Données!C403+Résultats!G$34*Données!D403+Résultats!G$35*Données!E403+Résultats!G$36*Données!F403+Résultats!G$37*Données!G403+Résultats!G$38*Données!H403+Résultats!G$39*Données!I403</f>
        <v>116847.52636425341</v>
      </c>
      <c r="M403">
        <f t="shared" si="24"/>
        <v>-10847.526364253412</v>
      </c>
      <c r="Q403">
        <v>186000</v>
      </c>
      <c r="R403">
        <v>1</v>
      </c>
      <c r="S403">
        <v>37</v>
      </c>
      <c r="T403">
        <v>0</v>
      </c>
      <c r="U403">
        <f t="shared" si="25"/>
        <v>12.240474072247506</v>
      </c>
      <c r="V403">
        <f t="shared" si="26"/>
        <v>8.0674626670100569</v>
      </c>
      <c r="W403">
        <v>1</v>
      </c>
      <c r="X403">
        <v>0</v>
      </c>
      <c r="Y403">
        <v>0</v>
      </c>
      <c r="Z403">
        <f>'Résultat (Ln)'!F$30+'Résultat (Ln)'!F$31*Données!S403+'Résultat (Ln)'!F$32*Données!T403+'Résultat (Ln)'!F$33*Données!U403+'Résultat (Ln)'!F$34*Données!V403+'Résultat (Ln)'!F$35*Données!W403+'Résultat (Ln)'!F$36*Données!X403+'Résultat (Ln)'!F$37*Données!Y403</f>
        <v>158282.45886054556</v>
      </c>
      <c r="AA403">
        <f t="shared" si="27"/>
        <v>27717.541139454435</v>
      </c>
    </row>
    <row r="404" spans="1:27" x14ac:dyDescent="0.25">
      <c r="A404">
        <v>166000</v>
      </c>
      <c r="B404">
        <v>1</v>
      </c>
      <c r="C404">
        <v>37.799999237060547</v>
      </c>
      <c r="D404">
        <v>0</v>
      </c>
      <c r="E404">
        <v>207000</v>
      </c>
      <c r="F404">
        <v>9304</v>
      </c>
      <c r="G404">
        <v>1</v>
      </c>
      <c r="H404">
        <v>0</v>
      </c>
      <c r="I404">
        <v>1</v>
      </c>
      <c r="J404">
        <v>21.39999961853027</v>
      </c>
      <c r="K404">
        <v>1</v>
      </c>
      <c r="L404">
        <f>Résultats!G$32+Résultats!G$33*Données!C404+Résultats!G$34*Données!D404+Résultats!G$35*Données!E404+Résultats!G$36*Données!F404+Résultats!G$37*Données!G404+Résultats!G$38*Données!H404+Résultats!G$39*Données!I404</f>
        <v>171611.92105441159</v>
      </c>
      <c r="M404">
        <f t="shared" si="24"/>
        <v>-5611.9210544115922</v>
      </c>
      <c r="Q404">
        <v>106000</v>
      </c>
      <c r="R404">
        <v>1</v>
      </c>
      <c r="S404">
        <v>33</v>
      </c>
      <c r="T404">
        <v>0</v>
      </c>
      <c r="U404">
        <f t="shared" si="25"/>
        <v>11.790557201568507</v>
      </c>
      <c r="V404">
        <f t="shared" si="26"/>
        <v>8.8654528257536231</v>
      </c>
      <c r="W404">
        <v>1</v>
      </c>
      <c r="X404">
        <v>0</v>
      </c>
      <c r="Y404">
        <v>0</v>
      </c>
      <c r="Z404">
        <f>'Résultat (Ln)'!F$30+'Résultat (Ln)'!F$31*Données!S404+'Résultat (Ln)'!F$32*Données!T404+'Résultat (Ln)'!F$33*Données!U404+'Résultat (Ln)'!F$34*Données!V404+'Résultat (Ln)'!F$35*Données!W404+'Résultat (Ln)'!F$36*Données!X404+'Résultat (Ln)'!F$37*Données!Y404</f>
        <v>127545.46791695796</v>
      </c>
      <c r="AA404">
        <f t="shared" si="27"/>
        <v>-21545.467916957961</v>
      </c>
    </row>
    <row r="405" spans="1:27" x14ac:dyDescent="0.25">
      <c r="A405">
        <v>95000</v>
      </c>
      <c r="B405">
        <v>1</v>
      </c>
      <c r="C405">
        <v>28.29999923706055</v>
      </c>
      <c r="D405">
        <v>0</v>
      </c>
      <c r="E405">
        <v>105000</v>
      </c>
      <c r="F405">
        <v>2532</v>
      </c>
      <c r="G405">
        <v>0</v>
      </c>
      <c r="H405">
        <v>0</v>
      </c>
      <c r="I405">
        <v>0</v>
      </c>
      <c r="J405">
        <v>21.5</v>
      </c>
      <c r="K405">
        <v>1</v>
      </c>
      <c r="L405">
        <f>Résultats!G$32+Résultats!G$33*Données!C405+Résultats!G$34*Données!D405+Résultats!G$35*Données!E405+Résultats!G$36*Données!F405+Résultats!G$37*Données!G405+Résultats!G$38*Données!H405+Résultats!G$39*Données!I405</f>
        <v>83005.547669269989</v>
      </c>
      <c r="M405">
        <f t="shared" si="24"/>
        <v>11994.452330730011</v>
      </c>
      <c r="Q405">
        <v>166000</v>
      </c>
      <c r="R405">
        <v>1</v>
      </c>
      <c r="S405">
        <v>37.799999237060547</v>
      </c>
      <c r="T405">
        <v>0</v>
      </c>
      <c r="U405">
        <f t="shared" si="25"/>
        <v>12.240474072247506</v>
      </c>
      <c r="V405">
        <f t="shared" si="26"/>
        <v>9.1381996941984998</v>
      </c>
      <c r="W405">
        <v>1</v>
      </c>
      <c r="X405">
        <v>0</v>
      </c>
      <c r="Y405">
        <v>1</v>
      </c>
      <c r="Z405">
        <f>'Résultat (Ln)'!F$30+'Résultat (Ln)'!F$31*Données!S405+'Résultat (Ln)'!F$32*Données!T405+'Résultat (Ln)'!F$33*Données!U405+'Résultat (Ln)'!F$34*Données!V405+'Résultat (Ln)'!F$35*Données!W405+'Résultat (Ln)'!F$36*Données!X405+'Résultat (Ln)'!F$37*Données!Y405</f>
        <v>203376.69052039122</v>
      </c>
      <c r="AA405">
        <f t="shared" si="27"/>
        <v>-37376.690520391217</v>
      </c>
    </row>
    <row r="406" spans="1:27" x14ac:dyDescent="0.25">
      <c r="A406">
        <v>100000</v>
      </c>
      <c r="B406">
        <v>1</v>
      </c>
      <c r="C406">
        <v>26</v>
      </c>
      <c r="D406">
        <v>0</v>
      </c>
      <c r="E406">
        <v>187000</v>
      </c>
      <c r="F406">
        <v>3907</v>
      </c>
      <c r="G406">
        <v>1</v>
      </c>
      <c r="H406">
        <v>0</v>
      </c>
      <c r="I406">
        <v>0</v>
      </c>
      <c r="J406">
        <v>26</v>
      </c>
      <c r="K406">
        <v>1</v>
      </c>
      <c r="L406">
        <f>Résultats!G$32+Résultats!G$33*Données!C406+Résultats!G$34*Données!D406+Résultats!G$35*Données!E406+Résultats!G$36*Données!F406+Résultats!G$37*Données!G406+Résultats!G$38*Données!H406+Résultats!G$39*Données!I406</f>
        <v>128334.8508137829</v>
      </c>
      <c r="M406">
        <f t="shared" si="24"/>
        <v>-28334.850813782905</v>
      </c>
      <c r="Q406">
        <v>95000</v>
      </c>
      <c r="R406">
        <v>1</v>
      </c>
      <c r="S406">
        <v>28.29999923706055</v>
      </c>
      <c r="T406">
        <v>0</v>
      </c>
      <c r="U406">
        <f t="shared" si="25"/>
        <v>11.561715629139661</v>
      </c>
      <c r="V406">
        <f t="shared" si="26"/>
        <v>7.8367647832640666</v>
      </c>
      <c r="W406">
        <v>0</v>
      </c>
      <c r="X406">
        <v>0</v>
      </c>
      <c r="Y406">
        <v>0</v>
      </c>
      <c r="Z406">
        <f>'Résultat (Ln)'!F$30+'Résultat (Ln)'!F$31*Données!S406+'Résultat (Ln)'!F$32*Données!T406+'Résultat (Ln)'!F$33*Données!U406+'Résultat (Ln)'!F$34*Données!V406+'Résultat (Ln)'!F$35*Données!W406+'Résultat (Ln)'!F$36*Données!X406+'Résultat (Ln)'!F$37*Données!Y406</f>
        <v>63906.669814264547</v>
      </c>
      <c r="AA406">
        <f t="shared" si="27"/>
        <v>31093.330185735453</v>
      </c>
    </row>
    <row r="407" spans="1:27" x14ac:dyDescent="0.25">
      <c r="A407">
        <v>131000</v>
      </c>
      <c r="B407">
        <v>1</v>
      </c>
      <c r="C407">
        <v>28</v>
      </c>
      <c r="D407">
        <v>0</v>
      </c>
      <c r="E407">
        <v>138000</v>
      </c>
      <c r="F407">
        <v>3754</v>
      </c>
      <c r="G407">
        <v>1</v>
      </c>
      <c r="H407">
        <v>0</v>
      </c>
      <c r="I407">
        <v>0</v>
      </c>
      <c r="J407">
        <v>26</v>
      </c>
      <c r="K407">
        <v>1</v>
      </c>
      <c r="L407">
        <f>Résultats!G$32+Résultats!G$33*Données!C407+Résultats!G$34*Données!D407+Résultats!G$35*Données!E407+Résultats!G$36*Données!F407+Résultats!G$37*Données!G407+Résultats!G$38*Données!H407+Résultats!G$39*Données!I407</f>
        <v>107454.99994009934</v>
      </c>
      <c r="M407">
        <f t="shared" si="24"/>
        <v>23545.00005990066</v>
      </c>
      <c r="Q407">
        <v>100000</v>
      </c>
      <c r="R407">
        <v>1</v>
      </c>
      <c r="S407">
        <v>26</v>
      </c>
      <c r="T407">
        <v>0</v>
      </c>
      <c r="U407">
        <f t="shared" si="25"/>
        <v>12.138863895836725</v>
      </c>
      <c r="V407">
        <f t="shared" si="26"/>
        <v>8.2705250950550706</v>
      </c>
      <c r="W407">
        <v>1</v>
      </c>
      <c r="X407">
        <v>0</v>
      </c>
      <c r="Y407">
        <v>0</v>
      </c>
      <c r="Z407">
        <f>'Résultat (Ln)'!F$30+'Résultat (Ln)'!F$31*Données!S407+'Résultat (Ln)'!F$32*Données!T407+'Résultat (Ln)'!F$33*Données!U407+'Résultat (Ln)'!F$34*Données!V407+'Résultat (Ln)'!F$35*Données!W407+'Résultat (Ln)'!F$36*Données!X407+'Résultat (Ln)'!F$37*Données!Y407</f>
        <v>139642.89458417366</v>
      </c>
      <c r="AA407">
        <f t="shared" si="27"/>
        <v>-39642.894584173657</v>
      </c>
    </row>
    <row r="408" spans="1:27" x14ac:dyDescent="0.25">
      <c r="A408">
        <v>50000</v>
      </c>
      <c r="B408">
        <v>1</v>
      </c>
      <c r="C408">
        <v>10.39999961853027</v>
      </c>
      <c r="D408">
        <v>0</v>
      </c>
      <c r="E408">
        <v>75000</v>
      </c>
      <c r="F408">
        <v>6356</v>
      </c>
      <c r="G408">
        <v>0</v>
      </c>
      <c r="H408">
        <v>1</v>
      </c>
      <c r="I408">
        <v>0</v>
      </c>
      <c r="J408">
        <v>9.6400003433227539</v>
      </c>
      <c r="K408">
        <v>1</v>
      </c>
      <c r="L408">
        <f>Résultats!G$32+Résultats!G$33*Données!C408+Résultats!G$34*Données!D408+Résultats!G$35*Données!E408+Résultats!G$36*Données!F408+Résultats!G$37*Données!G408+Résultats!G$38*Données!H408+Résultats!G$39*Données!I408</f>
        <v>54220.572668539826</v>
      </c>
      <c r="M408">
        <f t="shared" si="24"/>
        <v>-4220.5726685398258</v>
      </c>
      <c r="Q408">
        <v>131000</v>
      </c>
      <c r="R408">
        <v>1</v>
      </c>
      <c r="S408">
        <v>28</v>
      </c>
      <c r="T408">
        <v>0</v>
      </c>
      <c r="U408">
        <f t="shared" si="25"/>
        <v>11.835008964139341</v>
      </c>
      <c r="V408">
        <f t="shared" si="26"/>
        <v>8.230577217146454</v>
      </c>
      <c r="W408">
        <v>1</v>
      </c>
      <c r="X408">
        <v>0</v>
      </c>
      <c r="Y408">
        <v>0</v>
      </c>
      <c r="Z408">
        <f>'Résultat (Ln)'!F$30+'Résultat (Ln)'!F$31*Données!S408+'Résultat (Ln)'!F$32*Données!T408+'Résultat (Ln)'!F$33*Données!U408+'Résultat (Ln)'!F$34*Données!V408+'Résultat (Ln)'!F$35*Données!W408+'Résultat (Ln)'!F$36*Données!X408+'Résultat (Ln)'!F$37*Données!Y408</f>
        <v>108394.7051100385</v>
      </c>
      <c r="AA408">
        <f t="shared" si="27"/>
        <v>22605.2948899615</v>
      </c>
    </row>
    <row r="409" spans="1:27" x14ac:dyDescent="0.25">
      <c r="A409">
        <v>135000</v>
      </c>
      <c r="B409">
        <v>1</v>
      </c>
      <c r="C409">
        <v>29.89999961853027</v>
      </c>
      <c r="D409">
        <v>0</v>
      </c>
      <c r="E409">
        <v>276000</v>
      </c>
      <c r="F409">
        <v>4641</v>
      </c>
      <c r="G409">
        <v>1</v>
      </c>
      <c r="H409">
        <v>0</v>
      </c>
      <c r="I409">
        <v>0</v>
      </c>
      <c r="J409">
        <v>26.70000076293945</v>
      </c>
      <c r="K409">
        <v>1</v>
      </c>
      <c r="L409">
        <f>Résultats!G$32+Résultats!G$33*Données!C409+Résultats!G$34*Données!D409+Résultats!G$35*Données!E409+Résultats!G$36*Données!F409+Résultats!G$37*Données!G409+Résultats!G$38*Données!H409+Résultats!G$39*Données!I409</f>
        <v>175795.84169248704</v>
      </c>
      <c r="M409">
        <f t="shared" si="24"/>
        <v>-40795.84169248704</v>
      </c>
      <c r="Q409">
        <v>50000</v>
      </c>
      <c r="R409">
        <v>1</v>
      </c>
      <c r="S409">
        <v>10.39999961853027</v>
      </c>
      <c r="T409">
        <v>0</v>
      </c>
      <c r="U409">
        <f t="shared" si="25"/>
        <v>11.225243392518447</v>
      </c>
      <c r="V409">
        <f t="shared" si="26"/>
        <v>8.7571545276566063</v>
      </c>
      <c r="W409">
        <v>0</v>
      </c>
      <c r="X409">
        <v>1</v>
      </c>
      <c r="Y409">
        <v>0</v>
      </c>
      <c r="Z409">
        <f>'Résultat (Ln)'!F$30+'Résultat (Ln)'!F$31*Données!S409+'Résultat (Ln)'!F$32*Données!T409+'Résultat (Ln)'!F$33*Données!U409+'Résultat (Ln)'!F$34*Données!V409+'Résultat (Ln)'!F$35*Données!W409+'Résultat (Ln)'!F$36*Données!X409+'Résultat (Ln)'!F$37*Données!Y409</f>
        <v>31599.326017928259</v>
      </c>
      <c r="AA409">
        <f t="shared" si="27"/>
        <v>18400.673982071741</v>
      </c>
    </row>
    <row r="410" spans="1:27" x14ac:dyDescent="0.25">
      <c r="A410">
        <v>224000</v>
      </c>
      <c r="B410">
        <v>1</v>
      </c>
      <c r="C410">
        <v>37.5</v>
      </c>
      <c r="D410">
        <v>0</v>
      </c>
      <c r="E410">
        <v>255000</v>
      </c>
      <c r="F410">
        <v>3413</v>
      </c>
      <c r="G410">
        <v>1</v>
      </c>
      <c r="H410">
        <v>0</v>
      </c>
      <c r="I410">
        <v>0</v>
      </c>
      <c r="J410">
        <v>30.70999908447266</v>
      </c>
      <c r="K410">
        <v>1</v>
      </c>
      <c r="L410">
        <f>Résultats!G$32+Résultats!G$33*Données!C410+Résultats!G$34*Données!D410+Résultats!G$35*Données!E410+Résultats!G$36*Données!F410+Résultats!G$37*Données!G410+Résultats!G$38*Données!H410+Résultats!G$39*Données!I410</f>
        <v>172340.1154846916</v>
      </c>
      <c r="M410">
        <f t="shared" si="24"/>
        <v>51659.884515308397</v>
      </c>
      <c r="Q410">
        <v>135000</v>
      </c>
      <c r="R410">
        <v>1</v>
      </c>
      <c r="S410">
        <v>29.89999961853027</v>
      </c>
      <c r="T410">
        <v>0</v>
      </c>
      <c r="U410">
        <f t="shared" si="25"/>
        <v>12.528156144699286</v>
      </c>
      <c r="V410">
        <f t="shared" si="26"/>
        <v>8.4426851392411759</v>
      </c>
      <c r="W410">
        <v>1</v>
      </c>
      <c r="X410">
        <v>0</v>
      </c>
      <c r="Y410">
        <v>0</v>
      </c>
      <c r="Z410">
        <f>'Résultat (Ln)'!F$30+'Résultat (Ln)'!F$31*Données!S410+'Résultat (Ln)'!F$32*Données!T410+'Résultat (Ln)'!F$33*Données!U410+'Résultat (Ln)'!F$34*Données!V410+'Résultat (Ln)'!F$35*Données!W410+'Résultat (Ln)'!F$36*Données!X410+'Résultat (Ln)'!F$37*Données!Y410</f>
        <v>190967.6219483263</v>
      </c>
      <c r="AA410">
        <f t="shared" si="27"/>
        <v>-55967.621948326298</v>
      </c>
    </row>
    <row r="411" spans="1:27" x14ac:dyDescent="0.25">
      <c r="A411">
        <v>82000</v>
      </c>
      <c r="B411">
        <v>1</v>
      </c>
      <c r="C411">
        <v>35</v>
      </c>
      <c r="D411">
        <v>0</v>
      </c>
      <c r="E411">
        <v>91000</v>
      </c>
      <c r="F411">
        <v>3708</v>
      </c>
      <c r="G411">
        <v>1</v>
      </c>
      <c r="H411">
        <v>0</v>
      </c>
      <c r="I411">
        <v>1</v>
      </c>
      <c r="J411">
        <v>17</v>
      </c>
      <c r="K411">
        <v>1</v>
      </c>
      <c r="L411">
        <f>Résultats!G$32+Résultats!G$33*Données!C411+Résultats!G$34*Données!D411+Résultats!G$35*Données!E411+Résultats!G$36*Données!F411+Résultats!G$37*Données!G411+Résultats!G$38*Données!H411+Résultats!G$39*Données!I411</f>
        <v>103385.20760445438</v>
      </c>
      <c r="M411">
        <f t="shared" si="24"/>
        <v>-21385.207604454379</v>
      </c>
      <c r="Q411">
        <v>224000</v>
      </c>
      <c r="R411">
        <v>1</v>
      </c>
      <c r="S411">
        <v>37.5</v>
      </c>
      <c r="T411">
        <v>0</v>
      </c>
      <c r="U411">
        <f t="shared" si="25"/>
        <v>12.449018824140563</v>
      </c>
      <c r="V411">
        <f t="shared" si="26"/>
        <v>8.1353469489067063</v>
      </c>
      <c r="W411">
        <v>1</v>
      </c>
      <c r="X411">
        <v>0</v>
      </c>
      <c r="Y411">
        <v>0</v>
      </c>
      <c r="Z411">
        <f>'Résultat (Ln)'!F$30+'Résultat (Ln)'!F$31*Données!S411+'Résultat (Ln)'!F$32*Données!T411+'Résultat (Ln)'!F$33*Données!U411+'Résultat (Ln)'!F$34*Données!V411+'Résultat (Ln)'!F$35*Données!W411+'Résultat (Ln)'!F$36*Données!X411+'Résultat (Ln)'!F$37*Données!Y411</f>
        <v>183152.420651839</v>
      </c>
      <c r="AA411">
        <f t="shared" si="27"/>
        <v>40847.579348161002</v>
      </c>
    </row>
    <row r="412" spans="1:27" x14ac:dyDescent="0.25">
      <c r="A412">
        <v>159000</v>
      </c>
      <c r="B412">
        <v>1</v>
      </c>
      <c r="C412">
        <v>29</v>
      </c>
      <c r="D412">
        <v>0</v>
      </c>
      <c r="E412">
        <v>199000</v>
      </c>
      <c r="F412">
        <v>3102</v>
      </c>
      <c r="G412">
        <v>1</v>
      </c>
      <c r="H412">
        <v>0</v>
      </c>
      <c r="I412">
        <v>0</v>
      </c>
      <c r="J412">
        <v>24</v>
      </c>
      <c r="K412">
        <v>1</v>
      </c>
      <c r="L412">
        <f>Résultats!G$32+Résultats!G$33*Données!C412+Résultats!G$34*Données!D412+Résultats!G$35*Données!E412+Résultats!G$36*Données!F412+Résultats!G$37*Données!G412+Résultats!G$38*Données!H412+Résultats!G$39*Données!I412</f>
        <v>135824.38234577409</v>
      </c>
      <c r="M412">
        <f t="shared" si="24"/>
        <v>23175.617654225905</v>
      </c>
      <c r="Q412">
        <v>82000</v>
      </c>
      <c r="R412">
        <v>1</v>
      </c>
      <c r="S412">
        <v>35</v>
      </c>
      <c r="T412">
        <v>0</v>
      </c>
      <c r="U412">
        <f t="shared" si="25"/>
        <v>11.418614785498987</v>
      </c>
      <c r="V412">
        <f t="shared" si="26"/>
        <v>8.2182479266857449</v>
      </c>
      <c r="W412">
        <v>1</v>
      </c>
      <c r="X412">
        <v>0</v>
      </c>
      <c r="Y412">
        <v>1</v>
      </c>
      <c r="Z412">
        <f>'Résultat (Ln)'!F$30+'Résultat (Ln)'!F$31*Données!S412+'Résultat (Ln)'!F$32*Données!T412+'Résultat (Ln)'!F$33*Données!U412+'Résultat (Ln)'!F$34*Données!V412+'Résultat (Ln)'!F$35*Données!W412+'Résultat (Ln)'!F$36*Données!X412+'Résultat (Ln)'!F$37*Données!Y412</f>
        <v>86054.528269997551</v>
      </c>
      <c r="AA412">
        <f t="shared" si="27"/>
        <v>-4054.5282699975505</v>
      </c>
    </row>
    <row r="413" spans="1:27" x14ac:dyDescent="0.25">
      <c r="A413">
        <v>102000</v>
      </c>
      <c r="B413">
        <v>1</v>
      </c>
      <c r="C413">
        <v>35</v>
      </c>
      <c r="D413">
        <v>1</v>
      </c>
      <c r="E413">
        <v>128000</v>
      </c>
      <c r="F413">
        <v>1542</v>
      </c>
      <c r="G413">
        <v>1</v>
      </c>
      <c r="H413">
        <v>1</v>
      </c>
      <c r="I413">
        <v>0</v>
      </c>
      <c r="J413">
        <v>18</v>
      </c>
      <c r="K413">
        <v>0</v>
      </c>
      <c r="L413">
        <f>Résultats!G$32+Résultats!G$33*Données!C413+Résultats!G$34*Données!D413+Résultats!G$35*Données!E413+Résultats!G$36*Données!F413+Résultats!G$37*Données!G413+Résultats!G$38*Données!H413+Résultats!G$39*Données!I413</f>
        <v>109762.74649025856</v>
      </c>
      <c r="M413">
        <f t="shared" si="24"/>
        <v>-7762.7464902585634</v>
      </c>
      <c r="Q413">
        <v>159000</v>
      </c>
      <c r="R413">
        <v>1</v>
      </c>
      <c r="S413">
        <v>29</v>
      </c>
      <c r="T413">
        <v>0</v>
      </c>
      <c r="U413">
        <f t="shared" si="25"/>
        <v>12.201060103706629</v>
      </c>
      <c r="V413">
        <f t="shared" si="26"/>
        <v>8.0398023437364845</v>
      </c>
      <c r="W413">
        <v>1</v>
      </c>
      <c r="X413">
        <v>0</v>
      </c>
      <c r="Y413">
        <v>0</v>
      </c>
      <c r="Z413">
        <f>'Résultat (Ln)'!F$30+'Résultat (Ln)'!F$31*Données!S413+'Résultat (Ln)'!F$32*Données!T413+'Résultat (Ln)'!F$33*Données!U413+'Résultat (Ln)'!F$34*Données!V413+'Résultat (Ln)'!F$35*Données!W413+'Résultat (Ln)'!F$36*Données!X413+'Résultat (Ln)'!F$37*Données!Y413</f>
        <v>143505.37272567968</v>
      </c>
      <c r="AA413">
        <f t="shared" si="27"/>
        <v>15494.627274320315</v>
      </c>
    </row>
    <row r="414" spans="1:27" x14ac:dyDescent="0.25">
      <c r="A414">
        <v>185000</v>
      </c>
      <c r="B414">
        <v>1</v>
      </c>
      <c r="C414">
        <v>34.099998474121087</v>
      </c>
      <c r="D414">
        <v>0</v>
      </c>
      <c r="E414">
        <v>205000</v>
      </c>
      <c r="F414">
        <v>7950</v>
      </c>
      <c r="G414">
        <v>1</v>
      </c>
      <c r="H414">
        <v>0</v>
      </c>
      <c r="I414">
        <v>0</v>
      </c>
      <c r="J414">
        <v>25.10000038146973</v>
      </c>
      <c r="K414">
        <v>0</v>
      </c>
      <c r="L414">
        <f>Résultats!G$32+Résultats!G$33*Données!C414+Résultats!G$34*Données!D414+Résultats!G$35*Données!E414+Résultats!G$36*Données!F414+Résultats!G$37*Données!G414+Résultats!G$38*Données!H414+Résultats!G$39*Données!I414</f>
        <v>153878.71228776258</v>
      </c>
      <c r="M414">
        <f t="shared" si="24"/>
        <v>31121.287712237419</v>
      </c>
      <c r="Q414">
        <v>102000</v>
      </c>
      <c r="R414">
        <v>1</v>
      </c>
      <c r="S414">
        <v>35</v>
      </c>
      <c r="T414">
        <v>1</v>
      </c>
      <c r="U414">
        <f t="shared" si="25"/>
        <v>11.759785542901755</v>
      </c>
      <c r="V414">
        <f t="shared" si="26"/>
        <v>7.3408355541232746</v>
      </c>
      <c r="W414">
        <v>1</v>
      </c>
      <c r="X414">
        <v>1</v>
      </c>
      <c r="Y414">
        <v>0</v>
      </c>
      <c r="Z414">
        <f>'Résultat (Ln)'!F$30+'Résultat (Ln)'!F$31*Données!S414+'Résultat (Ln)'!F$32*Données!T414+'Résultat (Ln)'!F$33*Données!U414+'Résultat (Ln)'!F$34*Données!V414+'Résultat (Ln)'!F$35*Données!W414+'Résultat (Ln)'!F$36*Données!X414+'Résultat (Ln)'!F$37*Données!Y414</f>
        <v>88103.137175238808</v>
      </c>
      <c r="AA414">
        <f t="shared" si="27"/>
        <v>13896.862824761192</v>
      </c>
    </row>
    <row r="415" spans="1:27" x14ac:dyDescent="0.25">
      <c r="A415">
        <v>163000</v>
      </c>
      <c r="B415">
        <v>1</v>
      </c>
      <c r="C415">
        <v>36.400001525878913</v>
      </c>
      <c r="D415">
        <v>0</v>
      </c>
      <c r="E415">
        <v>290000</v>
      </c>
      <c r="F415">
        <v>3829</v>
      </c>
      <c r="G415">
        <v>1</v>
      </c>
      <c r="H415">
        <v>0</v>
      </c>
      <c r="I415">
        <v>0</v>
      </c>
      <c r="J415">
        <v>30.440000534057621</v>
      </c>
      <c r="K415">
        <v>1</v>
      </c>
      <c r="L415">
        <f>Résultats!G$32+Résultats!G$33*Données!C415+Résultats!G$34*Données!D415+Résultats!G$35*Données!E415+Résultats!G$36*Données!F415+Résultats!G$37*Données!G415+Résultats!G$38*Données!H415+Résultats!G$39*Données!I415</f>
        <v>188226.06376809013</v>
      </c>
      <c r="M415">
        <f t="shared" si="24"/>
        <v>-25226.063768090127</v>
      </c>
      <c r="Q415">
        <v>185000</v>
      </c>
      <c r="R415">
        <v>1</v>
      </c>
      <c r="S415">
        <v>34.099998474121087</v>
      </c>
      <c r="T415">
        <v>0</v>
      </c>
      <c r="U415">
        <f t="shared" si="25"/>
        <v>12.230765258120545</v>
      </c>
      <c r="V415">
        <f t="shared" si="26"/>
        <v>8.9809272076483779</v>
      </c>
      <c r="W415">
        <v>1</v>
      </c>
      <c r="X415">
        <v>0</v>
      </c>
      <c r="Y415">
        <v>0</v>
      </c>
      <c r="Z415">
        <f>'Résultat (Ln)'!F$30+'Résultat (Ln)'!F$31*Données!S415+'Résultat (Ln)'!F$32*Données!T415+'Résultat (Ln)'!F$33*Données!U415+'Résultat (Ln)'!F$34*Données!V415+'Résultat (Ln)'!F$35*Données!W415+'Résultat (Ln)'!F$36*Données!X415+'Résultat (Ln)'!F$37*Données!Y415</f>
        <v>179316.6336673811</v>
      </c>
      <c r="AA415">
        <f t="shared" si="27"/>
        <v>5683.366332618898</v>
      </c>
    </row>
    <row r="416" spans="1:27" x14ac:dyDescent="0.25">
      <c r="A416">
        <v>175000</v>
      </c>
      <c r="B416">
        <v>1</v>
      </c>
      <c r="C416">
        <v>22</v>
      </c>
      <c r="D416">
        <v>0</v>
      </c>
      <c r="E416">
        <v>235000</v>
      </c>
      <c r="F416">
        <v>5568</v>
      </c>
      <c r="G416">
        <v>1</v>
      </c>
      <c r="H416">
        <v>0</v>
      </c>
      <c r="I416">
        <v>1</v>
      </c>
      <c r="J416">
        <v>21</v>
      </c>
      <c r="K416">
        <v>1</v>
      </c>
      <c r="L416">
        <f>Résultats!G$32+Résultats!G$33*Données!C416+Résultats!G$34*Données!D416+Résultats!G$35*Données!E416+Résultats!G$36*Données!F416+Résultats!G$37*Données!G416+Résultats!G$38*Données!H416+Résultats!G$39*Données!I416</f>
        <v>159298.04786508696</v>
      </c>
      <c r="M416">
        <f t="shared" si="24"/>
        <v>15701.952134913037</v>
      </c>
      <c r="Q416">
        <v>163000</v>
      </c>
      <c r="R416">
        <v>1</v>
      </c>
      <c r="S416">
        <v>36.400001525878913</v>
      </c>
      <c r="T416">
        <v>0</v>
      </c>
      <c r="U416">
        <f t="shared" si="25"/>
        <v>12.577636201962656</v>
      </c>
      <c r="V416">
        <f t="shared" si="26"/>
        <v>8.2503589514772937</v>
      </c>
      <c r="W416">
        <v>1</v>
      </c>
      <c r="X416">
        <v>0</v>
      </c>
      <c r="Y416">
        <v>0</v>
      </c>
      <c r="Z416">
        <f>'Résultat (Ln)'!F$30+'Résultat (Ln)'!F$31*Données!S416+'Résultat (Ln)'!F$32*Données!T416+'Résultat (Ln)'!F$33*Données!U416+'Résultat (Ln)'!F$34*Données!V416+'Résultat (Ln)'!F$35*Données!W416+'Résultat (Ln)'!F$36*Données!X416+'Résultat (Ln)'!F$37*Données!Y416</f>
        <v>198820.99291621658</v>
      </c>
      <c r="AA416">
        <f t="shared" si="27"/>
        <v>-35820.992916216579</v>
      </c>
    </row>
    <row r="417" spans="1:27" x14ac:dyDescent="0.25">
      <c r="A417">
        <v>259000</v>
      </c>
      <c r="B417">
        <v>1</v>
      </c>
      <c r="C417">
        <v>40</v>
      </c>
      <c r="D417">
        <v>0</v>
      </c>
      <c r="E417">
        <v>288000</v>
      </c>
      <c r="F417">
        <v>10408</v>
      </c>
      <c r="G417">
        <v>0</v>
      </c>
      <c r="H417">
        <v>0</v>
      </c>
      <c r="I417">
        <v>1</v>
      </c>
      <c r="J417">
        <v>26</v>
      </c>
      <c r="K417">
        <v>0</v>
      </c>
      <c r="L417">
        <f>Résultats!G$32+Résultats!G$33*Données!C417+Résultats!G$34*Données!D417+Résultats!G$35*Données!E417+Résultats!G$36*Données!F417+Résultats!G$37*Données!G417+Résultats!G$38*Données!H417+Résultats!G$39*Données!I417</f>
        <v>207084.91029806455</v>
      </c>
      <c r="M417">
        <f t="shared" si="24"/>
        <v>51915.089701935445</v>
      </c>
      <c r="Q417">
        <v>175000</v>
      </c>
      <c r="R417">
        <v>1</v>
      </c>
      <c r="S417">
        <v>22</v>
      </c>
      <c r="T417">
        <v>0</v>
      </c>
      <c r="U417">
        <f t="shared" si="25"/>
        <v>12.367340793126296</v>
      </c>
      <c r="V417">
        <f t="shared" si="26"/>
        <v>8.6247912020142561</v>
      </c>
      <c r="W417">
        <v>1</v>
      </c>
      <c r="X417">
        <v>0</v>
      </c>
      <c r="Y417">
        <v>1</v>
      </c>
      <c r="Z417">
        <f>'Résultat (Ln)'!F$30+'Résultat (Ln)'!F$31*Données!S417+'Résultat (Ln)'!F$32*Données!T417+'Résultat (Ln)'!F$33*Données!U417+'Résultat (Ln)'!F$34*Données!V417+'Résultat (Ln)'!F$35*Données!W417+'Résultat (Ln)'!F$36*Données!X417+'Résultat (Ln)'!F$37*Données!Y417</f>
        <v>183269.04589926207</v>
      </c>
      <c r="AA417">
        <f t="shared" si="27"/>
        <v>-8269.0458992620697</v>
      </c>
    </row>
    <row r="418" spans="1:27" x14ac:dyDescent="0.25">
      <c r="A418">
        <v>150000</v>
      </c>
      <c r="B418">
        <v>1</v>
      </c>
      <c r="C418">
        <v>28</v>
      </c>
      <c r="D418">
        <v>0</v>
      </c>
      <c r="E418">
        <v>210000</v>
      </c>
      <c r="F418">
        <v>4767</v>
      </c>
      <c r="G418">
        <v>1</v>
      </c>
      <c r="H418">
        <v>0</v>
      </c>
      <c r="I418">
        <v>0</v>
      </c>
      <c r="J418">
        <v>18</v>
      </c>
      <c r="K418">
        <v>1</v>
      </c>
      <c r="L418">
        <f>Résultats!G$32+Résultats!G$33*Données!C418+Résultats!G$34*Données!D418+Résultats!G$35*Données!E418+Résultats!G$36*Données!F418+Résultats!G$37*Données!G418+Résultats!G$38*Données!H418+Résultats!G$39*Données!I418</f>
        <v>143038.61388603863</v>
      </c>
      <c r="M418">
        <f t="shared" si="24"/>
        <v>6961.3861139613728</v>
      </c>
      <c r="Q418">
        <v>259000</v>
      </c>
      <c r="R418">
        <v>1</v>
      </c>
      <c r="S418">
        <v>40</v>
      </c>
      <c r="T418">
        <v>0</v>
      </c>
      <c r="U418">
        <f t="shared" si="25"/>
        <v>12.570715759118084</v>
      </c>
      <c r="V418">
        <f t="shared" si="26"/>
        <v>9.250330020192342</v>
      </c>
      <c r="W418">
        <v>0</v>
      </c>
      <c r="X418">
        <v>0</v>
      </c>
      <c r="Y418">
        <v>1</v>
      </c>
      <c r="Z418">
        <f>'Résultat (Ln)'!F$30+'Résultat (Ln)'!F$31*Données!S418+'Résultat (Ln)'!F$32*Données!T418+'Résultat (Ln)'!F$33*Données!U418+'Résultat (Ln)'!F$34*Données!V418+'Résultat (Ln)'!F$35*Données!W418+'Résultat (Ln)'!F$36*Données!X418+'Résultat (Ln)'!F$37*Données!Y418</f>
        <v>240096.37928985339</v>
      </c>
      <c r="AA418">
        <f t="shared" si="27"/>
        <v>18903.620710146613</v>
      </c>
    </row>
    <row r="419" spans="1:27" x14ac:dyDescent="0.25">
      <c r="A419">
        <v>100000</v>
      </c>
      <c r="B419">
        <v>1</v>
      </c>
      <c r="C419">
        <v>36</v>
      </c>
      <c r="D419">
        <v>0</v>
      </c>
      <c r="E419">
        <v>190000</v>
      </c>
      <c r="F419">
        <v>3411</v>
      </c>
      <c r="G419">
        <v>1</v>
      </c>
      <c r="H419">
        <v>0</v>
      </c>
      <c r="I419">
        <v>0</v>
      </c>
      <c r="J419">
        <v>25</v>
      </c>
      <c r="K419">
        <v>1</v>
      </c>
      <c r="L419">
        <f>Résultats!G$32+Résultats!G$33*Données!C419+Résultats!G$34*Données!D419+Résultats!G$35*Données!E419+Résultats!G$36*Données!F419+Résultats!G$37*Données!G419+Résultats!G$38*Données!H419+Résultats!G$39*Données!I419</f>
        <v>140261.27187756318</v>
      </c>
      <c r="M419">
        <f t="shared" si="24"/>
        <v>-40261.27187756318</v>
      </c>
      <c r="Q419">
        <v>150000</v>
      </c>
      <c r="R419">
        <v>1</v>
      </c>
      <c r="S419">
        <v>28</v>
      </c>
      <c r="T419">
        <v>0</v>
      </c>
      <c r="U419">
        <f t="shared" si="25"/>
        <v>12.254862809699606</v>
      </c>
      <c r="V419">
        <f t="shared" si="26"/>
        <v>8.4694724552048264</v>
      </c>
      <c r="W419">
        <v>1</v>
      </c>
      <c r="X419">
        <v>0</v>
      </c>
      <c r="Y419">
        <v>0</v>
      </c>
      <c r="Z419">
        <f>'Résultat (Ln)'!F$30+'Résultat (Ln)'!F$31*Données!S419+'Résultat (Ln)'!F$32*Données!T419+'Résultat (Ln)'!F$33*Données!U419+'Résultat (Ln)'!F$34*Données!V419+'Résultat (Ln)'!F$35*Données!W419+'Résultat (Ln)'!F$36*Données!X419+'Résultat (Ln)'!F$37*Données!Y419</f>
        <v>160101.18225241662</v>
      </c>
      <c r="AA419">
        <f t="shared" si="27"/>
        <v>-10101.18225241662</v>
      </c>
    </row>
    <row r="420" spans="1:27" x14ac:dyDescent="0.25">
      <c r="A420">
        <v>152000</v>
      </c>
      <c r="B420">
        <v>1</v>
      </c>
      <c r="C420">
        <v>38</v>
      </c>
      <c r="D420">
        <v>0</v>
      </c>
      <c r="E420">
        <v>190000</v>
      </c>
      <c r="F420">
        <v>5952</v>
      </c>
      <c r="G420">
        <v>1</v>
      </c>
      <c r="H420">
        <v>0</v>
      </c>
      <c r="I420">
        <v>0</v>
      </c>
      <c r="J420">
        <v>28</v>
      </c>
      <c r="K420">
        <v>0</v>
      </c>
      <c r="L420">
        <f>Résultats!G$32+Résultats!G$33*Données!C420+Résultats!G$34*Données!D420+Résultats!G$35*Données!E420+Résultats!G$36*Données!F420+Résultats!G$37*Données!G420+Résultats!G$38*Données!H420+Résultats!G$39*Données!I420</f>
        <v>147482.53033218419</v>
      </c>
      <c r="M420">
        <f t="shared" si="24"/>
        <v>4517.469667815807</v>
      </c>
      <c r="Q420">
        <v>100000</v>
      </c>
      <c r="R420">
        <v>1</v>
      </c>
      <c r="S420">
        <v>36</v>
      </c>
      <c r="T420">
        <v>0</v>
      </c>
      <c r="U420">
        <f t="shared" si="25"/>
        <v>12.154779351142624</v>
      </c>
      <c r="V420">
        <f t="shared" si="26"/>
        <v>8.1347607824186454</v>
      </c>
      <c r="W420">
        <v>1</v>
      </c>
      <c r="X420">
        <v>0</v>
      </c>
      <c r="Y420">
        <v>0</v>
      </c>
      <c r="Z420">
        <f>'Résultat (Ln)'!F$30+'Résultat (Ln)'!F$31*Données!S420+'Résultat (Ln)'!F$32*Données!T420+'Résultat (Ln)'!F$33*Données!U420+'Résultat (Ln)'!F$34*Données!V420+'Résultat (Ln)'!F$35*Données!W420+'Résultat (Ln)'!F$36*Données!X420+'Résultat (Ln)'!F$37*Données!Y420</f>
        <v>149761.75273186582</v>
      </c>
      <c r="AA420">
        <f t="shared" si="27"/>
        <v>-49761.752731865825</v>
      </c>
    </row>
    <row r="421" spans="1:27" x14ac:dyDescent="0.25">
      <c r="A421">
        <v>180000</v>
      </c>
      <c r="B421">
        <v>1</v>
      </c>
      <c r="C421">
        <v>23</v>
      </c>
      <c r="D421">
        <v>0</v>
      </c>
      <c r="E421">
        <v>273000</v>
      </c>
      <c r="F421">
        <v>5667</v>
      </c>
      <c r="G421">
        <v>1</v>
      </c>
      <c r="H421">
        <v>0</v>
      </c>
      <c r="I421">
        <v>0</v>
      </c>
      <c r="J421">
        <v>22</v>
      </c>
      <c r="K421">
        <v>1</v>
      </c>
      <c r="L421">
        <f>Résultats!G$32+Résultats!G$33*Données!C421+Résultats!G$34*Données!D421+Résultats!G$35*Données!E421+Résultats!G$36*Données!F421+Résultats!G$37*Données!G421+Résultats!G$38*Données!H421+Résultats!G$39*Données!I421</f>
        <v>168457.32654600529</v>
      </c>
      <c r="M421">
        <f t="shared" si="24"/>
        <v>11542.673453994707</v>
      </c>
      <c r="Q421">
        <v>152000</v>
      </c>
      <c r="R421">
        <v>1</v>
      </c>
      <c r="S421">
        <v>38</v>
      </c>
      <c r="T421">
        <v>0</v>
      </c>
      <c r="U421">
        <f t="shared" si="25"/>
        <v>12.154779351142624</v>
      </c>
      <c r="V421">
        <f t="shared" si="26"/>
        <v>8.6914825765129287</v>
      </c>
      <c r="W421">
        <v>1</v>
      </c>
      <c r="X421">
        <v>0</v>
      </c>
      <c r="Y421">
        <v>0</v>
      </c>
      <c r="Z421">
        <f>'Résultat (Ln)'!F$30+'Résultat (Ln)'!F$31*Données!S421+'Résultat (Ln)'!F$32*Données!T421+'Résultat (Ln)'!F$33*Données!U421+'Résultat (Ln)'!F$34*Données!V421+'Résultat (Ln)'!F$35*Données!W421+'Résultat (Ln)'!F$36*Données!X421+'Résultat (Ln)'!F$37*Données!Y421</f>
        <v>167819.53880124271</v>
      </c>
      <c r="AA421">
        <f t="shared" si="27"/>
        <v>-15819.538801242714</v>
      </c>
    </row>
    <row r="422" spans="1:27" x14ac:dyDescent="0.25">
      <c r="A422">
        <v>90000</v>
      </c>
      <c r="B422">
        <v>1</v>
      </c>
      <c r="C422">
        <v>20</v>
      </c>
      <c r="D422">
        <v>0</v>
      </c>
      <c r="E422">
        <v>100000</v>
      </c>
      <c r="F422">
        <v>9537</v>
      </c>
      <c r="G422">
        <v>1</v>
      </c>
      <c r="H422">
        <v>0</v>
      </c>
      <c r="I422">
        <v>0</v>
      </c>
      <c r="J422">
        <v>9</v>
      </c>
      <c r="K422">
        <v>1</v>
      </c>
      <c r="L422">
        <f>Résultats!G$32+Résultats!G$33*Données!C422+Résultats!G$34*Données!D422+Résultats!G$35*Données!E422+Résultats!G$36*Données!F422+Résultats!G$37*Données!G422+Résultats!G$38*Données!H422+Résultats!G$39*Données!I422</f>
        <v>91727.637033763822</v>
      </c>
      <c r="M422">
        <f t="shared" si="24"/>
        <v>-1727.6370337638218</v>
      </c>
      <c r="Q422">
        <v>180000</v>
      </c>
      <c r="R422">
        <v>1</v>
      </c>
      <c r="S422">
        <v>23</v>
      </c>
      <c r="T422">
        <v>0</v>
      </c>
      <c r="U422">
        <f t="shared" si="25"/>
        <v>12.517227074167097</v>
      </c>
      <c r="V422">
        <f t="shared" si="26"/>
        <v>8.6424151561696192</v>
      </c>
      <c r="W422">
        <v>1</v>
      </c>
      <c r="X422">
        <v>0</v>
      </c>
      <c r="Y422">
        <v>0</v>
      </c>
      <c r="Z422">
        <f>'Résultat (Ln)'!F$30+'Résultat (Ln)'!F$31*Données!S422+'Résultat (Ln)'!F$32*Données!T422+'Résultat (Ln)'!F$33*Données!U422+'Résultat (Ln)'!F$34*Données!V422+'Résultat (Ln)'!F$35*Données!W422+'Résultat (Ln)'!F$36*Données!X422+'Résultat (Ln)'!F$37*Données!Y422</f>
        <v>186965.57850643573</v>
      </c>
      <c r="AA422">
        <f t="shared" si="27"/>
        <v>-6965.5785064357333</v>
      </c>
    </row>
    <row r="423" spans="1:27" x14ac:dyDescent="0.25">
      <c r="A423">
        <v>360000</v>
      </c>
      <c r="B423">
        <v>1</v>
      </c>
      <c r="C423">
        <v>5.5999999046325684</v>
      </c>
      <c r="D423">
        <v>0</v>
      </c>
      <c r="E423">
        <v>450000</v>
      </c>
      <c r="F423">
        <v>72529</v>
      </c>
      <c r="G423">
        <v>1</v>
      </c>
      <c r="H423">
        <v>0</v>
      </c>
      <c r="I423">
        <v>1</v>
      </c>
      <c r="J423">
        <v>5.3000001907348633</v>
      </c>
      <c r="K423">
        <v>1</v>
      </c>
      <c r="L423">
        <f>Résultats!G$32+Résultats!G$33*Données!C423+Résultats!G$34*Données!D423+Résultats!G$35*Données!E423+Résultats!G$36*Données!F423+Résultats!G$37*Données!G423+Résultats!G$38*Données!H423+Résultats!G$39*Données!I423</f>
        <v>370610.98610099917</v>
      </c>
      <c r="M423">
        <f t="shared" si="24"/>
        <v>-10610.986100999173</v>
      </c>
      <c r="Q423">
        <v>90000</v>
      </c>
      <c r="R423">
        <v>1</v>
      </c>
      <c r="S423">
        <v>20</v>
      </c>
      <c r="T423">
        <v>0</v>
      </c>
      <c r="U423">
        <f t="shared" si="25"/>
        <v>11.512925464970229</v>
      </c>
      <c r="V423">
        <f t="shared" si="26"/>
        <v>9.1629342495789121</v>
      </c>
      <c r="W423">
        <v>1</v>
      </c>
      <c r="X423">
        <v>0</v>
      </c>
      <c r="Y423">
        <v>0</v>
      </c>
      <c r="Z423">
        <f>'Résultat (Ln)'!F$30+'Résultat (Ln)'!F$31*Données!S423+'Résultat (Ln)'!F$32*Données!T423+'Résultat (Ln)'!F$33*Données!U423+'Résultat (Ln)'!F$34*Données!V423+'Résultat (Ln)'!F$35*Données!W423+'Résultat (Ln)'!F$36*Données!X423+'Résultat (Ln)'!F$37*Données!Y423</f>
        <v>90241.146460585631</v>
      </c>
      <c r="AA423">
        <f t="shared" si="27"/>
        <v>-241.14646058563085</v>
      </c>
    </row>
    <row r="424" spans="1:27" x14ac:dyDescent="0.25">
      <c r="A424">
        <v>185000</v>
      </c>
      <c r="B424">
        <v>1</v>
      </c>
      <c r="C424">
        <v>26.10000038146973</v>
      </c>
      <c r="D424">
        <v>0</v>
      </c>
      <c r="E424">
        <v>350000</v>
      </c>
      <c r="F424">
        <v>6700</v>
      </c>
      <c r="G424">
        <v>1</v>
      </c>
      <c r="H424">
        <v>0</v>
      </c>
      <c r="I424">
        <v>0</v>
      </c>
      <c r="J424">
        <v>23.39999961853027</v>
      </c>
      <c r="K424">
        <v>1</v>
      </c>
      <c r="L424">
        <f>Résultats!G$32+Résultats!G$33*Données!C424+Résultats!G$34*Données!D424+Résultats!G$35*Données!E424+Résultats!G$36*Données!F424+Résultats!G$37*Données!G424+Résultats!G$38*Données!H424+Résultats!G$39*Données!I424</f>
        <v>209975.34119607069</v>
      </c>
      <c r="M424">
        <f t="shared" si="24"/>
        <v>-24975.341196070687</v>
      </c>
      <c r="Q424">
        <v>360000</v>
      </c>
      <c r="R424">
        <v>1</v>
      </c>
      <c r="S424">
        <v>5.5999999046325684</v>
      </c>
      <c r="T424">
        <v>0</v>
      </c>
      <c r="U424">
        <f t="shared" si="25"/>
        <v>13.017002861746503</v>
      </c>
      <c r="V424">
        <f t="shared" si="26"/>
        <v>11.191741760864094</v>
      </c>
      <c r="W424">
        <v>1</v>
      </c>
      <c r="X424">
        <v>0</v>
      </c>
      <c r="Y424">
        <v>1</v>
      </c>
      <c r="Z424">
        <f>'Résultat (Ln)'!F$30+'Résultat (Ln)'!F$31*Données!S424+'Résultat (Ln)'!F$32*Données!T424+'Résultat (Ln)'!F$33*Données!U424+'Résultat (Ln)'!F$34*Données!V424+'Résultat (Ln)'!F$35*Données!W424+'Résultat (Ln)'!F$36*Données!X424+'Résultat (Ln)'!F$37*Données!Y424</f>
        <v>304860.63100322348</v>
      </c>
      <c r="AA424">
        <f t="shared" si="27"/>
        <v>55139.368996776524</v>
      </c>
    </row>
    <row r="425" spans="1:27" x14ac:dyDescent="0.25">
      <c r="A425">
        <v>44000</v>
      </c>
      <c r="B425">
        <v>1</v>
      </c>
      <c r="C425">
        <v>15.5</v>
      </c>
      <c r="D425">
        <v>0</v>
      </c>
      <c r="E425">
        <v>74000</v>
      </c>
      <c r="F425">
        <v>4166</v>
      </c>
      <c r="G425">
        <v>0</v>
      </c>
      <c r="H425">
        <v>0</v>
      </c>
      <c r="I425">
        <v>0</v>
      </c>
      <c r="J425">
        <v>13.32999992370606</v>
      </c>
      <c r="K425">
        <v>0</v>
      </c>
      <c r="L425">
        <f>Résultats!G$32+Résultats!G$33*Données!C425+Résultats!G$34*Données!D425+Résultats!G$35*Données!E425+Résultats!G$36*Données!F425+Résultats!G$37*Données!G425+Résultats!G$38*Données!H425+Résultats!G$39*Données!I425</f>
        <v>56993.360919722749</v>
      </c>
      <c r="M425">
        <f t="shared" si="24"/>
        <v>-12993.360919722749</v>
      </c>
      <c r="Q425">
        <v>185000</v>
      </c>
      <c r="R425">
        <v>1</v>
      </c>
      <c r="S425">
        <v>26.10000038146973</v>
      </c>
      <c r="T425">
        <v>0</v>
      </c>
      <c r="U425">
        <f t="shared" si="25"/>
        <v>12.765688433465597</v>
      </c>
      <c r="V425">
        <f t="shared" si="26"/>
        <v>8.8098628053790566</v>
      </c>
      <c r="W425">
        <v>1</v>
      </c>
      <c r="X425">
        <v>0</v>
      </c>
      <c r="Y425">
        <v>0</v>
      </c>
      <c r="Z425">
        <f>'Résultat (Ln)'!F$30+'Résultat (Ln)'!F$31*Données!S425+'Résultat (Ln)'!F$32*Données!T425+'Résultat (Ln)'!F$33*Données!U425+'Résultat (Ln)'!F$34*Données!V425+'Résultat (Ln)'!F$35*Données!W425+'Résultat (Ln)'!F$36*Données!X425+'Résultat (Ln)'!F$37*Données!Y425</f>
        <v>222084.06420205015</v>
      </c>
      <c r="AA425">
        <f t="shared" si="27"/>
        <v>-37084.064202050155</v>
      </c>
    </row>
    <row r="426" spans="1:27" x14ac:dyDescent="0.25">
      <c r="A426">
        <v>137000</v>
      </c>
      <c r="B426">
        <v>1</v>
      </c>
      <c r="C426">
        <v>42</v>
      </c>
      <c r="D426">
        <v>0</v>
      </c>
      <c r="E426">
        <v>153000</v>
      </c>
      <c r="F426">
        <v>2137</v>
      </c>
      <c r="G426">
        <v>0</v>
      </c>
      <c r="H426">
        <v>0</v>
      </c>
      <c r="I426">
        <v>0</v>
      </c>
      <c r="J426">
        <v>15</v>
      </c>
      <c r="K426">
        <v>0</v>
      </c>
      <c r="L426">
        <f>Résultats!G$32+Résultats!G$33*Données!C426+Résultats!G$34*Données!D426+Résultats!G$35*Données!E426+Résultats!G$36*Données!F426+Résultats!G$37*Données!G426+Résultats!G$38*Données!H426+Résultats!G$39*Données!I426</f>
        <v>120390.66362636109</v>
      </c>
      <c r="M426">
        <f t="shared" si="24"/>
        <v>16609.336373638915</v>
      </c>
      <c r="Q426">
        <v>44000</v>
      </c>
      <c r="R426">
        <v>1</v>
      </c>
      <c r="S426">
        <v>15.5</v>
      </c>
      <c r="T426">
        <v>0</v>
      </c>
      <c r="U426">
        <f t="shared" si="25"/>
        <v>11.211820372186306</v>
      </c>
      <c r="V426">
        <f t="shared" si="26"/>
        <v>8.334711621820917</v>
      </c>
      <c r="W426">
        <v>0</v>
      </c>
      <c r="X426">
        <v>0</v>
      </c>
      <c r="Y426">
        <v>0</v>
      </c>
      <c r="Z426">
        <f>'Résultat (Ln)'!F$30+'Résultat (Ln)'!F$31*Données!S426+'Résultat (Ln)'!F$32*Données!T426+'Résultat (Ln)'!F$33*Données!U426+'Résultat (Ln)'!F$34*Données!V426+'Résultat (Ln)'!F$35*Données!W426+'Résultat (Ln)'!F$36*Données!X426+'Résultat (Ln)'!F$37*Données!Y426</f>
        <v>24722.639992142067</v>
      </c>
      <c r="AA426">
        <f t="shared" si="27"/>
        <v>19277.360007857933</v>
      </c>
    </row>
    <row r="427" spans="1:27" x14ac:dyDescent="0.25">
      <c r="A427">
        <v>81000</v>
      </c>
      <c r="B427">
        <v>1</v>
      </c>
      <c r="C427">
        <v>40.799999237060547</v>
      </c>
      <c r="D427">
        <v>0</v>
      </c>
      <c r="E427">
        <v>101000</v>
      </c>
      <c r="F427">
        <v>2957</v>
      </c>
      <c r="G427">
        <v>1</v>
      </c>
      <c r="H427">
        <v>0</v>
      </c>
      <c r="I427">
        <v>0</v>
      </c>
      <c r="J427">
        <v>29.89999961853027</v>
      </c>
      <c r="K427">
        <v>1</v>
      </c>
      <c r="L427">
        <f>Résultats!G$32+Résultats!G$33*Données!C427+Résultats!G$34*Données!D427+Résultats!G$35*Données!E427+Résultats!G$36*Données!F427+Résultats!G$37*Données!G427+Résultats!G$38*Données!H427+Résultats!G$39*Données!I427</f>
        <v>103336.29244504603</v>
      </c>
      <c r="M427">
        <f t="shared" si="24"/>
        <v>-22336.292445046027</v>
      </c>
      <c r="Q427">
        <v>137000</v>
      </c>
      <c r="R427">
        <v>1</v>
      </c>
      <c r="S427">
        <v>42</v>
      </c>
      <c r="T427">
        <v>0</v>
      </c>
      <c r="U427">
        <f t="shared" si="25"/>
        <v>11.938193200374572</v>
      </c>
      <c r="V427">
        <f t="shared" si="26"/>
        <v>7.6671582553191477</v>
      </c>
      <c r="W427">
        <v>0</v>
      </c>
      <c r="X427">
        <v>0</v>
      </c>
      <c r="Y427">
        <v>0</v>
      </c>
      <c r="Z427">
        <f>'Résultat (Ln)'!F$30+'Résultat (Ln)'!F$31*Données!S427+'Résultat (Ln)'!F$32*Données!T427+'Résultat (Ln)'!F$33*Données!U427+'Résultat (Ln)'!F$34*Données!V427+'Résultat (Ln)'!F$35*Données!W427+'Résultat (Ln)'!F$36*Données!X427+'Résultat (Ln)'!F$37*Données!Y427</f>
        <v>116248.60895536945</v>
      </c>
      <c r="AA427">
        <f t="shared" si="27"/>
        <v>20751.391044630553</v>
      </c>
    </row>
    <row r="428" spans="1:27" x14ac:dyDescent="0.25">
      <c r="A428">
        <v>104000</v>
      </c>
      <c r="B428">
        <v>1</v>
      </c>
      <c r="C428">
        <v>41</v>
      </c>
      <c r="D428">
        <v>0</v>
      </c>
      <c r="E428">
        <v>131000</v>
      </c>
      <c r="F428">
        <v>4225</v>
      </c>
      <c r="G428">
        <v>0</v>
      </c>
      <c r="H428">
        <v>0</v>
      </c>
      <c r="I428">
        <v>0</v>
      </c>
      <c r="J428">
        <v>28</v>
      </c>
      <c r="K428">
        <v>1</v>
      </c>
      <c r="L428">
        <f>Résultats!G$32+Résultats!G$33*Données!C428+Résultats!G$34*Données!D428+Résultats!G$35*Données!E428+Résultats!G$36*Données!F428+Résultats!G$37*Données!G428+Résultats!G$38*Données!H428+Résultats!G$39*Données!I428</f>
        <v>113015.12135614386</v>
      </c>
      <c r="M428">
        <f t="shared" si="24"/>
        <v>-9015.1213561438635</v>
      </c>
      <c r="Q428">
        <v>81000</v>
      </c>
      <c r="R428">
        <v>1</v>
      </c>
      <c r="S428">
        <v>40.799999237060547</v>
      </c>
      <c r="T428">
        <v>0</v>
      </c>
      <c r="U428">
        <f t="shared" si="25"/>
        <v>11.522875795823397</v>
      </c>
      <c r="V428">
        <f t="shared" si="26"/>
        <v>7.9919305198524775</v>
      </c>
      <c r="W428">
        <v>1</v>
      </c>
      <c r="X428">
        <v>0</v>
      </c>
      <c r="Y428">
        <v>0</v>
      </c>
      <c r="Z428">
        <f>'Résultat (Ln)'!F$30+'Résultat (Ln)'!F$31*Données!S428+'Résultat (Ln)'!F$32*Données!T428+'Résultat (Ln)'!F$33*Données!U428+'Résultat (Ln)'!F$34*Données!V428+'Résultat (Ln)'!F$35*Données!W428+'Résultat (Ln)'!F$36*Données!X428+'Résultat (Ln)'!F$37*Données!Y428</f>
        <v>83884.500976527532</v>
      </c>
      <c r="AA428">
        <f t="shared" si="27"/>
        <v>-2884.5009765275317</v>
      </c>
    </row>
    <row r="429" spans="1:27" x14ac:dyDescent="0.25">
      <c r="A429">
        <v>60000</v>
      </c>
      <c r="B429">
        <v>1</v>
      </c>
      <c r="C429">
        <v>39.099998474121087</v>
      </c>
      <c r="D429">
        <v>0</v>
      </c>
      <c r="E429">
        <v>215000</v>
      </c>
      <c r="F429">
        <v>2417</v>
      </c>
      <c r="G429">
        <v>0</v>
      </c>
      <c r="H429">
        <v>1</v>
      </c>
      <c r="I429">
        <v>1</v>
      </c>
      <c r="J429">
        <v>37</v>
      </c>
      <c r="K429">
        <v>0</v>
      </c>
      <c r="L429">
        <f>Résultats!G$32+Résultats!G$33*Données!C429+Résultats!G$34*Données!D429+Résultats!G$35*Données!E429+Résultats!G$36*Données!F429+Résultats!G$37*Données!G429+Résultats!G$38*Données!H429+Résultats!G$39*Données!I429</f>
        <v>154853.38127209325</v>
      </c>
      <c r="M429">
        <f t="shared" si="24"/>
        <v>-94853.381272093247</v>
      </c>
      <c r="Q429">
        <v>104000</v>
      </c>
      <c r="R429">
        <v>1</v>
      </c>
      <c r="S429">
        <v>41</v>
      </c>
      <c r="T429">
        <v>0</v>
      </c>
      <c r="U429">
        <f t="shared" si="25"/>
        <v>11.782952602183288</v>
      </c>
      <c r="V429">
        <f t="shared" si="26"/>
        <v>8.3487745397912736</v>
      </c>
      <c r="W429">
        <v>0</v>
      </c>
      <c r="X429">
        <v>0</v>
      </c>
      <c r="Y429">
        <v>0</v>
      </c>
      <c r="Z429">
        <f>'Résultat (Ln)'!F$30+'Résultat (Ln)'!F$31*Données!S429+'Résultat (Ln)'!F$32*Données!T429+'Résultat (Ln)'!F$33*Données!U429+'Résultat (Ln)'!F$34*Données!V429+'Résultat (Ln)'!F$35*Données!W429+'Résultat (Ln)'!F$36*Données!X429+'Résultat (Ln)'!F$37*Données!Y429</f>
        <v>117501.93327601292</v>
      </c>
      <c r="AA429">
        <f t="shared" si="27"/>
        <v>-13501.933276012918</v>
      </c>
    </row>
    <row r="430" spans="1:27" x14ac:dyDescent="0.25">
      <c r="A430">
        <v>146000</v>
      </c>
      <c r="B430">
        <v>1</v>
      </c>
      <c r="C430">
        <v>21.79999923706055</v>
      </c>
      <c r="D430">
        <v>0</v>
      </c>
      <c r="E430">
        <v>182000</v>
      </c>
      <c r="F430">
        <v>16666</v>
      </c>
      <c r="G430">
        <v>1</v>
      </c>
      <c r="H430">
        <v>0</v>
      </c>
      <c r="I430">
        <v>1</v>
      </c>
      <c r="J430">
        <v>8.1999998092651367</v>
      </c>
      <c r="K430">
        <v>1</v>
      </c>
      <c r="L430">
        <f>Résultats!G$32+Résultats!G$33*Données!C430+Résultats!G$34*Données!D430+Résultats!G$35*Données!E430+Résultats!G$36*Données!F430+Résultats!G$37*Données!G430+Résultats!G$38*Données!H430+Résultats!G$39*Données!I430</f>
        <v>155825.35385840668</v>
      </c>
      <c r="M430">
        <f t="shared" si="24"/>
        <v>-9825.3538584066846</v>
      </c>
      <c r="Q430">
        <v>60000</v>
      </c>
      <c r="R430">
        <v>1</v>
      </c>
      <c r="S430">
        <v>39.099998474121087</v>
      </c>
      <c r="T430">
        <v>0</v>
      </c>
      <c r="U430">
        <f t="shared" si="25"/>
        <v>12.2783933071098</v>
      </c>
      <c r="V430">
        <f t="shared" si="26"/>
        <v>7.7902823807034833</v>
      </c>
      <c r="W430">
        <v>0</v>
      </c>
      <c r="X430">
        <v>1</v>
      </c>
      <c r="Y430">
        <v>1</v>
      </c>
      <c r="Z430">
        <f>'Résultat (Ln)'!F$30+'Résultat (Ln)'!F$31*Données!S430+'Résultat (Ln)'!F$32*Données!T430+'Résultat (Ln)'!F$33*Données!U430+'Résultat (Ln)'!F$34*Données!V430+'Résultat (Ln)'!F$35*Données!W430+'Résultat (Ln)'!F$36*Données!X430+'Résultat (Ln)'!F$37*Données!Y430</f>
        <v>166535.13697315636</v>
      </c>
      <c r="AA430">
        <f t="shared" si="27"/>
        <v>-106535.13697315636</v>
      </c>
    </row>
    <row r="431" spans="1:27" x14ac:dyDescent="0.25">
      <c r="A431">
        <v>216000</v>
      </c>
      <c r="B431">
        <v>1</v>
      </c>
      <c r="C431">
        <v>22</v>
      </c>
      <c r="D431">
        <v>0</v>
      </c>
      <c r="E431">
        <v>277000</v>
      </c>
      <c r="F431">
        <v>10550</v>
      </c>
      <c r="G431">
        <v>1</v>
      </c>
      <c r="H431">
        <v>0</v>
      </c>
      <c r="I431">
        <v>1</v>
      </c>
      <c r="J431">
        <v>21</v>
      </c>
      <c r="K431">
        <v>1</v>
      </c>
      <c r="L431">
        <f>Résultats!G$32+Résultats!G$33*Données!C431+Résultats!G$34*Données!D431+Résultats!G$35*Données!E431+Résultats!G$36*Données!F431+Résultats!G$37*Données!G431+Résultats!G$38*Données!H431+Résultats!G$39*Données!I431</f>
        <v>188564.14180553248</v>
      </c>
      <c r="M431">
        <f t="shared" si="24"/>
        <v>27435.858194467524</v>
      </c>
      <c r="Q431">
        <v>146000</v>
      </c>
      <c r="R431">
        <v>1</v>
      </c>
      <c r="S431">
        <v>21.79999923706055</v>
      </c>
      <c r="T431">
        <v>0</v>
      </c>
      <c r="U431">
        <f t="shared" si="25"/>
        <v>12.111761966058932</v>
      </c>
      <c r="V431">
        <f t="shared" si="26"/>
        <v>9.7211259949421525</v>
      </c>
      <c r="W431">
        <v>1</v>
      </c>
      <c r="X431">
        <v>0</v>
      </c>
      <c r="Y431">
        <v>1</v>
      </c>
      <c r="Z431">
        <f>'Résultat (Ln)'!F$30+'Résultat (Ln)'!F$31*Données!S431+'Résultat (Ln)'!F$32*Données!T431+'Résultat (Ln)'!F$33*Données!U431+'Résultat (Ln)'!F$34*Données!V431+'Résultat (Ln)'!F$35*Données!W431+'Résultat (Ln)'!F$36*Données!X431+'Résultat (Ln)'!F$37*Données!Y431</f>
        <v>186375.29818111149</v>
      </c>
      <c r="AA431">
        <f t="shared" si="27"/>
        <v>-40375.298181111488</v>
      </c>
    </row>
    <row r="432" spans="1:27" x14ac:dyDescent="0.25">
      <c r="A432">
        <v>153000</v>
      </c>
      <c r="B432">
        <v>1</v>
      </c>
      <c r="C432">
        <v>15</v>
      </c>
      <c r="D432">
        <v>0</v>
      </c>
      <c r="E432">
        <v>312000</v>
      </c>
      <c r="F432">
        <v>13333</v>
      </c>
      <c r="G432">
        <v>0</v>
      </c>
      <c r="H432">
        <v>0</v>
      </c>
      <c r="I432">
        <v>0</v>
      </c>
      <c r="J432">
        <v>12</v>
      </c>
      <c r="K432">
        <v>1</v>
      </c>
      <c r="L432">
        <f>Résultats!G$32+Résultats!G$33*Données!C432+Résultats!G$34*Données!D432+Résultats!G$35*Données!E432+Résultats!G$36*Données!F432+Résultats!G$37*Données!G432+Résultats!G$38*Données!H432+Résultats!G$39*Données!I432</f>
        <v>185317.60045613107</v>
      </c>
      <c r="M432">
        <f t="shared" si="24"/>
        <v>-32317.600456131069</v>
      </c>
      <c r="Q432">
        <v>216000</v>
      </c>
      <c r="R432">
        <v>1</v>
      </c>
      <c r="S432">
        <v>22</v>
      </c>
      <c r="T432">
        <v>0</v>
      </c>
      <c r="U432">
        <f t="shared" si="25"/>
        <v>12.531772785169476</v>
      </c>
      <c r="V432">
        <f t="shared" si="26"/>
        <v>9.2638811389042122</v>
      </c>
      <c r="W432">
        <v>1</v>
      </c>
      <c r="X432">
        <v>0</v>
      </c>
      <c r="Y432">
        <v>1</v>
      </c>
      <c r="Z432">
        <f>'Résultat (Ln)'!F$30+'Résultat (Ln)'!F$31*Données!S432+'Résultat (Ln)'!F$32*Données!T432+'Résultat (Ln)'!F$33*Données!U432+'Résultat (Ln)'!F$34*Données!V432+'Résultat (Ln)'!F$35*Données!W432+'Résultat (Ln)'!F$36*Données!X432+'Résultat (Ln)'!F$37*Données!Y432</f>
        <v>218819.2104220624</v>
      </c>
      <c r="AA432">
        <f t="shared" si="27"/>
        <v>-2819.2104220624024</v>
      </c>
    </row>
    <row r="433" spans="1:27" x14ac:dyDescent="0.25">
      <c r="A433">
        <v>322000</v>
      </c>
      <c r="B433">
        <v>1</v>
      </c>
      <c r="C433">
        <v>35</v>
      </c>
      <c r="D433">
        <v>0</v>
      </c>
      <c r="E433">
        <v>435000</v>
      </c>
      <c r="F433">
        <v>7375</v>
      </c>
      <c r="G433">
        <v>1</v>
      </c>
      <c r="H433">
        <v>0</v>
      </c>
      <c r="I433">
        <v>1</v>
      </c>
      <c r="J433">
        <v>33</v>
      </c>
      <c r="K433">
        <v>1</v>
      </c>
      <c r="L433">
        <f>Résultats!G$32+Résultats!G$33*Données!C433+Résultats!G$34*Données!D433+Résultats!G$35*Données!E433+Résultats!G$36*Données!F433+Résultats!G$37*Données!G433+Résultats!G$38*Données!H433+Résultats!G$39*Données!I433</f>
        <v>271122.99829806224</v>
      </c>
      <c r="M433">
        <f t="shared" si="24"/>
        <v>50877.001701937756</v>
      </c>
      <c r="Q433">
        <v>153000</v>
      </c>
      <c r="R433">
        <v>1</v>
      </c>
      <c r="S433">
        <v>15</v>
      </c>
      <c r="T433">
        <v>0</v>
      </c>
      <c r="U433">
        <f t="shared" si="25"/>
        <v>12.65075846679162</v>
      </c>
      <c r="V433">
        <f t="shared" si="26"/>
        <v>9.4979974441154589</v>
      </c>
      <c r="W433">
        <v>0</v>
      </c>
      <c r="X433">
        <v>0</v>
      </c>
      <c r="Y433">
        <v>0</v>
      </c>
      <c r="Z433">
        <f>'Résultat (Ln)'!F$30+'Résultat (Ln)'!F$31*Données!S433+'Résultat (Ln)'!F$32*Données!T433+'Résultat (Ln)'!F$33*Données!U433+'Résultat (Ln)'!F$34*Données!V433+'Résultat (Ln)'!F$35*Données!W433+'Résultat (Ln)'!F$36*Données!X433+'Résultat (Ln)'!F$37*Données!Y433</f>
        <v>210984.67679170438</v>
      </c>
      <c r="AA433">
        <f t="shared" si="27"/>
        <v>-57984.676791704376</v>
      </c>
    </row>
    <row r="434" spans="1:27" x14ac:dyDescent="0.25">
      <c r="A434">
        <v>194000</v>
      </c>
      <c r="B434">
        <v>1</v>
      </c>
      <c r="C434">
        <v>34</v>
      </c>
      <c r="D434">
        <v>0</v>
      </c>
      <c r="E434">
        <v>215000</v>
      </c>
      <c r="F434">
        <v>4300</v>
      </c>
      <c r="G434">
        <v>1</v>
      </c>
      <c r="H434">
        <v>0</v>
      </c>
      <c r="I434">
        <v>1</v>
      </c>
      <c r="J434">
        <v>30</v>
      </c>
      <c r="K434">
        <v>1</v>
      </c>
      <c r="L434">
        <f>Résultats!G$32+Résultats!G$33*Données!C434+Résultats!G$34*Données!D434+Résultats!G$35*Données!E434+Résultats!G$36*Données!F434+Résultats!G$37*Données!G434+Résultats!G$38*Données!H434+Résultats!G$39*Données!I434</f>
        <v>161285.91266126896</v>
      </c>
      <c r="M434">
        <f t="shared" si="24"/>
        <v>32714.087338731042</v>
      </c>
      <c r="Q434">
        <v>322000</v>
      </c>
      <c r="R434">
        <v>1</v>
      </c>
      <c r="S434">
        <v>35</v>
      </c>
      <c r="T434">
        <v>0</v>
      </c>
      <c r="U434">
        <f t="shared" si="25"/>
        <v>12.983101310070822</v>
      </c>
      <c r="V434">
        <f t="shared" si="26"/>
        <v>8.9058511812080212</v>
      </c>
      <c r="W434">
        <v>1</v>
      </c>
      <c r="X434">
        <v>0</v>
      </c>
      <c r="Y434">
        <v>1</v>
      </c>
      <c r="Z434">
        <f>'Résultat (Ln)'!F$30+'Résultat (Ln)'!F$31*Données!S434+'Résultat (Ln)'!F$32*Données!T434+'Résultat (Ln)'!F$33*Données!U434+'Résultat (Ln)'!F$34*Données!V434+'Résultat (Ln)'!F$35*Données!W434+'Résultat (Ln)'!F$36*Données!X434+'Résultat (Ln)'!F$37*Données!Y434</f>
        <v>273044.92584012827</v>
      </c>
      <c r="AA434">
        <f t="shared" si="27"/>
        <v>48955.074159871729</v>
      </c>
    </row>
    <row r="435" spans="1:27" x14ac:dyDescent="0.25">
      <c r="A435">
        <v>207000</v>
      </c>
      <c r="B435">
        <v>1</v>
      </c>
      <c r="C435">
        <v>38</v>
      </c>
      <c r="D435">
        <v>0</v>
      </c>
      <c r="E435">
        <v>230000</v>
      </c>
      <c r="F435">
        <v>6250</v>
      </c>
      <c r="G435">
        <v>1</v>
      </c>
      <c r="H435">
        <v>1</v>
      </c>
      <c r="I435">
        <v>1</v>
      </c>
      <c r="J435">
        <v>28</v>
      </c>
      <c r="K435">
        <v>1</v>
      </c>
      <c r="L435">
        <f>Résultats!G$32+Résultats!G$33*Données!C435+Résultats!G$34*Données!D435+Résultats!G$35*Données!E435+Résultats!G$36*Données!F435+Résultats!G$37*Données!G435+Résultats!G$38*Données!H435+Résultats!G$39*Données!I435</f>
        <v>175038.30209187567</v>
      </c>
      <c r="M435">
        <f t="shared" si="24"/>
        <v>31961.697908124333</v>
      </c>
      <c r="Q435">
        <v>194000</v>
      </c>
      <c r="R435">
        <v>1</v>
      </c>
      <c r="S435">
        <v>34</v>
      </c>
      <c r="T435">
        <v>0</v>
      </c>
      <c r="U435">
        <f t="shared" si="25"/>
        <v>12.2783933071098</v>
      </c>
      <c r="V435">
        <f t="shared" si="26"/>
        <v>8.3663703016816537</v>
      </c>
      <c r="W435">
        <v>1</v>
      </c>
      <c r="X435">
        <v>0</v>
      </c>
      <c r="Y435">
        <v>1</v>
      </c>
      <c r="Z435">
        <f>'Résultat (Ln)'!F$30+'Résultat (Ln)'!F$31*Données!S435+'Résultat (Ln)'!F$32*Données!T435+'Résultat (Ln)'!F$33*Données!U435+'Résultat (Ln)'!F$34*Données!V435+'Résultat (Ln)'!F$35*Données!W435+'Résultat (Ln)'!F$36*Données!X435+'Résultat (Ln)'!F$37*Données!Y435</f>
        <v>181151.14234351928</v>
      </c>
      <c r="AA435">
        <f t="shared" si="27"/>
        <v>12848.857656480715</v>
      </c>
    </row>
    <row r="436" spans="1:27" x14ac:dyDescent="0.25">
      <c r="A436">
        <v>188000</v>
      </c>
      <c r="B436">
        <v>1</v>
      </c>
      <c r="C436">
        <v>33</v>
      </c>
      <c r="D436">
        <v>0</v>
      </c>
      <c r="E436">
        <v>253000</v>
      </c>
      <c r="F436">
        <v>7583</v>
      </c>
      <c r="G436">
        <v>1</v>
      </c>
      <c r="H436">
        <v>0</v>
      </c>
      <c r="I436">
        <v>0</v>
      </c>
      <c r="J436">
        <v>27</v>
      </c>
      <c r="K436">
        <v>1</v>
      </c>
      <c r="L436">
        <f>Résultats!G$32+Résultats!G$33*Données!C436+Résultats!G$34*Données!D436+Résultats!G$35*Données!E436+Résultats!G$36*Données!F436+Résultats!G$37*Données!G436+Résultats!G$38*Données!H436+Résultats!G$39*Données!I436</f>
        <v>174317.76555651837</v>
      </c>
      <c r="M436">
        <f t="shared" si="24"/>
        <v>13682.234443481633</v>
      </c>
      <c r="Q436">
        <v>207000</v>
      </c>
      <c r="R436">
        <v>1</v>
      </c>
      <c r="S436">
        <v>38</v>
      </c>
      <c r="T436">
        <v>0</v>
      </c>
      <c r="U436">
        <f t="shared" si="25"/>
        <v>12.345834587905333</v>
      </c>
      <c r="V436">
        <f t="shared" si="26"/>
        <v>8.740336742730447</v>
      </c>
      <c r="W436">
        <v>1</v>
      </c>
      <c r="X436">
        <v>1</v>
      </c>
      <c r="Y436">
        <v>1</v>
      </c>
      <c r="Z436">
        <f>'Résultat (Ln)'!F$30+'Résultat (Ln)'!F$31*Données!S436+'Résultat (Ln)'!F$32*Données!T436+'Résultat (Ln)'!F$33*Données!U436+'Résultat (Ln)'!F$34*Données!V436+'Résultat (Ln)'!F$35*Données!W436+'Résultat (Ln)'!F$36*Données!X436+'Résultat (Ln)'!F$37*Données!Y436</f>
        <v>203579.35879242609</v>
      </c>
      <c r="AA436">
        <f t="shared" si="27"/>
        <v>3420.6412075739063</v>
      </c>
    </row>
    <row r="437" spans="1:27" x14ac:dyDescent="0.25">
      <c r="A437">
        <v>176000</v>
      </c>
      <c r="B437">
        <v>1</v>
      </c>
      <c r="C437">
        <v>36</v>
      </c>
      <c r="D437">
        <v>0</v>
      </c>
      <c r="E437">
        <v>185000</v>
      </c>
      <c r="F437">
        <v>3208</v>
      </c>
      <c r="G437">
        <v>0</v>
      </c>
      <c r="H437">
        <v>0</v>
      </c>
      <c r="I437">
        <v>0</v>
      </c>
      <c r="J437">
        <v>28</v>
      </c>
      <c r="K437">
        <v>1</v>
      </c>
      <c r="L437">
        <f>Résultats!G$32+Résultats!G$33*Données!C437+Résultats!G$34*Données!D437+Résultats!G$35*Données!E437+Résultats!G$36*Données!F437+Résultats!G$37*Données!G437+Résultats!G$38*Données!H437+Résultats!G$39*Données!I437</f>
        <v>130516.51621790302</v>
      </c>
      <c r="M437">
        <f t="shared" si="24"/>
        <v>45483.483782096984</v>
      </c>
      <c r="Q437">
        <v>188000</v>
      </c>
      <c r="R437">
        <v>1</v>
      </c>
      <c r="S437">
        <v>33</v>
      </c>
      <c r="T437">
        <v>0</v>
      </c>
      <c r="U437">
        <f t="shared" si="25"/>
        <v>12.441144767709657</v>
      </c>
      <c r="V437">
        <f t="shared" si="26"/>
        <v>8.9336641787009352</v>
      </c>
      <c r="W437">
        <v>1</v>
      </c>
      <c r="X437">
        <v>0</v>
      </c>
      <c r="Y437">
        <v>0</v>
      </c>
      <c r="Z437">
        <f>'Résultat (Ln)'!F$30+'Résultat (Ln)'!F$31*Données!S437+'Résultat (Ln)'!F$32*Données!T437+'Résultat (Ln)'!F$33*Données!U437+'Résultat (Ln)'!F$34*Données!V437+'Résultat (Ln)'!F$35*Données!W437+'Résultat (Ln)'!F$36*Données!X437+'Résultat (Ln)'!F$37*Données!Y437</f>
        <v>199198.61203167</v>
      </c>
      <c r="AA437">
        <f t="shared" si="27"/>
        <v>-11198.612031669996</v>
      </c>
    </row>
    <row r="438" spans="1:27" x14ac:dyDescent="0.25">
      <c r="A438">
        <v>93000</v>
      </c>
      <c r="B438">
        <v>1</v>
      </c>
      <c r="C438">
        <v>38</v>
      </c>
      <c r="D438">
        <v>0</v>
      </c>
      <c r="E438">
        <v>125000</v>
      </c>
      <c r="F438">
        <v>3692</v>
      </c>
      <c r="G438">
        <v>0</v>
      </c>
      <c r="H438">
        <v>0</v>
      </c>
      <c r="I438">
        <v>0</v>
      </c>
      <c r="J438">
        <v>31</v>
      </c>
      <c r="K438">
        <v>0</v>
      </c>
      <c r="L438">
        <f>Résultats!G$32+Résultats!G$33*Données!C438+Résultats!G$34*Données!D438+Résultats!G$35*Données!E438+Résultats!G$36*Données!F438+Résultats!G$37*Données!G438+Résultats!G$38*Données!H438+Résultats!G$39*Données!I438</f>
        <v>105734.5499408071</v>
      </c>
      <c r="M438">
        <f t="shared" si="24"/>
        <v>-12734.549940807105</v>
      </c>
      <c r="Q438">
        <v>176000</v>
      </c>
      <c r="R438">
        <v>1</v>
      </c>
      <c r="S438">
        <v>36</v>
      </c>
      <c r="T438">
        <v>0</v>
      </c>
      <c r="U438">
        <f t="shared" si="25"/>
        <v>12.128111104060462</v>
      </c>
      <c r="V438">
        <f t="shared" si="26"/>
        <v>8.0734029689864055</v>
      </c>
      <c r="W438">
        <v>0</v>
      </c>
      <c r="X438">
        <v>0</v>
      </c>
      <c r="Y438">
        <v>0</v>
      </c>
      <c r="Z438">
        <f>'Résultat (Ln)'!F$30+'Résultat (Ln)'!F$31*Données!S438+'Résultat (Ln)'!F$32*Données!T438+'Résultat (Ln)'!F$33*Données!U438+'Résultat (Ln)'!F$34*Données!V438+'Résultat (Ln)'!F$35*Données!W438+'Résultat (Ln)'!F$36*Données!X438+'Résultat (Ln)'!F$37*Données!Y438</f>
        <v>140668.17549048809</v>
      </c>
      <c r="AA438">
        <f t="shared" si="27"/>
        <v>35331.824509511905</v>
      </c>
    </row>
    <row r="439" spans="1:27" x14ac:dyDescent="0.25">
      <c r="A439">
        <v>145000</v>
      </c>
      <c r="B439">
        <v>1</v>
      </c>
      <c r="C439">
        <v>32</v>
      </c>
      <c r="D439">
        <v>0</v>
      </c>
      <c r="E439">
        <v>161000</v>
      </c>
      <c r="F439">
        <v>3665</v>
      </c>
      <c r="G439">
        <v>1</v>
      </c>
      <c r="H439">
        <v>0</v>
      </c>
      <c r="I439">
        <v>0</v>
      </c>
      <c r="J439">
        <v>24</v>
      </c>
      <c r="K439">
        <v>1</v>
      </c>
      <c r="L439">
        <f>Résultats!G$32+Résultats!G$33*Données!C439+Résultats!G$34*Données!D439+Résultats!G$35*Données!E439+Résultats!G$36*Données!F439+Résultats!G$37*Données!G439+Résultats!G$38*Données!H439+Résultats!G$39*Données!I439</f>
        <v>122617.14356048827</v>
      </c>
      <c r="M439">
        <f t="shared" si="24"/>
        <v>22382.856439511728</v>
      </c>
      <c r="Q439">
        <v>93000</v>
      </c>
      <c r="R439">
        <v>1</v>
      </c>
      <c r="S439">
        <v>38</v>
      </c>
      <c r="T439">
        <v>0</v>
      </c>
      <c r="U439">
        <f t="shared" si="25"/>
        <v>11.736069016284437</v>
      </c>
      <c r="V439">
        <f t="shared" si="26"/>
        <v>8.2139235956227434</v>
      </c>
      <c r="W439">
        <v>0</v>
      </c>
      <c r="X439">
        <v>0</v>
      </c>
      <c r="Y439">
        <v>0</v>
      </c>
      <c r="Z439">
        <f>'Résultat (Ln)'!F$30+'Résultat (Ln)'!F$31*Données!S439+'Résultat (Ln)'!F$32*Données!T439+'Résultat (Ln)'!F$33*Données!U439+'Résultat (Ln)'!F$34*Données!V439+'Résultat (Ln)'!F$35*Données!W439+'Résultat (Ln)'!F$36*Données!X439+'Résultat (Ln)'!F$37*Données!Y439</f>
        <v>105028.09617262663</v>
      </c>
      <c r="AA439">
        <f t="shared" si="27"/>
        <v>-12028.096172626625</v>
      </c>
    </row>
    <row r="440" spans="1:27" x14ac:dyDescent="0.25">
      <c r="A440">
        <v>149000</v>
      </c>
      <c r="B440">
        <v>1</v>
      </c>
      <c r="C440">
        <v>31</v>
      </c>
      <c r="D440">
        <v>1</v>
      </c>
      <c r="E440">
        <v>165000</v>
      </c>
      <c r="F440">
        <v>4136</v>
      </c>
      <c r="G440">
        <v>1</v>
      </c>
      <c r="H440">
        <v>0</v>
      </c>
      <c r="I440">
        <v>1</v>
      </c>
      <c r="J440">
        <v>31</v>
      </c>
      <c r="K440">
        <v>1</v>
      </c>
      <c r="L440">
        <f>Résultats!G$32+Résultats!G$33*Données!C440+Résultats!G$34*Données!D440+Résultats!G$35*Données!E440+Résultats!G$36*Données!F440+Résultats!G$37*Données!G440+Résultats!G$38*Données!H440+Résultats!G$39*Données!I440</f>
        <v>139022.68967759138</v>
      </c>
      <c r="M440">
        <f t="shared" si="24"/>
        <v>9977.3103224086226</v>
      </c>
      <c r="Q440">
        <v>145000</v>
      </c>
      <c r="R440">
        <v>1</v>
      </c>
      <c r="S440">
        <v>32</v>
      </c>
      <c r="T440">
        <v>0</v>
      </c>
      <c r="U440">
        <f t="shared" si="25"/>
        <v>11.9891596439666</v>
      </c>
      <c r="V440">
        <f t="shared" si="26"/>
        <v>8.2065836143207527</v>
      </c>
      <c r="W440">
        <v>1</v>
      </c>
      <c r="X440">
        <v>0</v>
      </c>
      <c r="Y440">
        <v>0</v>
      </c>
      <c r="Z440">
        <f>'Résultat (Ln)'!F$30+'Résultat (Ln)'!F$31*Données!S440+'Résultat (Ln)'!F$32*Données!T440+'Résultat (Ln)'!F$33*Données!U440+'Résultat (Ln)'!F$34*Données!V440+'Résultat (Ln)'!F$35*Données!W440+'Résultat (Ln)'!F$36*Données!X440+'Résultat (Ln)'!F$37*Données!Y440</f>
        <v>129134.21880587081</v>
      </c>
      <c r="AA440">
        <f t="shared" si="27"/>
        <v>15865.781194129187</v>
      </c>
    </row>
    <row r="441" spans="1:27" x14ac:dyDescent="0.25">
      <c r="A441">
        <v>257000</v>
      </c>
      <c r="B441">
        <v>1</v>
      </c>
      <c r="C441">
        <v>41</v>
      </c>
      <c r="D441">
        <v>0</v>
      </c>
      <c r="E441">
        <v>368000</v>
      </c>
      <c r="F441">
        <v>8449</v>
      </c>
      <c r="G441">
        <v>1</v>
      </c>
      <c r="H441">
        <v>0</v>
      </c>
      <c r="I441">
        <v>0</v>
      </c>
      <c r="J441">
        <v>33</v>
      </c>
      <c r="K441">
        <v>1</v>
      </c>
      <c r="L441">
        <f>Résultats!G$32+Résultats!G$33*Données!C441+Résultats!G$34*Données!D441+Résultats!G$35*Données!E441+Résultats!G$36*Données!F441+Résultats!G$37*Données!G441+Résultats!G$38*Données!H441+Résultats!G$39*Données!I441</f>
        <v>238884.87834555606</v>
      </c>
      <c r="M441">
        <f t="shared" si="24"/>
        <v>18115.121654443938</v>
      </c>
      <c r="Q441">
        <v>149000</v>
      </c>
      <c r="R441">
        <v>1</v>
      </c>
      <c r="S441">
        <v>31</v>
      </c>
      <c r="T441">
        <v>1</v>
      </c>
      <c r="U441">
        <f t="shared" si="25"/>
        <v>12.013700752882718</v>
      </c>
      <c r="V441">
        <f t="shared" si="26"/>
        <v>8.3274844161882644</v>
      </c>
      <c r="W441">
        <v>1</v>
      </c>
      <c r="X441">
        <v>0</v>
      </c>
      <c r="Y441">
        <v>1</v>
      </c>
      <c r="Z441">
        <f>'Résultat (Ln)'!F$30+'Résultat (Ln)'!F$31*Données!S441+'Résultat (Ln)'!F$32*Données!T441+'Résultat (Ln)'!F$33*Données!U441+'Résultat (Ln)'!F$34*Données!V441+'Résultat (Ln)'!F$35*Données!W441+'Résultat (Ln)'!F$36*Données!X441+'Résultat (Ln)'!F$37*Données!Y441</f>
        <v>152369.37767205096</v>
      </c>
      <c r="AA441">
        <f t="shared" si="27"/>
        <v>-3369.3776720509632</v>
      </c>
    </row>
    <row r="442" spans="1:27" x14ac:dyDescent="0.25">
      <c r="A442">
        <v>105000</v>
      </c>
      <c r="B442">
        <v>1</v>
      </c>
      <c r="C442">
        <v>30.5</v>
      </c>
      <c r="D442">
        <v>0</v>
      </c>
      <c r="E442">
        <v>110000</v>
      </c>
      <c r="F442">
        <v>2659</v>
      </c>
      <c r="G442">
        <v>0</v>
      </c>
      <c r="H442">
        <v>0</v>
      </c>
      <c r="I442">
        <v>0</v>
      </c>
      <c r="J442">
        <v>28.5</v>
      </c>
      <c r="K442">
        <v>1</v>
      </c>
      <c r="L442">
        <f>Résultats!G$32+Résultats!G$33*Données!C442+Résultats!G$34*Données!D442+Résultats!G$35*Données!E442+Résultats!G$36*Données!F442+Résultats!G$37*Données!G442+Résultats!G$38*Données!H442+Résultats!G$39*Données!I442</f>
        <v>88113.488718509048</v>
      </c>
      <c r="M442">
        <f t="shared" si="24"/>
        <v>16886.511281490952</v>
      </c>
      <c r="Q442">
        <v>257000</v>
      </c>
      <c r="R442">
        <v>1</v>
      </c>
      <c r="S442">
        <v>41</v>
      </c>
      <c r="T442">
        <v>0</v>
      </c>
      <c r="U442">
        <f t="shared" si="25"/>
        <v>12.815838217151068</v>
      </c>
      <c r="V442">
        <f t="shared" si="26"/>
        <v>9.0418033701528451</v>
      </c>
      <c r="W442">
        <v>1</v>
      </c>
      <c r="X442">
        <v>0</v>
      </c>
      <c r="Y442">
        <v>0</v>
      </c>
      <c r="Z442">
        <f>'Résultat (Ln)'!F$30+'Résultat (Ln)'!F$31*Données!S442+'Résultat (Ln)'!F$32*Données!T442+'Résultat (Ln)'!F$33*Données!U442+'Résultat (Ln)'!F$34*Données!V442+'Résultat (Ln)'!F$35*Données!W442+'Résultat (Ln)'!F$36*Données!X442+'Résultat (Ln)'!F$37*Données!Y442</f>
        <v>252173.26568841143</v>
      </c>
      <c r="AA442">
        <f t="shared" si="27"/>
        <v>4826.7343115885742</v>
      </c>
    </row>
    <row r="443" spans="1:27" x14ac:dyDescent="0.25">
      <c r="A443">
        <v>370000</v>
      </c>
      <c r="B443">
        <v>1</v>
      </c>
      <c r="C443">
        <v>25</v>
      </c>
      <c r="D443">
        <v>0</v>
      </c>
      <c r="E443">
        <v>510000</v>
      </c>
      <c r="F443">
        <v>23803</v>
      </c>
      <c r="G443">
        <v>1</v>
      </c>
      <c r="H443">
        <v>0</v>
      </c>
      <c r="I443">
        <v>0</v>
      </c>
      <c r="J443">
        <v>18</v>
      </c>
      <c r="K443">
        <v>1</v>
      </c>
      <c r="L443">
        <f>Résultats!G$32+Résultats!G$33*Données!C443+Résultats!G$34*Données!D443+Résultats!G$35*Données!E443+Résultats!G$36*Données!F443+Résultats!G$37*Données!G443+Résultats!G$38*Données!H443+Résultats!G$39*Données!I443</f>
        <v>316566.30364499916</v>
      </c>
      <c r="M443">
        <f t="shared" si="24"/>
        <v>53433.696355000837</v>
      </c>
      <c r="Q443">
        <v>105000</v>
      </c>
      <c r="R443">
        <v>1</v>
      </c>
      <c r="S443">
        <v>30.5</v>
      </c>
      <c r="T443">
        <v>0</v>
      </c>
      <c r="U443">
        <f t="shared" si="25"/>
        <v>11.608235644774552</v>
      </c>
      <c r="V443">
        <f t="shared" si="26"/>
        <v>7.8857053912430199</v>
      </c>
      <c r="W443">
        <v>0</v>
      </c>
      <c r="X443">
        <v>0</v>
      </c>
      <c r="Y443">
        <v>0</v>
      </c>
      <c r="Z443">
        <f>'Résultat (Ln)'!F$30+'Résultat (Ln)'!F$31*Données!S443+'Résultat (Ln)'!F$32*Données!T443+'Résultat (Ln)'!F$33*Données!U443+'Résultat (Ln)'!F$34*Données!V443+'Résultat (Ln)'!F$35*Données!W443+'Résultat (Ln)'!F$36*Données!X443+'Résultat (Ln)'!F$37*Données!Y443</f>
        <v>72954.478458788188</v>
      </c>
      <c r="AA443">
        <f t="shared" si="27"/>
        <v>32045.521541211812</v>
      </c>
    </row>
    <row r="444" spans="1:27" x14ac:dyDescent="0.25">
      <c r="A444">
        <v>130000</v>
      </c>
      <c r="B444">
        <v>1</v>
      </c>
      <c r="C444">
        <v>26</v>
      </c>
      <c r="D444">
        <v>0</v>
      </c>
      <c r="E444">
        <v>130000</v>
      </c>
      <c r="F444">
        <v>3865</v>
      </c>
      <c r="G444">
        <v>0</v>
      </c>
      <c r="H444">
        <v>0</v>
      </c>
      <c r="I444">
        <v>0</v>
      </c>
      <c r="J444">
        <v>26</v>
      </c>
      <c r="K444">
        <v>1</v>
      </c>
      <c r="L444">
        <f>Résultats!G$32+Résultats!G$33*Données!C444+Résultats!G$34*Données!D444+Résultats!G$35*Données!E444+Résultats!G$36*Données!F444+Résultats!G$37*Données!G444+Résultats!G$38*Données!H444+Résultats!G$39*Données!I444</f>
        <v>94620.508949033159</v>
      </c>
      <c r="M444">
        <f t="shared" si="24"/>
        <v>35379.491050966841</v>
      </c>
      <c r="Q444">
        <v>370000</v>
      </c>
      <c r="R444">
        <v>1</v>
      </c>
      <c r="S444">
        <v>25</v>
      </c>
      <c r="T444">
        <v>0</v>
      </c>
      <c r="U444">
        <f t="shared" si="25"/>
        <v>13.142166004700508</v>
      </c>
      <c r="V444">
        <f t="shared" si="26"/>
        <v>10.077566902136047</v>
      </c>
      <c r="W444">
        <v>1</v>
      </c>
      <c r="X444">
        <v>0</v>
      </c>
      <c r="Y444">
        <v>0</v>
      </c>
      <c r="Z444">
        <f>'Résultat (Ln)'!F$30+'Résultat (Ln)'!F$31*Données!S444+'Résultat (Ln)'!F$32*Données!T444+'Résultat (Ln)'!F$33*Données!U444+'Résultat (Ln)'!F$34*Données!V444+'Résultat (Ln)'!F$35*Données!W444+'Résultat (Ln)'!F$36*Données!X444+'Résultat (Ln)'!F$37*Données!Y444</f>
        <v>296650.31168454059</v>
      </c>
      <c r="AA444">
        <f t="shared" si="27"/>
        <v>73349.688315459411</v>
      </c>
    </row>
    <row r="445" spans="1:27" x14ac:dyDescent="0.25">
      <c r="A445">
        <v>131000</v>
      </c>
      <c r="B445">
        <v>1</v>
      </c>
      <c r="C445">
        <v>41</v>
      </c>
      <c r="D445">
        <v>1</v>
      </c>
      <c r="E445">
        <v>146000</v>
      </c>
      <c r="F445">
        <v>4456</v>
      </c>
      <c r="G445">
        <v>1</v>
      </c>
      <c r="H445">
        <v>0</v>
      </c>
      <c r="I445">
        <v>0</v>
      </c>
      <c r="J445">
        <v>31</v>
      </c>
      <c r="K445">
        <v>1</v>
      </c>
      <c r="L445">
        <f>Résultats!G$32+Résultats!G$33*Données!C445+Résultats!G$34*Données!D445+Résultats!G$35*Données!E445+Résultats!G$36*Données!F445+Résultats!G$37*Données!G445+Résultats!G$38*Données!H445+Résultats!G$39*Données!I445</f>
        <v>132331.91646406194</v>
      </c>
      <c r="M445">
        <f t="shared" si="24"/>
        <v>-1331.916464061942</v>
      </c>
      <c r="Q445">
        <v>130000</v>
      </c>
      <c r="R445">
        <v>1</v>
      </c>
      <c r="S445">
        <v>26</v>
      </c>
      <c r="T445">
        <v>0</v>
      </c>
      <c r="U445">
        <f t="shared" si="25"/>
        <v>11.77528972943772</v>
      </c>
      <c r="V445">
        <f t="shared" si="26"/>
        <v>8.2597169610215229</v>
      </c>
      <c r="W445">
        <v>0</v>
      </c>
      <c r="X445">
        <v>0</v>
      </c>
      <c r="Y445">
        <v>0</v>
      </c>
      <c r="Z445">
        <f>'Résultat (Ln)'!F$30+'Résultat (Ln)'!F$31*Données!S445+'Résultat (Ln)'!F$32*Données!T445+'Résultat (Ln)'!F$33*Données!U445+'Résultat (Ln)'!F$34*Données!V445+'Résultat (Ln)'!F$35*Données!W445+'Résultat (Ln)'!F$36*Données!X445+'Résultat (Ln)'!F$37*Données!Y445</f>
        <v>95852.202340741467</v>
      </c>
      <c r="AA445">
        <f t="shared" si="27"/>
        <v>34147.797659258533</v>
      </c>
    </row>
    <row r="446" spans="1:27" x14ac:dyDescent="0.25">
      <c r="A446">
        <v>160000</v>
      </c>
      <c r="B446">
        <v>1</v>
      </c>
      <c r="C446">
        <v>19</v>
      </c>
      <c r="D446">
        <v>1</v>
      </c>
      <c r="E446">
        <v>193000</v>
      </c>
      <c r="F446">
        <v>10513</v>
      </c>
      <c r="G446">
        <v>1</v>
      </c>
      <c r="H446">
        <v>0</v>
      </c>
      <c r="I446">
        <v>0</v>
      </c>
      <c r="J446">
        <v>12</v>
      </c>
      <c r="K446">
        <v>1</v>
      </c>
      <c r="L446">
        <f>Résultats!G$32+Résultats!G$33*Données!C446+Résultats!G$34*Données!D446+Résultats!G$35*Données!E446+Résultats!G$36*Données!F446+Résultats!G$37*Données!G446+Résultats!G$38*Données!H446+Résultats!G$39*Données!I446</f>
        <v>140745.14982546796</v>
      </c>
      <c r="M446">
        <f t="shared" si="24"/>
        <v>19254.850174532039</v>
      </c>
      <c r="Q446">
        <v>131000</v>
      </c>
      <c r="R446">
        <v>1</v>
      </c>
      <c r="S446">
        <v>41</v>
      </c>
      <c r="T446">
        <v>1</v>
      </c>
      <c r="U446">
        <f t="shared" si="25"/>
        <v>11.891361900690473</v>
      </c>
      <c r="V446">
        <f t="shared" si="26"/>
        <v>8.4020067816071204</v>
      </c>
      <c r="W446">
        <v>1</v>
      </c>
      <c r="X446">
        <v>0</v>
      </c>
      <c r="Y446">
        <v>0</v>
      </c>
      <c r="Z446">
        <f>'Résultat (Ln)'!F$30+'Résultat (Ln)'!F$31*Données!S446+'Résultat (Ln)'!F$32*Données!T446+'Résultat (Ln)'!F$33*Données!U446+'Résultat (Ln)'!F$34*Données!V446+'Résultat (Ln)'!F$35*Données!W446+'Résultat (Ln)'!F$36*Données!X446+'Résultat (Ln)'!F$37*Données!Y446</f>
        <v>139478.7127202207</v>
      </c>
      <c r="AA446">
        <f t="shared" si="27"/>
        <v>-8478.7127202207048</v>
      </c>
    </row>
    <row r="447" spans="1:27" x14ac:dyDescent="0.25">
      <c r="A447">
        <v>102000</v>
      </c>
      <c r="B447">
        <v>1</v>
      </c>
      <c r="C447">
        <v>38.599998474121087</v>
      </c>
      <c r="D447">
        <v>0</v>
      </c>
      <c r="E447">
        <v>312000</v>
      </c>
      <c r="F447">
        <v>4635</v>
      </c>
      <c r="G447">
        <v>1</v>
      </c>
      <c r="H447">
        <v>0</v>
      </c>
      <c r="I447">
        <v>0</v>
      </c>
      <c r="J447">
        <v>14.19999980926514</v>
      </c>
      <c r="K447">
        <v>1</v>
      </c>
      <c r="L447">
        <f>Résultats!G$32+Résultats!G$33*Données!C447+Résultats!G$34*Données!D447+Résultats!G$35*Données!E447+Résultats!G$36*Données!F447+Résultats!G$37*Données!G447+Résultats!G$38*Données!H447+Résultats!G$39*Données!I447</f>
        <v>202587.96362428216</v>
      </c>
      <c r="M447">
        <f t="shared" si="24"/>
        <v>-100587.96362428216</v>
      </c>
      <c r="Q447">
        <v>160000</v>
      </c>
      <c r="R447">
        <v>1</v>
      </c>
      <c r="S447">
        <v>19</v>
      </c>
      <c r="T447">
        <v>1</v>
      </c>
      <c r="U447">
        <f t="shared" si="25"/>
        <v>12.170445467887022</v>
      </c>
      <c r="V447">
        <f t="shared" si="26"/>
        <v>9.2603678655758301</v>
      </c>
      <c r="W447">
        <v>1</v>
      </c>
      <c r="X447">
        <v>0</v>
      </c>
      <c r="Y447">
        <v>0</v>
      </c>
      <c r="Z447">
        <f>'Résultat (Ln)'!F$30+'Résultat (Ln)'!F$31*Données!S447+'Résultat (Ln)'!F$32*Données!T447+'Résultat (Ln)'!F$33*Données!U447+'Résultat (Ln)'!F$34*Données!V447+'Résultat (Ln)'!F$35*Données!W447+'Résultat (Ln)'!F$36*Données!X447+'Résultat (Ln)'!F$37*Données!Y447</f>
        <v>166583.74962622722</v>
      </c>
      <c r="AA447">
        <f t="shared" si="27"/>
        <v>-6583.749626227218</v>
      </c>
    </row>
    <row r="448" spans="1:27" x14ac:dyDescent="0.25">
      <c r="A448">
        <v>65000</v>
      </c>
      <c r="B448">
        <v>1</v>
      </c>
      <c r="C448">
        <v>20</v>
      </c>
      <c r="D448">
        <v>0</v>
      </c>
      <c r="E448">
        <v>81000</v>
      </c>
      <c r="F448">
        <v>750</v>
      </c>
      <c r="G448">
        <v>1</v>
      </c>
      <c r="H448">
        <v>6</v>
      </c>
      <c r="I448">
        <v>1</v>
      </c>
      <c r="J448">
        <v>4</v>
      </c>
      <c r="K448">
        <v>0</v>
      </c>
      <c r="L448">
        <f>Résultats!G$32+Résultats!G$33*Données!C448+Résultats!G$34*Données!D448+Résultats!G$35*Données!E448+Résultats!G$36*Données!F448+Résultats!G$37*Données!G448+Résultats!G$38*Données!H448+Résultats!G$39*Données!I448</f>
        <v>66001.985327992254</v>
      </c>
      <c r="M448">
        <f t="shared" si="24"/>
        <v>-1001.9853279922536</v>
      </c>
      <c r="Q448">
        <v>102000</v>
      </c>
      <c r="R448">
        <v>1</v>
      </c>
      <c r="S448">
        <v>38.599998474121087</v>
      </c>
      <c r="T448">
        <v>0</v>
      </c>
      <c r="U448">
        <f t="shared" si="25"/>
        <v>12.65075846679162</v>
      </c>
      <c r="V448">
        <f t="shared" si="26"/>
        <v>8.4413914779999555</v>
      </c>
      <c r="W448">
        <v>1</v>
      </c>
      <c r="X448">
        <v>0</v>
      </c>
      <c r="Y448">
        <v>0</v>
      </c>
      <c r="Z448">
        <f>'Résultat (Ln)'!F$30+'Résultat (Ln)'!F$31*Données!S448+'Résultat (Ln)'!F$32*Données!T448+'Résultat (Ln)'!F$33*Données!U448+'Résultat (Ln)'!F$34*Données!V448+'Résultat (Ln)'!F$35*Données!W448+'Résultat (Ln)'!F$36*Données!X448+'Résultat (Ln)'!F$37*Données!Y448</f>
        <v>214705.52058635384</v>
      </c>
      <c r="AA448">
        <f t="shared" si="27"/>
        <v>-112705.52058635384</v>
      </c>
    </row>
    <row r="449" spans="1:27" x14ac:dyDescent="0.25">
      <c r="A449">
        <v>135000</v>
      </c>
      <c r="B449">
        <v>1</v>
      </c>
      <c r="C449">
        <v>42.700000762939453</v>
      </c>
      <c r="D449">
        <v>0</v>
      </c>
      <c r="E449">
        <v>152000</v>
      </c>
      <c r="F449">
        <v>3571</v>
      </c>
      <c r="G449">
        <v>1</v>
      </c>
      <c r="H449">
        <v>0</v>
      </c>
      <c r="I449">
        <v>0</v>
      </c>
      <c r="J449">
        <v>29.670000076293949</v>
      </c>
      <c r="K449">
        <v>1</v>
      </c>
      <c r="L449">
        <f>Résultats!G$32+Résultats!G$33*Données!C449+Résultats!G$34*Données!D449+Résultats!G$35*Données!E449+Résultats!G$36*Données!F449+Résultats!G$37*Données!G449+Résultats!G$38*Données!H449+Résultats!G$39*Données!I449</f>
        <v>130523.18606297934</v>
      </c>
      <c r="M449">
        <f t="shared" si="24"/>
        <v>4476.8139370206627</v>
      </c>
      <c r="Q449">
        <v>65000</v>
      </c>
      <c r="R449">
        <v>1</v>
      </c>
      <c r="S449">
        <v>20</v>
      </c>
      <c r="T449">
        <v>0</v>
      </c>
      <c r="U449">
        <f t="shared" si="25"/>
        <v>11.302204433654575</v>
      </c>
      <c r="V449">
        <f t="shared" si="26"/>
        <v>6.620073206530356</v>
      </c>
      <c r="W449">
        <v>1</v>
      </c>
      <c r="X449">
        <v>6</v>
      </c>
      <c r="Y449">
        <v>1</v>
      </c>
      <c r="Z449">
        <f>'Résultat (Ln)'!F$30+'Résultat (Ln)'!F$31*Données!S449+'Résultat (Ln)'!F$32*Données!T449+'Résultat (Ln)'!F$33*Données!U449+'Résultat (Ln)'!F$34*Données!V449+'Résultat (Ln)'!F$35*Données!W449+'Résultat (Ln)'!F$36*Données!X449+'Résultat (Ln)'!F$37*Données!Y449</f>
        <v>9357.9285010499407</v>
      </c>
      <c r="AA449">
        <f t="shared" si="27"/>
        <v>55642.071498950056</v>
      </c>
    </row>
    <row r="450" spans="1:27" x14ac:dyDescent="0.25">
      <c r="A450">
        <v>106000</v>
      </c>
      <c r="B450">
        <v>1</v>
      </c>
      <c r="C450">
        <v>38</v>
      </c>
      <c r="D450">
        <v>0</v>
      </c>
      <c r="E450">
        <v>133000</v>
      </c>
      <c r="F450">
        <v>3400</v>
      </c>
      <c r="G450">
        <v>0</v>
      </c>
      <c r="H450">
        <v>0</v>
      </c>
      <c r="I450">
        <v>0</v>
      </c>
      <c r="J450">
        <v>33</v>
      </c>
      <c r="K450">
        <v>0</v>
      </c>
      <c r="L450">
        <f>Résultats!G$32+Résultats!G$33*Données!C450+Résultats!G$34*Données!D450+Résultats!G$35*Données!E450+Résultats!G$36*Données!F450+Résultats!G$37*Données!G450+Résultats!G$38*Données!H450+Résultats!G$39*Données!I450</f>
        <v>108904.34217938736</v>
      </c>
      <c r="M450">
        <f t="shared" si="24"/>
        <v>-2904.3421793873567</v>
      </c>
      <c r="Q450">
        <v>135000</v>
      </c>
      <c r="R450">
        <v>1</v>
      </c>
      <c r="S450">
        <v>42.700000762939453</v>
      </c>
      <c r="T450">
        <v>0</v>
      </c>
      <c r="U450">
        <f t="shared" si="25"/>
        <v>11.931635799828413</v>
      </c>
      <c r="V450">
        <f t="shared" si="26"/>
        <v>8.1806009475944492</v>
      </c>
      <c r="W450">
        <v>1</v>
      </c>
      <c r="X450">
        <v>0</v>
      </c>
      <c r="Y450">
        <v>0</v>
      </c>
      <c r="Z450">
        <f>'Résultat (Ln)'!F$30+'Résultat (Ln)'!F$31*Données!S450+'Résultat (Ln)'!F$32*Données!T450+'Résultat (Ln)'!F$33*Données!U450+'Résultat (Ln)'!F$34*Données!V450+'Résultat (Ln)'!F$35*Données!W450+'Résultat (Ln)'!F$36*Données!X450+'Résultat (Ln)'!F$37*Données!Y450</f>
        <v>135315.05256898366</v>
      </c>
      <c r="AA450">
        <f t="shared" si="27"/>
        <v>-315.05256898366497</v>
      </c>
    </row>
    <row r="451" spans="1:27" x14ac:dyDescent="0.25">
      <c r="A451">
        <v>125000</v>
      </c>
      <c r="B451">
        <v>1</v>
      </c>
      <c r="C451">
        <v>31</v>
      </c>
      <c r="D451">
        <v>0</v>
      </c>
      <c r="E451">
        <v>128000</v>
      </c>
      <c r="F451">
        <v>4599</v>
      </c>
      <c r="G451">
        <v>1</v>
      </c>
      <c r="H451">
        <v>0</v>
      </c>
      <c r="I451">
        <v>1</v>
      </c>
      <c r="J451">
        <v>31</v>
      </c>
      <c r="K451">
        <v>1</v>
      </c>
      <c r="L451">
        <f>Résultats!G$32+Résultats!G$33*Données!C451+Résultats!G$34*Données!D451+Résultats!G$35*Données!E451+Résultats!G$36*Données!F451+Résultats!G$37*Données!G451+Résultats!G$38*Données!H451+Résultats!G$39*Données!I451</f>
        <v>117794.36557175881</v>
      </c>
      <c r="M451">
        <f t="shared" ref="M451:M514" si="28">A451-L451</f>
        <v>7205.6344282411883</v>
      </c>
      <c r="Q451">
        <v>106000</v>
      </c>
      <c r="R451">
        <v>1</v>
      </c>
      <c r="S451">
        <v>38</v>
      </c>
      <c r="T451">
        <v>0</v>
      </c>
      <c r="U451">
        <f t="shared" si="25"/>
        <v>11.798104407203891</v>
      </c>
      <c r="V451">
        <f t="shared" si="26"/>
        <v>8.1315307106042525</v>
      </c>
      <c r="W451">
        <v>0</v>
      </c>
      <c r="X451">
        <v>0</v>
      </c>
      <c r="Y451">
        <v>0</v>
      </c>
      <c r="Z451">
        <f>'Résultat (Ln)'!F$30+'Résultat (Ln)'!F$31*Données!S451+'Résultat (Ln)'!F$32*Données!T451+'Résultat (Ln)'!F$33*Données!U451+'Résultat (Ln)'!F$34*Données!V451+'Résultat (Ln)'!F$35*Données!W451+'Résultat (Ln)'!F$36*Données!X451+'Résultat (Ln)'!F$37*Données!Y451</f>
        <v>109367.24125013081</v>
      </c>
      <c r="AA451">
        <f t="shared" si="27"/>
        <v>-3367.2412501308136</v>
      </c>
    </row>
    <row r="452" spans="1:27" x14ac:dyDescent="0.25">
      <c r="A452">
        <v>180000</v>
      </c>
      <c r="B452">
        <v>1</v>
      </c>
      <c r="C452">
        <v>43</v>
      </c>
      <c r="D452">
        <v>0</v>
      </c>
      <c r="E452">
        <v>435000</v>
      </c>
      <c r="F452">
        <v>4983</v>
      </c>
      <c r="G452">
        <v>1</v>
      </c>
      <c r="H452">
        <v>0</v>
      </c>
      <c r="I452">
        <v>0</v>
      </c>
      <c r="J452">
        <v>24</v>
      </c>
      <c r="K452">
        <v>1</v>
      </c>
      <c r="L452">
        <f>Résultats!G$32+Résultats!G$33*Données!C452+Résultats!G$34*Données!D452+Résultats!G$35*Données!E452+Résultats!G$36*Données!F452+Résultats!G$37*Données!G452+Résultats!G$38*Données!H452+Résultats!G$39*Données!I452</f>
        <v>265751.71709514735</v>
      </c>
      <c r="M452">
        <f t="shared" si="28"/>
        <v>-85751.717095147353</v>
      </c>
      <c r="Q452">
        <v>125000</v>
      </c>
      <c r="R452">
        <v>1</v>
      </c>
      <c r="S452">
        <v>31</v>
      </c>
      <c r="T452">
        <v>0</v>
      </c>
      <c r="U452">
        <f t="shared" ref="U452:U515" si="29">LN(E451)</f>
        <v>11.759785542901755</v>
      </c>
      <c r="V452">
        <f t="shared" ref="V452:V515" si="30">LN(F451)</f>
        <v>8.4335941675399244</v>
      </c>
      <c r="W452">
        <v>1</v>
      </c>
      <c r="X452">
        <v>0</v>
      </c>
      <c r="Y452">
        <v>1</v>
      </c>
      <c r="Z452">
        <f>'Résultat (Ln)'!F$30+'Résultat (Ln)'!F$31*Données!S452+'Résultat (Ln)'!F$32*Données!T452+'Résultat (Ln)'!F$33*Données!U452+'Résultat (Ln)'!F$34*Données!V452+'Résultat (Ln)'!F$35*Données!W452+'Résultat (Ln)'!F$36*Données!X452+'Résultat (Ln)'!F$37*Données!Y452</f>
        <v>123777.9130360085</v>
      </c>
      <c r="AA452">
        <f t="shared" ref="AA452:AA515" si="31">Q452-Z452</f>
        <v>1222.0869639915036</v>
      </c>
    </row>
    <row r="453" spans="1:27" x14ac:dyDescent="0.25">
      <c r="A453">
        <v>70000</v>
      </c>
      <c r="B453">
        <v>1</v>
      </c>
      <c r="C453">
        <v>26</v>
      </c>
      <c r="D453">
        <v>0</v>
      </c>
      <c r="E453">
        <v>78000</v>
      </c>
      <c r="F453">
        <v>3650</v>
      </c>
      <c r="G453">
        <v>0</v>
      </c>
      <c r="H453">
        <v>0</v>
      </c>
      <c r="I453">
        <v>0</v>
      </c>
      <c r="J453">
        <v>22</v>
      </c>
      <c r="K453">
        <v>0</v>
      </c>
      <c r="L453">
        <f>Résultats!G$32+Résultats!G$33*Données!C453+Résultats!G$34*Données!D453+Résultats!G$35*Données!E453+Résultats!G$36*Données!F453+Résultats!G$37*Données!G453+Résultats!G$38*Données!H453+Résultats!G$39*Données!I453</f>
        <v>69922.314694419416</v>
      </c>
      <c r="M453">
        <f t="shared" si="28"/>
        <v>77.6853055805841</v>
      </c>
      <c r="Q453">
        <v>180000</v>
      </c>
      <c r="R453">
        <v>1</v>
      </c>
      <c r="S453">
        <v>43</v>
      </c>
      <c r="T453">
        <v>0</v>
      </c>
      <c r="U453">
        <f t="shared" si="29"/>
        <v>12.983101310070822</v>
      </c>
      <c r="V453">
        <f t="shared" si="30"/>
        <v>8.513787398281405</v>
      </c>
      <c r="W453">
        <v>1</v>
      </c>
      <c r="X453">
        <v>0</v>
      </c>
      <c r="Y453">
        <v>0</v>
      </c>
      <c r="Z453">
        <f>'Résultat (Ln)'!F$30+'Résultat (Ln)'!F$31*Données!S453+'Résultat (Ln)'!F$32*Données!T453+'Résultat (Ln)'!F$33*Données!U453+'Résultat (Ln)'!F$34*Données!V453+'Résultat (Ln)'!F$35*Données!W453+'Résultat (Ln)'!F$36*Données!X453+'Résultat (Ln)'!F$37*Données!Y453</f>
        <v>257738.58302297822</v>
      </c>
      <c r="AA453">
        <f t="shared" si="31"/>
        <v>-77738.583022978215</v>
      </c>
    </row>
    <row r="454" spans="1:27" x14ac:dyDescent="0.25">
      <c r="A454">
        <v>265000</v>
      </c>
      <c r="B454">
        <v>1</v>
      </c>
      <c r="C454">
        <v>14</v>
      </c>
      <c r="D454">
        <v>0</v>
      </c>
      <c r="E454">
        <v>470000</v>
      </c>
      <c r="F454">
        <v>6250</v>
      </c>
      <c r="G454">
        <v>1</v>
      </c>
      <c r="H454">
        <v>0</v>
      </c>
      <c r="I454">
        <v>0</v>
      </c>
      <c r="J454">
        <v>14</v>
      </c>
      <c r="K454">
        <v>1</v>
      </c>
      <c r="L454">
        <f>Résultats!G$32+Résultats!G$33*Données!C454+Résultats!G$34*Données!D454+Résultats!G$35*Données!E454+Résultats!G$36*Données!F454+Résultats!G$37*Données!G454+Résultats!G$38*Données!H454+Résultats!G$39*Données!I454</f>
        <v>251238.81709668747</v>
      </c>
      <c r="M454">
        <f t="shared" si="28"/>
        <v>13761.182903312525</v>
      </c>
      <c r="Q454">
        <v>70000</v>
      </c>
      <c r="R454">
        <v>1</v>
      </c>
      <c r="S454">
        <v>26</v>
      </c>
      <c r="T454">
        <v>0</v>
      </c>
      <c r="U454">
        <f t="shared" si="29"/>
        <v>11.264464105671729</v>
      </c>
      <c r="V454">
        <f t="shared" si="30"/>
        <v>8.2024824465765374</v>
      </c>
      <c r="W454">
        <v>0</v>
      </c>
      <c r="X454">
        <v>0</v>
      </c>
      <c r="Y454">
        <v>0</v>
      </c>
      <c r="Z454">
        <f>'Résultat (Ln)'!F$30+'Résultat (Ln)'!F$31*Données!S454+'Résultat (Ln)'!F$32*Données!T454+'Résultat (Ln)'!F$33*Données!U454+'Résultat (Ln)'!F$34*Données!V454+'Résultat (Ln)'!F$35*Données!W454+'Résultat (Ln)'!F$36*Données!X454+'Résultat (Ln)'!F$37*Données!Y454</f>
        <v>39488.7729376106</v>
      </c>
      <c r="AA454">
        <f t="shared" si="31"/>
        <v>30511.2270623894</v>
      </c>
    </row>
    <row r="455" spans="1:27" x14ac:dyDescent="0.25">
      <c r="A455">
        <v>136000</v>
      </c>
      <c r="B455">
        <v>1</v>
      </c>
      <c r="C455">
        <v>34</v>
      </c>
      <c r="D455">
        <v>0</v>
      </c>
      <c r="E455">
        <v>170000</v>
      </c>
      <c r="F455">
        <v>5316</v>
      </c>
      <c r="G455">
        <v>0</v>
      </c>
      <c r="H455">
        <v>0</v>
      </c>
      <c r="I455">
        <v>0</v>
      </c>
      <c r="J455">
        <v>29</v>
      </c>
      <c r="K455">
        <v>1</v>
      </c>
      <c r="L455">
        <f>Résultats!G$32+Résultats!G$33*Données!C455+Résultats!G$34*Données!D455+Résultats!G$35*Données!E455+Résultats!G$36*Données!F455+Résultats!G$37*Données!G455+Résultats!G$38*Données!H455+Résultats!G$39*Données!I455</f>
        <v>125299.7321965915</v>
      </c>
      <c r="M455">
        <f t="shared" si="28"/>
        <v>10700.267803408497</v>
      </c>
      <c r="Q455">
        <v>265000</v>
      </c>
      <c r="R455">
        <v>1</v>
      </c>
      <c r="S455">
        <v>14</v>
      </c>
      <c r="T455">
        <v>0</v>
      </c>
      <c r="U455">
        <f t="shared" si="29"/>
        <v>13.060487973686241</v>
      </c>
      <c r="V455">
        <f t="shared" si="30"/>
        <v>8.740336742730447</v>
      </c>
      <c r="W455">
        <v>1</v>
      </c>
      <c r="X455">
        <v>0</v>
      </c>
      <c r="Y455">
        <v>0</v>
      </c>
      <c r="Z455">
        <f>'Résultat (Ln)'!F$30+'Résultat (Ln)'!F$31*Données!S455+'Résultat (Ln)'!F$32*Données!T455+'Résultat (Ln)'!F$33*Données!U455+'Résultat (Ln)'!F$34*Données!V455+'Résultat (Ln)'!F$35*Données!W455+'Résultat (Ln)'!F$36*Données!X455+'Résultat (Ln)'!F$37*Données!Y455</f>
        <v>236948.65813703969</v>
      </c>
      <c r="AA455">
        <f t="shared" si="31"/>
        <v>28051.341862960311</v>
      </c>
    </row>
    <row r="456" spans="1:27" x14ac:dyDescent="0.25">
      <c r="A456">
        <v>150000</v>
      </c>
      <c r="B456">
        <v>1</v>
      </c>
      <c r="C456">
        <v>29.60000038146973</v>
      </c>
      <c r="D456">
        <v>0</v>
      </c>
      <c r="E456">
        <v>301000</v>
      </c>
      <c r="F456">
        <v>5200</v>
      </c>
      <c r="G456">
        <v>0</v>
      </c>
      <c r="H456">
        <v>1</v>
      </c>
      <c r="I456">
        <v>1</v>
      </c>
      <c r="J456">
        <v>29.60000038146973</v>
      </c>
      <c r="K456">
        <v>0</v>
      </c>
      <c r="L456">
        <f>Résultats!G$32+Résultats!G$33*Données!C456+Résultats!G$34*Données!D456+Résultats!G$35*Données!E456+Résultats!G$36*Données!F456+Résultats!G$37*Données!G456+Résultats!G$38*Données!H456+Résultats!G$39*Données!I456</f>
        <v>189491.85820613347</v>
      </c>
      <c r="M456">
        <f t="shared" si="28"/>
        <v>-39491.858206133475</v>
      </c>
      <c r="Q456">
        <v>136000</v>
      </c>
      <c r="R456">
        <v>1</v>
      </c>
      <c r="S456">
        <v>34</v>
      </c>
      <c r="T456">
        <v>0</v>
      </c>
      <c r="U456">
        <f t="shared" si="29"/>
        <v>12.043553716032399</v>
      </c>
      <c r="V456">
        <f t="shared" si="30"/>
        <v>8.5784764198331356</v>
      </c>
      <c r="W456">
        <v>0</v>
      </c>
      <c r="X456">
        <v>0</v>
      </c>
      <c r="Y456">
        <v>0</v>
      </c>
      <c r="Z456">
        <f>'Résultat (Ln)'!F$30+'Résultat (Ln)'!F$31*Données!S456+'Résultat (Ln)'!F$32*Données!T456+'Résultat (Ln)'!F$33*Données!U456+'Résultat (Ln)'!F$34*Données!V456+'Résultat (Ln)'!F$35*Données!W456+'Résultat (Ln)'!F$36*Données!X456+'Résultat (Ln)'!F$37*Données!Y456</f>
        <v>143325.10184246907</v>
      </c>
      <c r="AA456">
        <f t="shared" si="31"/>
        <v>-7325.1018424690701</v>
      </c>
    </row>
    <row r="457" spans="1:27" x14ac:dyDescent="0.25">
      <c r="A457">
        <v>107000</v>
      </c>
      <c r="B457">
        <v>1</v>
      </c>
      <c r="C457">
        <v>29.29999923706055</v>
      </c>
      <c r="D457">
        <v>0</v>
      </c>
      <c r="E457">
        <v>113000</v>
      </c>
      <c r="F457">
        <v>2333</v>
      </c>
      <c r="G457">
        <v>0</v>
      </c>
      <c r="H457">
        <v>0</v>
      </c>
      <c r="I457">
        <v>1</v>
      </c>
      <c r="J457">
        <v>28.04999923706055</v>
      </c>
      <c r="K457">
        <v>1</v>
      </c>
      <c r="L457">
        <f>Résultats!G$32+Résultats!G$33*Données!C457+Résultats!G$34*Données!D457+Résultats!G$35*Données!E457+Résultats!G$36*Données!F457+Résultats!G$37*Données!G457+Résultats!G$38*Données!H457+Résultats!G$39*Données!I457</f>
        <v>97429.681368952079</v>
      </c>
      <c r="M457">
        <f t="shared" si="28"/>
        <v>9570.3186310479214</v>
      </c>
      <c r="Q457">
        <v>150000</v>
      </c>
      <c r="R457">
        <v>1</v>
      </c>
      <c r="S457">
        <v>29.60000038146973</v>
      </c>
      <c r="T457">
        <v>0</v>
      </c>
      <c r="U457">
        <f t="shared" si="29"/>
        <v>12.614865543731012</v>
      </c>
      <c r="V457">
        <f t="shared" si="30"/>
        <v>8.5564139045695189</v>
      </c>
      <c r="W457">
        <v>0</v>
      </c>
      <c r="X457">
        <v>1</v>
      </c>
      <c r="Y457">
        <v>1</v>
      </c>
      <c r="Z457">
        <f>'Résultat (Ln)'!F$30+'Résultat (Ln)'!F$31*Données!S457+'Résultat (Ln)'!F$32*Données!T457+'Résultat (Ln)'!F$33*Données!U457+'Résultat (Ln)'!F$34*Données!V457+'Résultat (Ln)'!F$35*Données!W457+'Résultat (Ln)'!F$36*Données!X457+'Résultat (Ln)'!F$37*Données!Y457</f>
        <v>212480.84811159995</v>
      </c>
      <c r="AA457">
        <f t="shared" si="31"/>
        <v>-62480.848111599946</v>
      </c>
    </row>
    <row r="458" spans="1:27" x14ac:dyDescent="0.25">
      <c r="A458">
        <v>56000</v>
      </c>
      <c r="B458">
        <v>1</v>
      </c>
      <c r="C458">
        <v>12.10000038146973</v>
      </c>
      <c r="D458">
        <v>0</v>
      </c>
      <c r="E458">
        <v>70000</v>
      </c>
      <c r="F458">
        <v>3106</v>
      </c>
      <c r="G458">
        <v>0</v>
      </c>
      <c r="H458">
        <v>9</v>
      </c>
      <c r="I458">
        <v>1</v>
      </c>
      <c r="J458">
        <v>7.4000000953674316</v>
      </c>
      <c r="K458">
        <v>1</v>
      </c>
      <c r="L458">
        <f>Résultats!G$32+Résultats!G$33*Données!C458+Résultats!G$34*Données!D458+Résultats!G$35*Données!E458+Résultats!G$36*Données!F458+Résultats!G$37*Données!G458+Résultats!G$38*Données!H458+Résultats!G$39*Données!I458</f>
        <v>44463.98293088629</v>
      </c>
      <c r="M458">
        <f t="shared" si="28"/>
        <v>11536.01706911371</v>
      </c>
      <c r="Q458">
        <v>107000</v>
      </c>
      <c r="R458">
        <v>1</v>
      </c>
      <c r="S458">
        <v>29.29999923706055</v>
      </c>
      <c r="T458">
        <v>0</v>
      </c>
      <c r="U458">
        <f t="shared" si="29"/>
        <v>11.635143097694478</v>
      </c>
      <c r="V458">
        <f t="shared" si="30"/>
        <v>7.75491027202143</v>
      </c>
      <c r="W458">
        <v>0</v>
      </c>
      <c r="X458">
        <v>0</v>
      </c>
      <c r="Y458">
        <v>1</v>
      </c>
      <c r="Z458">
        <f>'Résultat (Ln)'!F$30+'Résultat (Ln)'!F$31*Données!S458+'Résultat (Ln)'!F$32*Données!T458+'Résultat (Ln)'!F$33*Données!U458+'Résultat (Ln)'!F$34*Données!V458+'Résultat (Ln)'!F$35*Données!W458+'Résultat (Ln)'!F$36*Données!X458+'Résultat (Ln)'!F$37*Données!Y458</f>
        <v>84791.066115472437</v>
      </c>
      <c r="AA458">
        <f t="shared" si="31"/>
        <v>22208.933884527563</v>
      </c>
    </row>
    <row r="459" spans="1:27" x14ac:dyDescent="0.25">
      <c r="A459">
        <v>182000</v>
      </c>
      <c r="B459">
        <v>1</v>
      </c>
      <c r="C459">
        <v>34.900001525878913</v>
      </c>
      <c r="D459">
        <v>0</v>
      </c>
      <c r="E459">
        <v>365000</v>
      </c>
      <c r="F459">
        <v>6080</v>
      </c>
      <c r="G459">
        <v>1</v>
      </c>
      <c r="H459">
        <v>0</v>
      </c>
      <c r="I459">
        <v>0</v>
      </c>
      <c r="J459">
        <v>28.70000076293945</v>
      </c>
      <c r="K459">
        <v>1</v>
      </c>
      <c r="L459">
        <f>Résultats!G$32+Résultats!G$33*Données!C459+Résultats!G$34*Données!D459+Résultats!G$35*Données!E459+Résultats!G$36*Données!F459+Résultats!G$37*Données!G459+Résultats!G$38*Données!H459+Résultats!G$39*Données!I459</f>
        <v>225886.51271017638</v>
      </c>
      <c r="M459">
        <f t="shared" si="28"/>
        <v>-43886.512710176379</v>
      </c>
      <c r="Q459">
        <v>56000</v>
      </c>
      <c r="R459">
        <v>1</v>
      </c>
      <c r="S459">
        <v>12.10000038146973</v>
      </c>
      <c r="T459">
        <v>0</v>
      </c>
      <c r="U459">
        <f t="shared" si="29"/>
        <v>11.156250521031495</v>
      </c>
      <c r="V459">
        <f t="shared" si="30"/>
        <v>8.0410910037086332</v>
      </c>
      <c r="W459">
        <v>0</v>
      </c>
      <c r="X459">
        <v>9</v>
      </c>
      <c r="Y459">
        <v>1</v>
      </c>
      <c r="Z459">
        <f>'Résultat (Ln)'!F$30+'Résultat (Ln)'!F$31*Données!S459+'Résultat (Ln)'!F$32*Données!T459+'Résultat (Ln)'!F$33*Données!U459+'Résultat (Ln)'!F$34*Données!V459+'Résultat (Ln)'!F$35*Données!W459+'Résultat (Ln)'!F$36*Données!X459+'Résultat (Ln)'!F$37*Données!Y459</f>
        <v>18865.11571886095</v>
      </c>
      <c r="AA459">
        <f t="shared" si="31"/>
        <v>37134.88428113905</v>
      </c>
    </row>
    <row r="460" spans="1:27" x14ac:dyDescent="0.25">
      <c r="A460">
        <v>95000</v>
      </c>
      <c r="B460">
        <v>1</v>
      </c>
      <c r="C460">
        <v>37</v>
      </c>
      <c r="D460">
        <v>0</v>
      </c>
      <c r="E460">
        <v>100000</v>
      </c>
      <c r="F460">
        <v>3066</v>
      </c>
      <c r="G460">
        <v>0</v>
      </c>
      <c r="H460">
        <v>0</v>
      </c>
      <c r="I460">
        <v>0</v>
      </c>
      <c r="J460">
        <v>31</v>
      </c>
      <c r="K460">
        <v>1</v>
      </c>
      <c r="L460">
        <f>Résultats!G$32+Résultats!G$33*Données!C460+Résultats!G$34*Données!D460+Résultats!G$35*Données!E460+Résultats!G$36*Données!F460+Résultats!G$37*Données!G460+Résultats!G$38*Données!H460+Résultats!G$39*Données!I460</f>
        <v>91698.992953910725</v>
      </c>
      <c r="M460">
        <f t="shared" si="28"/>
        <v>3301.0070460892748</v>
      </c>
      <c r="Q460">
        <v>182000</v>
      </c>
      <c r="R460">
        <v>1</v>
      </c>
      <c r="S460">
        <v>34.900001525878913</v>
      </c>
      <c r="T460">
        <v>0</v>
      </c>
      <c r="U460">
        <f t="shared" si="29"/>
        <v>12.807652632564629</v>
      </c>
      <c r="V460">
        <f t="shared" si="30"/>
        <v>8.7127599749602123</v>
      </c>
      <c r="W460">
        <v>1</v>
      </c>
      <c r="X460">
        <v>0</v>
      </c>
      <c r="Y460">
        <v>0</v>
      </c>
      <c r="Z460">
        <f>'Résultat (Ln)'!F$30+'Résultat (Ln)'!F$31*Données!S460+'Résultat (Ln)'!F$32*Données!T460+'Résultat (Ln)'!F$33*Données!U460+'Résultat (Ln)'!F$34*Données!V460+'Résultat (Ln)'!F$35*Données!W460+'Résultat (Ln)'!F$36*Données!X460+'Résultat (Ln)'!F$37*Données!Y460</f>
        <v>234613.0763522877</v>
      </c>
      <c r="AA460">
        <f t="shared" si="31"/>
        <v>-52613.076352287695</v>
      </c>
    </row>
    <row r="461" spans="1:27" x14ac:dyDescent="0.25">
      <c r="A461">
        <v>104000</v>
      </c>
      <c r="B461">
        <v>1</v>
      </c>
      <c r="C461">
        <v>35</v>
      </c>
      <c r="D461">
        <v>0</v>
      </c>
      <c r="E461">
        <v>116000</v>
      </c>
      <c r="F461">
        <v>2062</v>
      </c>
      <c r="G461">
        <v>1</v>
      </c>
      <c r="H461">
        <v>0</v>
      </c>
      <c r="I461">
        <v>0</v>
      </c>
      <c r="J461">
        <v>31</v>
      </c>
      <c r="K461">
        <v>1</v>
      </c>
      <c r="L461">
        <f>Résultats!G$32+Résultats!G$33*Données!C461+Résultats!G$34*Données!D461+Résultats!G$35*Données!E461+Résultats!G$36*Données!F461+Résultats!G$37*Données!G461+Résultats!G$38*Données!H461+Résultats!G$39*Données!I461</f>
        <v>101943.98446026699</v>
      </c>
      <c r="M461">
        <f t="shared" si="28"/>
        <v>2056.0155397330091</v>
      </c>
      <c r="Q461">
        <v>95000</v>
      </c>
      <c r="R461">
        <v>1</v>
      </c>
      <c r="S461">
        <v>37</v>
      </c>
      <c r="T461">
        <v>0</v>
      </c>
      <c r="U461">
        <f t="shared" si="29"/>
        <v>11.512925464970229</v>
      </c>
      <c r="V461">
        <f t="shared" si="30"/>
        <v>8.0281290594317589</v>
      </c>
      <c r="W461">
        <v>0</v>
      </c>
      <c r="X461">
        <v>0</v>
      </c>
      <c r="Y461">
        <v>0</v>
      </c>
      <c r="Z461">
        <f>'Résultat (Ln)'!F$30+'Résultat (Ln)'!F$31*Données!S461+'Résultat (Ln)'!F$32*Données!T461+'Résultat (Ln)'!F$33*Données!U461+'Résultat (Ln)'!F$34*Données!V461+'Résultat (Ln)'!F$35*Données!W461+'Résultat (Ln)'!F$36*Données!X461+'Résultat (Ln)'!F$37*Données!Y461</f>
        <v>74675.300753374526</v>
      </c>
      <c r="AA461">
        <f t="shared" si="31"/>
        <v>20324.699246625474</v>
      </c>
    </row>
    <row r="462" spans="1:27" x14ac:dyDescent="0.25">
      <c r="A462">
        <v>83000</v>
      </c>
      <c r="B462">
        <v>1</v>
      </c>
      <c r="C462">
        <v>40</v>
      </c>
      <c r="D462">
        <v>0</v>
      </c>
      <c r="E462">
        <v>83000</v>
      </c>
      <c r="F462">
        <v>3571</v>
      </c>
      <c r="G462">
        <v>0</v>
      </c>
      <c r="H462">
        <v>0</v>
      </c>
      <c r="I462">
        <v>0</v>
      </c>
      <c r="J462">
        <v>24</v>
      </c>
      <c r="K462">
        <v>1</v>
      </c>
      <c r="L462">
        <f>Résultats!G$32+Résultats!G$33*Données!C462+Résultats!G$34*Données!D462+Résultats!G$35*Données!E462+Résultats!G$36*Données!F462+Résultats!G$37*Données!G462+Résultats!G$38*Données!H462+Résultats!G$39*Données!I462</f>
        <v>88185.381143536069</v>
      </c>
      <c r="M462">
        <f t="shared" si="28"/>
        <v>-5185.3811435360694</v>
      </c>
      <c r="Q462">
        <v>104000</v>
      </c>
      <c r="R462">
        <v>1</v>
      </c>
      <c r="S462">
        <v>35</v>
      </c>
      <c r="T462">
        <v>0</v>
      </c>
      <c r="U462">
        <f t="shared" si="29"/>
        <v>11.661345470088502</v>
      </c>
      <c r="V462">
        <f t="shared" si="30"/>
        <v>7.6314316645769056</v>
      </c>
      <c r="W462">
        <v>1</v>
      </c>
      <c r="X462">
        <v>0</v>
      </c>
      <c r="Y462">
        <v>0</v>
      </c>
      <c r="Z462">
        <f>'Résultat (Ln)'!F$30+'Résultat (Ln)'!F$31*Données!S462+'Résultat (Ln)'!F$32*Données!T462+'Résultat (Ln)'!F$33*Données!U462+'Résultat (Ln)'!F$34*Données!V462+'Résultat (Ln)'!F$35*Données!W462+'Résultat (Ln)'!F$36*Données!X462+'Résultat (Ln)'!F$37*Données!Y462</f>
        <v>81529.523216813672</v>
      </c>
      <c r="AA462">
        <f t="shared" si="31"/>
        <v>22470.476783186328</v>
      </c>
    </row>
    <row r="463" spans="1:27" x14ac:dyDescent="0.25">
      <c r="A463">
        <v>650000</v>
      </c>
      <c r="B463">
        <v>1</v>
      </c>
      <c r="C463">
        <v>32.099998474121087</v>
      </c>
      <c r="D463">
        <v>0</v>
      </c>
      <c r="E463">
        <v>1050000</v>
      </c>
      <c r="F463">
        <v>20166</v>
      </c>
      <c r="G463">
        <v>0</v>
      </c>
      <c r="H463">
        <v>0</v>
      </c>
      <c r="I463">
        <v>1</v>
      </c>
      <c r="J463">
        <v>31.70000076293945</v>
      </c>
      <c r="K463">
        <v>1</v>
      </c>
      <c r="L463">
        <f>Résultats!G$32+Résultats!G$33*Données!C463+Résultats!G$34*Données!D463+Résultats!G$35*Données!E463+Résultats!G$36*Données!F463+Résultats!G$37*Données!G463+Résultats!G$38*Données!H463+Résultats!G$39*Données!I463</f>
        <v>572737.73239388433</v>
      </c>
      <c r="M463">
        <f t="shared" si="28"/>
        <v>77262.267606115667</v>
      </c>
      <c r="Q463">
        <v>83000</v>
      </c>
      <c r="R463">
        <v>1</v>
      </c>
      <c r="S463">
        <v>40</v>
      </c>
      <c r="T463">
        <v>0</v>
      </c>
      <c r="U463">
        <f t="shared" si="29"/>
        <v>11.326595886778735</v>
      </c>
      <c r="V463">
        <f t="shared" si="30"/>
        <v>8.1806009475944492</v>
      </c>
      <c r="W463">
        <v>0</v>
      </c>
      <c r="X463">
        <v>0</v>
      </c>
      <c r="Y463">
        <v>0</v>
      </c>
      <c r="Z463">
        <f>'Résultat (Ln)'!F$30+'Résultat (Ln)'!F$31*Données!S463+'Résultat (Ln)'!F$32*Données!T463+'Résultat (Ln)'!F$33*Données!U463+'Résultat (Ln)'!F$34*Données!V463+'Résultat (Ln)'!F$35*Données!W463+'Résultat (Ln)'!F$36*Données!X463+'Résultat (Ln)'!F$37*Données!Y463</f>
        <v>62643.913988536689</v>
      </c>
      <c r="AA463">
        <f t="shared" si="31"/>
        <v>20356.086011463311</v>
      </c>
    </row>
    <row r="464" spans="1:27" x14ac:dyDescent="0.25">
      <c r="A464">
        <v>135000</v>
      </c>
      <c r="B464">
        <v>1</v>
      </c>
      <c r="C464">
        <v>38</v>
      </c>
      <c r="D464">
        <v>0</v>
      </c>
      <c r="E464">
        <v>150000</v>
      </c>
      <c r="F464">
        <v>3153</v>
      </c>
      <c r="G464">
        <v>1</v>
      </c>
      <c r="H464">
        <v>0</v>
      </c>
      <c r="I464">
        <v>0</v>
      </c>
      <c r="J464">
        <v>29</v>
      </c>
      <c r="K464">
        <v>1</v>
      </c>
      <c r="L464">
        <f>Résultats!G$32+Résultats!G$33*Données!C464+Résultats!G$34*Données!D464+Résultats!G$35*Données!E464+Résultats!G$36*Données!F464+Résultats!G$37*Données!G464+Résultats!G$38*Données!H464+Résultats!G$39*Données!I464</f>
        <v>123380.53274852886</v>
      </c>
      <c r="M464">
        <f t="shared" si="28"/>
        <v>11619.467251471142</v>
      </c>
      <c r="Q464">
        <v>650000</v>
      </c>
      <c r="R464">
        <v>1</v>
      </c>
      <c r="S464">
        <v>32.099998474121087</v>
      </c>
      <c r="T464">
        <v>0</v>
      </c>
      <c r="U464">
        <f t="shared" si="29"/>
        <v>13.864300722133706</v>
      </c>
      <c r="V464">
        <f t="shared" si="30"/>
        <v>9.9117532969531599</v>
      </c>
      <c r="W464">
        <v>0</v>
      </c>
      <c r="X464">
        <v>0</v>
      </c>
      <c r="Y464">
        <v>1</v>
      </c>
      <c r="Z464">
        <f>'Résultat (Ln)'!F$30+'Résultat (Ln)'!F$31*Données!S464+'Résultat (Ln)'!F$32*Données!T464+'Résultat (Ln)'!F$33*Données!U464+'Résultat (Ln)'!F$34*Données!V464+'Résultat (Ln)'!F$35*Données!W464+'Résultat (Ln)'!F$36*Données!X464+'Résultat (Ln)'!F$37*Données!Y464</f>
        <v>387658.96677585616</v>
      </c>
      <c r="AA464">
        <f t="shared" si="31"/>
        <v>262341.03322414384</v>
      </c>
    </row>
    <row r="465" spans="1:27" x14ac:dyDescent="0.25">
      <c r="A465">
        <v>77000</v>
      </c>
      <c r="B465">
        <v>1</v>
      </c>
      <c r="C465">
        <v>29</v>
      </c>
      <c r="D465">
        <v>0</v>
      </c>
      <c r="E465">
        <v>105000</v>
      </c>
      <c r="F465">
        <v>3235</v>
      </c>
      <c r="G465">
        <v>0</v>
      </c>
      <c r="H465">
        <v>0</v>
      </c>
      <c r="I465">
        <v>0</v>
      </c>
      <c r="J465">
        <v>16</v>
      </c>
      <c r="K465">
        <v>1</v>
      </c>
      <c r="L465">
        <f>Résultats!G$32+Résultats!G$33*Données!C465+Résultats!G$34*Données!D465+Résultats!G$35*Données!E465+Résultats!G$36*Données!F465+Résultats!G$37*Données!G465+Résultats!G$38*Données!H465+Résultats!G$39*Données!I465</f>
        <v>85171.882329144704</v>
      </c>
      <c r="M465">
        <f t="shared" si="28"/>
        <v>-8171.8823291447043</v>
      </c>
      <c r="Q465">
        <v>135000</v>
      </c>
      <c r="R465">
        <v>1</v>
      </c>
      <c r="S465">
        <v>38</v>
      </c>
      <c r="T465">
        <v>0</v>
      </c>
      <c r="U465">
        <f t="shared" si="29"/>
        <v>11.918390573078392</v>
      </c>
      <c r="V465">
        <f t="shared" si="30"/>
        <v>8.0561096595450614</v>
      </c>
      <c r="W465">
        <v>1</v>
      </c>
      <c r="X465">
        <v>0</v>
      </c>
      <c r="Y465">
        <v>0</v>
      </c>
      <c r="Z465">
        <f>'Résultat (Ln)'!F$30+'Résultat (Ln)'!F$31*Données!S465+'Résultat (Ln)'!F$32*Données!T465+'Résultat (Ln)'!F$33*Données!U465+'Résultat (Ln)'!F$34*Données!V465+'Résultat (Ln)'!F$35*Données!W465+'Résultat (Ln)'!F$36*Données!X465+'Résultat (Ln)'!F$37*Données!Y465</f>
        <v>124660.17261630694</v>
      </c>
      <c r="AA465">
        <f t="shared" si="31"/>
        <v>10339.82738369306</v>
      </c>
    </row>
    <row r="466" spans="1:27" x14ac:dyDescent="0.25">
      <c r="A466">
        <v>200000</v>
      </c>
      <c r="B466">
        <v>1</v>
      </c>
      <c r="C466">
        <v>39</v>
      </c>
      <c r="D466">
        <v>0</v>
      </c>
      <c r="E466">
        <v>350000</v>
      </c>
      <c r="F466">
        <v>5058</v>
      </c>
      <c r="G466">
        <v>0</v>
      </c>
      <c r="H466">
        <v>0</v>
      </c>
      <c r="I466">
        <v>0</v>
      </c>
      <c r="J466">
        <v>39</v>
      </c>
      <c r="K466">
        <v>0</v>
      </c>
      <c r="L466">
        <f>Résultats!G$32+Résultats!G$33*Données!C466+Résultats!G$34*Données!D466+Résultats!G$35*Données!E466+Résultats!G$36*Données!F466+Résultats!G$37*Données!G466+Résultats!G$38*Données!H466+Résultats!G$39*Données!I466</f>
        <v>214594.72331288678</v>
      </c>
      <c r="M466">
        <f t="shared" si="28"/>
        <v>-14594.723312886781</v>
      </c>
      <c r="Q466">
        <v>77000</v>
      </c>
      <c r="R466">
        <v>1</v>
      </c>
      <c r="S466">
        <v>29</v>
      </c>
      <c r="T466">
        <v>0</v>
      </c>
      <c r="U466">
        <f t="shared" si="29"/>
        <v>11.561715629139661</v>
      </c>
      <c r="V466">
        <f t="shared" si="30"/>
        <v>8.0817842069350014</v>
      </c>
      <c r="W466">
        <v>0</v>
      </c>
      <c r="X466">
        <v>0</v>
      </c>
      <c r="Y466">
        <v>0</v>
      </c>
      <c r="Z466">
        <f>'Résultat (Ln)'!F$30+'Résultat (Ln)'!F$31*Données!S466+'Résultat (Ln)'!F$32*Données!T466+'Résultat (Ln)'!F$33*Données!U466+'Résultat (Ln)'!F$34*Données!V466+'Résultat (Ln)'!F$35*Données!W466+'Résultat (Ln)'!F$36*Données!X466+'Résultat (Ln)'!F$37*Données!Y466</f>
        <v>71633.863433739723</v>
      </c>
      <c r="AA466">
        <f t="shared" si="31"/>
        <v>5366.1365662602766</v>
      </c>
    </row>
    <row r="467" spans="1:27" x14ac:dyDescent="0.25">
      <c r="A467">
        <v>74000</v>
      </c>
      <c r="B467">
        <v>1</v>
      </c>
      <c r="C467">
        <v>26</v>
      </c>
      <c r="D467">
        <v>0</v>
      </c>
      <c r="E467">
        <v>74000</v>
      </c>
      <c r="F467">
        <v>2014</v>
      </c>
      <c r="G467">
        <v>0</v>
      </c>
      <c r="H467">
        <v>0</v>
      </c>
      <c r="I467">
        <v>1</v>
      </c>
      <c r="J467">
        <v>19</v>
      </c>
      <c r="K467">
        <v>1</v>
      </c>
      <c r="L467">
        <f>Résultats!G$32+Résultats!G$33*Données!C467+Résultats!G$34*Données!D467+Résultats!G$35*Données!E467+Résultats!G$36*Données!F467+Résultats!G$37*Données!G467+Résultats!G$38*Données!H467+Résultats!G$39*Données!I467</f>
        <v>74809.738346321232</v>
      </c>
      <c r="M467">
        <f t="shared" si="28"/>
        <v>-809.7383463212318</v>
      </c>
      <c r="Q467">
        <v>200000</v>
      </c>
      <c r="R467">
        <v>1</v>
      </c>
      <c r="S467">
        <v>39</v>
      </c>
      <c r="T467">
        <v>0</v>
      </c>
      <c r="U467">
        <f t="shared" si="29"/>
        <v>12.765688433465597</v>
      </c>
      <c r="V467">
        <f t="shared" si="30"/>
        <v>8.5287264272299108</v>
      </c>
      <c r="W467">
        <v>0</v>
      </c>
      <c r="X467">
        <v>0</v>
      </c>
      <c r="Y467">
        <v>0</v>
      </c>
      <c r="Z467">
        <f>'Résultat (Ln)'!F$30+'Résultat (Ln)'!F$31*Données!S467+'Résultat (Ln)'!F$32*Données!T467+'Résultat (Ln)'!F$33*Données!U467+'Résultat (Ln)'!F$34*Données!V467+'Résultat (Ln)'!F$35*Données!W467+'Résultat (Ln)'!F$36*Données!X467+'Résultat (Ln)'!F$37*Données!Y467</f>
        <v>225449.66874538988</v>
      </c>
      <c r="AA467">
        <f t="shared" si="31"/>
        <v>-25449.668745389878</v>
      </c>
    </row>
    <row r="468" spans="1:27" x14ac:dyDescent="0.25">
      <c r="A468">
        <v>252000</v>
      </c>
      <c r="B468">
        <v>1</v>
      </c>
      <c r="C468">
        <v>32</v>
      </c>
      <c r="D468">
        <v>0</v>
      </c>
      <c r="E468">
        <v>315000</v>
      </c>
      <c r="F468">
        <v>10000</v>
      </c>
      <c r="G468">
        <v>0</v>
      </c>
      <c r="H468">
        <v>0</v>
      </c>
      <c r="I468">
        <v>0</v>
      </c>
      <c r="J468">
        <v>29</v>
      </c>
      <c r="K468">
        <v>1</v>
      </c>
      <c r="L468">
        <f>Résultats!G$32+Résultats!G$33*Données!C468+Résultats!G$34*Données!D468+Résultats!G$35*Données!E468+Résultats!G$36*Données!F468+Résultats!G$37*Données!G468+Résultats!G$38*Données!H468+Résultats!G$39*Données!I468</f>
        <v>199787.21141708622</v>
      </c>
      <c r="M468">
        <f t="shared" si="28"/>
        <v>52212.788582913781</v>
      </c>
      <c r="Q468">
        <v>74000</v>
      </c>
      <c r="R468">
        <v>1</v>
      </c>
      <c r="S468">
        <v>26</v>
      </c>
      <c r="T468">
        <v>0</v>
      </c>
      <c r="U468">
        <f t="shared" si="29"/>
        <v>11.211820372186306</v>
      </c>
      <c r="V468">
        <f t="shared" si="30"/>
        <v>7.6078780732785072</v>
      </c>
      <c r="W468">
        <v>0</v>
      </c>
      <c r="X468">
        <v>0</v>
      </c>
      <c r="Y468">
        <v>1</v>
      </c>
      <c r="Z468">
        <f>'Résultat (Ln)'!F$30+'Résultat (Ln)'!F$31*Données!S468+'Résultat (Ln)'!F$32*Données!T468+'Résultat (Ln)'!F$33*Données!U468+'Résultat (Ln)'!F$34*Données!V468+'Résultat (Ln)'!F$35*Données!W468+'Résultat (Ln)'!F$36*Données!X468+'Résultat (Ln)'!F$37*Données!Y468</f>
        <v>31256.377929579612</v>
      </c>
      <c r="AA468">
        <f t="shared" si="31"/>
        <v>42743.622070420388</v>
      </c>
    </row>
    <row r="469" spans="1:27" x14ac:dyDescent="0.25">
      <c r="A469">
        <v>130000</v>
      </c>
      <c r="B469">
        <v>1</v>
      </c>
      <c r="C469">
        <v>33.099998474121087</v>
      </c>
      <c r="D469">
        <v>0</v>
      </c>
      <c r="E469">
        <v>320000</v>
      </c>
      <c r="F469">
        <v>3188</v>
      </c>
      <c r="G469">
        <v>1</v>
      </c>
      <c r="H469">
        <v>0</v>
      </c>
      <c r="I469">
        <v>1</v>
      </c>
      <c r="J469">
        <v>26.20000076293945</v>
      </c>
      <c r="K469">
        <v>1</v>
      </c>
      <c r="L469">
        <f>Résultats!G$32+Résultats!G$33*Données!C469+Résultats!G$34*Données!D469+Résultats!G$35*Données!E469+Résultats!G$36*Données!F469+Résultats!G$37*Données!G469+Résultats!G$38*Données!H469+Résultats!G$39*Données!I469</f>
        <v>207127.38122723572</v>
      </c>
      <c r="M469">
        <f t="shared" si="28"/>
        <v>-77127.381227235717</v>
      </c>
      <c r="Q469">
        <v>252000</v>
      </c>
      <c r="R469">
        <v>1</v>
      </c>
      <c r="S469">
        <v>32</v>
      </c>
      <c r="T469">
        <v>0</v>
      </c>
      <c r="U469">
        <f t="shared" si="29"/>
        <v>12.66032791780777</v>
      </c>
      <c r="V469">
        <f t="shared" si="30"/>
        <v>9.2103403719761836</v>
      </c>
      <c r="W469">
        <v>0</v>
      </c>
      <c r="X469">
        <v>0</v>
      </c>
      <c r="Y469">
        <v>0</v>
      </c>
      <c r="Z469">
        <f>'Résultat (Ln)'!F$30+'Résultat (Ln)'!F$31*Données!S469+'Résultat (Ln)'!F$32*Données!T469+'Résultat (Ln)'!F$33*Données!U469+'Résultat (Ln)'!F$34*Données!V469+'Résultat (Ln)'!F$35*Données!W469+'Résultat (Ln)'!F$36*Données!X469+'Résultat (Ln)'!F$37*Données!Y469</f>
        <v>224717.60532829902</v>
      </c>
      <c r="AA469">
        <f t="shared" si="31"/>
        <v>27282.394671700982</v>
      </c>
    </row>
    <row r="470" spans="1:27" x14ac:dyDescent="0.25">
      <c r="A470">
        <v>170000</v>
      </c>
      <c r="B470">
        <v>1</v>
      </c>
      <c r="C470">
        <v>26</v>
      </c>
      <c r="D470">
        <v>1</v>
      </c>
      <c r="E470">
        <v>255000</v>
      </c>
      <c r="F470">
        <v>7500</v>
      </c>
      <c r="G470">
        <v>1</v>
      </c>
      <c r="H470">
        <v>0</v>
      </c>
      <c r="I470">
        <v>0</v>
      </c>
      <c r="J470">
        <v>24</v>
      </c>
      <c r="K470">
        <v>1</v>
      </c>
      <c r="L470">
        <f>Résultats!G$32+Résultats!G$33*Données!C470+Résultats!G$34*Données!D470+Résultats!G$35*Données!E470+Résultats!G$36*Données!F470+Résultats!G$37*Données!G470+Résultats!G$38*Données!H470+Résultats!G$39*Données!I470</f>
        <v>171898.39180397225</v>
      </c>
      <c r="M470">
        <f t="shared" si="28"/>
        <v>-1898.3918039722485</v>
      </c>
      <c r="Q470">
        <v>130000</v>
      </c>
      <c r="R470">
        <v>1</v>
      </c>
      <c r="S470">
        <v>33.099998474121087</v>
      </c>
      <c r="T470">
        <v>0</v>
      </c>
      <c r="U470">
        <f t="shared" si="29"/>
        <v>12.676076274775909</v>
      </c>
      <c r="V470">
        <f t="shared" si="30"/>
        <v>8.067149039910106</v>
      </c>
      <c r="W470">
        <v>1</v>
      </c>
      <c r="X470">
        <v>0</v>
      </c>
      <c r="Y470">
        <v>1</v>
      </c>
      <c r="Z470">
        <f>'Résultat (Ln)'!F$30+'Résultat (Ln)'!F$31*Données!S470+'Résultat (Ln)'!F$32*Données!T470+'Résultat (Ln)'!F$33*Données!U470+'Résultat (Ln)'!F$34*Données!V470+'Résultat (Ln)'!F$35*Données!W470+'Résultat (Ln)'!F$36*Données!X470+'Résultat (Ln)'!F$37*Données!Y470</f>
        <v>214289.25703454009</v>
      </c>
      <c r="AA470">
        <f t="shared" si="31"/>
        <v>-84289.257034540089</v>
      </c>
    </row>
    <row r="471" spans="1:27" x14ac:dyDescent="0.25">
      <c r="A471">
        <v>104000</v>
      </c>
      <c r="B471">
        <v>1</v>
      </c>
      <c r="C471">
        <v>34</v>
      </c>
      <c r="D471">
        <v>0</v>
      </c>
      <c r="E471">
        <v>130000</v>
      </c>
      <c r="F471">
        <v>1958</v>
      </c>
      <c r="G471">
        <v>0</v>
      </c>
      <c r="H471">
        <v>1</v>
      </c>
      <c r="I471">
        <v>0</v>
      </c>
      <c r="J471">
        <v>27</v>
      </c>
      <c r="K471">
        <v>0</v>
      </c>
      <c r="L471">
        <f>Résultats!G$32+Résultats!G$33*Données!C471+Résultats!G$34*Données!D471+Résultats!G$35*Données!E471+Résultats!G$36*Données!F471+Résultats!G$37*Données!G471+Résultats!G$38*Données!H471+Résultats!G$39*Données!I471</f>
        <v>98489.234996301311</v>
      </c>
      <c r="M471">
        <f t="shared" si="28"/>
        <v>5510.7650036986888</v>
      </c>
      <c r="Q471">
        <v>170000</v>
      </c>
      <c r="R471">
        <v>1</v>
      </c>
      <c r="S471">
        <v>26</v>
      </c>
      <c r="T471">
        <v>1</v>
      </c>
      <c r="U471">
        <f t="shared" si="29"/>
        <v>12.449018824140563</v>
      </c>
      <c r="V471">
        <f t="shared" si="30"/>
        <v>8.9226582995244019</v>
      </c>
      <c r="W471">
        <v>1</v>
      </c>
      <c r="X471">
        <v>0</v>
      </c>
      <c r="Y471">
        <v>0</v>
      </c>
      <c r="Z471">
        <f>'Résultat (Ln)'!F$30+'Résultat (Ln)'!F$31*Données!S471+'Résultat (Ln)'!F$32*Données!T471+'Résultat (Ln)'!F$33*Données!U471+'Résultat (Ln)'!F$34*Données!V471+'Résultat (Ln)'!F$35*Données!W471+'Résultat (Ln)'!F$36*Données!X471+'Résultat (Ln)'!F$37*Données!Y471</f>
        <v>195528.53257300277</v>
      </c>
      <c r="AA471">
        <f t="shared" si="31"/>
        <v>-25528.532573002769</v>
      </c>
    </row>
    <row r="472" spans="1:27" x14ac:dyDescent="0.25">
      <c r="A472">
        <v>70000</v>
      </c>
      <c r="B472">
        <v>1</v>
      </c>
      <c r="C472">
        <v>39.900001525878913</v>
      </c>
      <c r="D472">
        <v>0</v>
      </c>
      <c r="E472">
        <v>87000</v>
      </c>
      <c r="F472">
        <v>2718</v>
      </c>
      <c r="G472">
        <v>0</v>
      </c>
      <c r="H472">
        <v>0</v>
      </c>
      <c r="I472">
        <v>1</v>
      </c>
      <c r="J472">
        <v>27.20000076293945</v>
      </c>
      <c r="K472">
        <v>1</v>
      </c>
      <c r="L472">
        <f>Résultats!G$32+Résultats!G$33*Données!C472+Résultats!G$34*Données!D472+Résultats!G$35*Données!E472+Résultats!G$36*Données!F472+Résultats!G$37*Données!G472+Résultats!G$38*Données!H472+Résultats!G$39*Données!I472</f>
        <v>98210.853167025794</v>
      </c>
      <c r="M472">
        <f t="shared" si="28"/>
        <v>-28210.853167025794</v>
      </c>
      <c r="Q472">
        <v>104000</v>
      </c>
      <c r="R472">
        <v>1</v>
      </c>
      <c r="S472">
        <v>34</v>
      </c>
      <c r="T472">
        <v>0</v>
      </c>
      <c r="U472">
        <f t="shared" si="29"/>
        <v>11.77528972943772</v>
      </c>
      <c r="V472">
        <f t="shared" si="30"/>
        <v>7.5796788230904557</v>
      </c>
      <c r="W472">
        <v>0</v>
      </c>
      <c r="X472">
        <v>1</v>
      </c>
      <c r="Y472">
        <v>0</v>
      </c>
      <c r="Z472">
        <f>'Résultat (Ln)'!F$30+'Résultat (Ln)'!F$31*Données!S472+'Résultat (Ln)'!F$32*Données!T472+'Résultat (Ln)'!F$33*Données!U472+'Résultat (Ln)'!F$34*Données!V472+'Résultat (Ln)'!F$35*Données!W472+'Résultat (Ln)'!F$36*Données!X472+'Résultat (Ln)'!F$37*Données!Y472</f>
        <v>86378.782255394632</v>
      </c>
      <c r="AA472">
        <f t="shared" si="31"/>
        <v>17621.217744605368</v>
      </c>
    </row>
    <row r="473" spans="1:27" x14ac:dyDescent="0.25">
      <c r="A473">
        <v>119000</v>
      </c>
      <c r="B473">
        <v>1</v>
      </c>
      <c r="C473">
        <v>39</v>
      </c>
      <c r="D473">
        <v>0</v>
      </c>
      <c r="E473">
        <v>159000</v>
      </c>
      <c r="F473">
        <v>2623</v>
      </c>
      <c r="G473">
        <v>1</v>
      </c>
      <c r="H473">
        <v>0</v>
      </c>
      <c r="I473">
        <v>0</v>
      </c>
      <c r="J473">
        <v>28</v>
      </c>
      <c r="K473">
        <v>1</v>
      </c>
      <c r="L473">
        <f>Résultats!G$32+Résultats!G$33*Données!C473+Résultats!G$34*Données!D473+Résultats!G$35*Données!E473+Résultats!G$36*Données!F473+Résultats!G$37*Données!G473+Résultats!G$38*Données!H473+Résultats!G$39*Données!I473</f>
        <v>127704.75524184959</v>
      </c>
      <c r="M473">
        <f t="shared" si="28"/>
        <v>-8704.7552418495907</v>
      </c>
      <c r="Q473">
        <v>70000</v>
      </c>
      <c r="R473">
        <v>1</v>
      </c>
      <c r="S473">
        <v>39.900001525878913</v>
      </c>
      <c r="T473">
        <v>0</v>
      </c>
      <c r="U473">
        <f t="shared" si="29"/>
        <v>11.373663397636721</v>
      </c>
      <c r="V473">
        <f t="shared" si="30"/>
        <v>7.9076515947110888</v>
      </c>
      <c r="W473">
        <v>0</v>
      </c>
      <c r="X473">
        <v>0</v>
      </c>
      <c r="Y473">
        <v>1</v>
      </c>
      <c r="Z473">
        <f>'Résultat (Ln)'!F$30+'Résultat (Ln)'!F$31*Données!S473+'Résultat (Ln)'!F$32*Données!T473+'Résultat (Ln)'!F$33*Données!U473+'Résultat (Ln)'!F$34*Données!V473+'Résultat (Ln)'!F$35*Données!W473+'Résultat (Ln)'!F$36*Données!X473+'Résultat (Ln)'!F$37*Données!Y473</f>
        <v>73998.990143118717</v>
      </c>
      <c r="AA473">
        <f t="shared" si="31"/>
        <v>-3998.9901431187172</v>
      </c>
    </row>
    <row r="474" spans="1:27" x14ac:dyDescent="0.25">
      <c r="A474">
        <v>225000</v>
      </c>
      <c r="B474">
        <v>1</v>
      </c>
      <c r="C474">
        <v>44.5</v>
      </c>
      <c r="D474">
        <v>0</v>
      </c>
      <c r="E474">
        <v>260000</v>
      </c>
      <c r="F474">
        <v>6291</v>
      </c>
      <c r="G474">
        <v>1</v>
      </c>
      <c r="H474">
        <v>0</v>
      </c>
      <c r="I474">
        <v>1</v>
      </c>
      <c r="J474">
        <v>36.069999694824219</v>
      </c>
      <c r="K474">
        <v>1</v>
      </c>
      <c r="L474">
        <f>Résultats!G$32+Résultats!G$33*Données!C474+Résultats!G$34*Données!D474+Résultats!G$35*Données!E474+Résultats!G$36*Données!F474+Résultats!G$37*Données!G474+Résultats!G$38*Données!H474+Résultats!G$39*Données!I474</f>
        <v>198217.9833774929</v>
      </c>
      <c r="M474">
        <f t="shared" si="28"/>
        <v>26782.016622507101</v>
      </c>
      <c r="Q474">
        <v>119000</v>
      </c>
      <c r="R474">
        <v>1</v>
      </c>
      <c r="S474">
        <v>39</v>
      </c>
      <c r="T474">
        <v>0</v>
      </c>
      <c r="U474">
        <f t="shared" si="29"/>
        <v>11.976659481202368</v>
      </c>
      <c r="V474">
        <f t="shared" si="30"/>
        <v>7.8720739798668733</v>
      </c>
      <c r="W474">
        <v>1</v>
      </c>
      <c r="X474">
        <v>0</v>
      </c>
      <c r="Y474">
        <v>0</v>
      </c>
      <c r="Z474">
        <f>'Résultat (Ln)'!F$30+'Résultat (Ln)'!F$31*Données!S474+'Résultat (Ln)'!F$32*Données!T474+'Résultat (Ln)'!F$33*Données!U474+'Résultat (Ln)'!F$34*Données!V474+'Résultat (Ln)'!F$35*Données!W474+'Résultat (Ln)'!F$36*Données!X474+'Résultat (Ln)'!F$37*Données!Y474</f>
        <v>126966.95563971346</v>
      </c>
      <c r="AA474">
        <f t="shared" si="31"/>
        <v>-7966.9556397134584</v>
      </c>
    </row>
    <row r="475" spans="1:27" x14ac:dyDescent="0.25">
      <c r="A475">
        <v>101000</v>
      </c>
      <c r="B475">
        <v>1</v>
      </c>
      <c r="C475">
        <v>26</v>
      </c>
      <c r="D475">
        <v>0</v>
      </c>
      <c r="E475">
        <v>112000</v>
      </c>
      <c r="F475">
        <v>6250</v>
      </c>
      <c r="G475">
        <v>1</v>
      </c>
      <c r="H475">
        <v>1</v>
      </c>
      <c r="I475">
        <v>0</v>
      </c>
      <c r="J475">
        <v>14</v>
      </c>
      <c r="K475">
        <v>1</v>
      </c>
      <c r="L475">
        <f>Résultats!G$32+Résultats!G$33*Données!C475+Résultats!G$34*Données!D475+Résultats!G$35*Données!E475+Résultats!G$36*Données!F475+Résultats!G$37*Données!G475+Résultats!G$38*Données!H475+Résultats!G$39*Données!I475</f>
        <v>96228.31498212491</v>
      </c>
      <c r="M475">
        <f t="shared" si="28"/>
        <v>4771.6850178750901</v>
      </c>
      <c r="Q475">
        <v>225000</v>
      </c>
      <c r="R475">
        <v>1</v>
      </c>
      <c r="S475">
        <v>44.5</v>
      </c>
      <c r="T475">
        <v>0</v>
      </c>
      <c r="U475">
        <f t="shared" si="29"/>
        <v>12.468436909997665</v>
      </c>
      <c r="V475">
        <f t="shared" si="30"/>
        <v>8.7468753195700302</v>
      </c>
      <c r="W475">
        <v>1</v>
      </c>
      <c r="X475">
        <v>0</v>
      </c>
      <c r="Y475">
        <v>1</v>
      </c>
      <c r="Z475">
        <f>'Résultat (Ln)'!F$30+'Résultat (Ln)'!F$31*Données!S475+'Résultat (Ln)'!F$32*Données!T475+'Résultat (Ln)'!F$33*Données!U475+'Résultat (Ln)'!F$34*Données!V475+'Résultat (Ln)'!F$35*Données!W475+'Résultat (Ln)'!F$36*Données!X475+'Résultat (Ln)'!F$37*Données!Y475</f>
        <v>225025.96909569399</v>
      </c>
      <c r="AA475">
        <f t="shared" si="31"/>
        <v>-25.969095693988493</v>
      </c>
    </row>
    <row r="476" spans="1:27" x14ac:dyDescent="0.25">
      <c r="A476">
        <v>25000</v>
      </c>
      <c r="B476">
        <v>1</v>
      </c>
      <c r="C476">
        <v>26</v>
      </c>
      <c r="D476">
        <v>0</v>
      </c>
      <c r="E476">
        <v>25000</v>
      </c>
      <c r="F476">
        <v>3459</v>
      </c>
      <c r="G476">
        <v>1</v>
      </c>
      <c r="H476">
        <v>0</v>
      </c>
      <c r="I476">
        <v>0</v>
      </c>
      <c r="J476">
        <v>16</v>
      </c>
      <c r="K476">
        <v>1</v>
      </c>
      <c r="L476">
        <f>Résultats!G$32+Résultats!G$33*Données!C476+Résultats!G$34*Données!D476+Résultats!G$35*Données!E476+Résultats!G$36*Données!F476+Résultats!G$37*Données!G476+Résultats!G$38*Données!H476+Résultats!G$39*Données!I476</f>
        <v>51820.292548959842</v>
      </c>
      <c r="M476">
        <f t="shared" si="28"/>
        <v>-26820.292548959842</v>
      </c>
      <c r="Q476">
        <v>101000</v>
      </c>
      <c r="R476">
        <v>1</v>
      </c>
      <c r="S476">
        <v>26</v>
      </c>
      <c r="T476">
        <v>0</v>
      </c>
      <c r="U476">
        <f t="shared" si="29"/>
        <v>11.626254150277232</v>
      </c>
      <c r="V476">
        <f t="shared" si="30"/>
        <v>8.740336742730447</v>
      </c>
      <c r="W476">
        <v>1</v>
      </c>
      <c r="X476">
        <v>1</v>
      </c>
      <c r="Y476">
        <v>0</v>
      </c>
      <c r="Z476">
        <f>'Résultat (Ln)'!F$30+'Résultat (Ln)'!F$31*Données!S476+'Résultat (Ln)'!F$32*Données!T476+'Résultat (Ln)'!F$33*Données!U476+'Résultat (Ln)'!F$34*Données!V476+'Résultat (Ln)'!F$35*Données!W476+'Résultat (Ln)'!F$36*Données!X476+'Résultat (Ln)'!F$37*Données!Y476</f>
        <v>97692.103664697759</v>
      </c>
      <c r="AA476">
        <f t="shared" si="31"/>
        <v>3307.8963353022409</v>
      </c>
    </row>
    <row r="477" spans="1:27" x14ac:dyDescent="0.25">
      <c r="A477">
        <v>390000</v>
      </c>
      <c r="B477">
        <v>1</v>
      </c>
      <c r="C477">
        <v>30.5</v>
      </c>
      <c r="D477">
        <v>0</v>
      </c>
      <c r="E477">
        <v>488000</v>
      </c>
      <c r="F477">
        <v>13518</v>
      </c>
      <c r="G477">
        <v>1</v>
      </c>
      <c r="H477">
        <v>0</v>
      </c>
      <c r="I477">
        <v>0</v>
      </c>
      <c r="J477">
        <v>22.5</v>
      </c>
      <c r="K477">
        <v>1</v>
      </c>
      <c r="L477">
        <f>Résultats!G$32+Résultats!G$33*Données!C477+Résultats!G$34*Données!D477+Résultats!G$35*Données!E477+Résultats!G$36*Données!F477+Résultats!G$37*Données!G477+Résultats!G$38*Données!H477+Résultats!G$39*Données!I477</f>
        <v>292680.87576255051</v>
      </c>
      <c r="M477">
        <f t="shared" si="28"/>
        <v>97319.12423744949</v>
      </c>
      <c r="Q477">
        <v>25000</v>
      </c>
      <c r="R477">
        <v>1</v>
      </c>
      <c r="S477">
        <v>26</v>
      </c>
      <c r="T477">
        <v>0</v>
      </c>
      <c r="U477">
        <f t="shared" si="29"/>
        <v>10.126631103850338</v>
      </c>
      <c r="V477">
        <f t="shared" si="30"/>
        <v>8.1487348089371689</v>
      </c>
      <c r="W477">
        <v>1</v>
      </c>
      <c r="X477">
        <v>0</v>
      </c>
      <c r="Y477">
        <v>0</v>
      </c>
      <c r="Z477">
        <f>'Résultat (Ln)'!F$30+'Résultat (Ln)'!F$31*Données!S477+'Résultat (Ln)'!F$32*Données!T477+'Résultat (Ln)'!F$33*Données!U477+'Résultat (Ln)'!F$34*Données!V477+'Résultat (Ln)'!F$35*Données!W477+'Résultat (Ln)'!F$36*Données!X477+'Résultat (Ln)'!F$37*Données!Y477</f>
        <v>-79475.244397565533</v>
      </c>
      <c r="AA477">
        <f t="shared" si="31"/>
        <v>104475.24439756553</v>
      </c>
    </row>
    <row r="478" spans="1:27" x14ac:dyDescent="0.25">
      <c r="A478">
        <v>168000</v>
      </c>
      <c r="B478">
        <v>1</v>
      </c>
      <c r="C478">
        <v>31</v>
      </c>
      <c r="D478">
        <v>0</v>
      </c>
      <c r="E478">
        <v>210000</v>
      </c>
      <c r="F478">
        <v>2756</v>
      </c>
      <c r="G478">
        <v>1</v>
      </c>
      <c r="H478">
        <v>0</v>
      </c>
      <c r="I478">
        <v>0</v>
      </c>
      <c r="J478">
        <v>21</v>
      </c>
      <c r="K478">
        <v>1</v>
      </c>
      <c r="L478">
        <f>Résultats!G$32+Résultats!G$33*Données!C478+Résultats!G$34*Données!D478+Résultats!G$35*Données!E478+Résultats!G$36*Données!F478+Résultats!G$37*Données!G478+Résultats!G$38*Données!H478+Résultats!G$39*Données!I478</f>
        <v>142587.73463085687</v>
      </c>
      <c r="M478">
        <f t="shared" si="28"/>
        <v>25412.265369143133</v>
      </c>
      <c r="Q478">
        <v>390000</v>
      </c>
      <c r="R478">
        <v>1</v>
      </c>
      <c r="S478">
        <v>30.5</v>
      </c>
      <c r="T478">
        <v>0</v>
      </c>
      <c r="U478">
        <f t="shared" si="29"/>
        <v>13.098070684835283</v>
      </c>
      <c r="V478">
        <f t="shared" si="30"/>
        <v>9.5117774096602989</v>
      </c>
      <c r="W478">
        <v>1</v>
      </c>
      <c r="X478">
        <v>0</v>
      </c>
      <c r="Y478">
        <v>0</v>
      </c>
      <c r="Z478">
        <f>'Résultat (Ln)'!F$30+'Résultat (Ln)'!F$31*Données!S478+'Résultat (Ln)'!F$32*Données!T478+'Résultat (Ln)'!F$33*Données!U478+'Résultat (Ln)'!F$34*Données!V478+'Résultat (Ln)'!F$35*Données!W478+'Résultat (Ln)'!F$36*Données!X478+'Résultat (Ln)'!F$37*Données!Y478</f>
        <v>282776.69930758094</v>
      </c>
      <c r="AA478">
        <f t="shared" si="31"/>
        <v>107223.30069241906</v>
      </c>
    </row>
    <row r="479" spans="1:27" x14ac:dyDescent="0.25">
      <c r="A479">
        <v>87000</v>
      </c>
      <c r="B479">
        <v>1</v>
      </c>
      <c r="C479">
        <v>40</v>
      </c>
      <c r="D479">
        <v>0</v>
      </c>
      <c r="E479">
        <v>109000</v>
      </c>
      <c r="F479">
        <v>3466</v>
      </c>
      <c r="G479">
        <v>1</v>
      </c>
      <c r="H479">
        <v>0</v>
      </c>
      <c r="I479">
        <v>0</v>
      </c>
      <c r="J479">
        <v>26</v>
      </c>
      <c r="K479">
        <v>1</v>
      </c>
      <c r="L479">
        <f>Résultats!G$32+Résultats!G$33*Données!C479+Résultats!G$34*Données!D479+Résultats!G$35*Données!E479+Résultats!G$36*Données!F479+Résultats!G$37*Données!G479+Résultats!G$38*Données!H479+Résultats!G$39*Données!I479</f>
        <v>107139.31693666849</v>
      </c>
      <c r="M479">
        <f t="shared" si="28"/>
        <v>-20139.316936668489</v>
      </c>
      <c r="Q479">
        <v>168000</v>
      </c>
      <c r="R479">
        <v>1</v>
      </c>
      <c r="S479">
        <v>31</v>
      </c>
      <c r="T479">
        <v>0</v>
      </c>
      <c r="U479">
        <f t="shared" si="29"/>
        <v>12.254862809699606</v>
      </c>
      <c r="V479">
        <f t="shared" si="30"/>
        <v>7.9215356321335495</v>
      </c>
      <c r="W479">
        <v>1</v>
      </c>
      <c r="X479">
        <v>0</v>
      </c>
      <c r="Y479">
        <v>0</v>
      </c>
      <c r="Z479">
        <f>'Résultat (Ln)'!F$30+'Résultat (Ln)'!F$31*Données!S479+'Résultat (Ln)'!F$32*Données!T479+'Résultat (Ln)'!F$33*Données!U479+'Résultat (Ln)'!F$34*Données!V479+'Résultat (Ln)'!F$35*Données!W479+'Résultat (Ln)'!F$36*Données!X479+'Résultat (Ln)'!F$37*Données!Y479</f>
        <v>148399.98250827938</v>
      </c>
      <c r="AA479">
        <f t="shared" si="31"/>
        <v>19600.017491720617</v>
      </c>
    </row>
    <row r="480" spans="1:27" x14ac:dyDescent="0.25">
      <c r="A480">
        <v>185000</v>
      </c>
      <c r="B480">
        <v>1</v>
      </c>
      <c r="C480">
        <v>32.5</v>
      </c>
      <c r="D480">
        <v>0</v>
      </c>
      <c r="E480">
        <v>240000</v>
      </c>
      <c r="F480">
        <v>4364</v>
      </c>
      <c r="G480">
        <v>1</v>
      </c>
      <c r="H480">
        <v>0</v>
      </c>
      <c r="I480">
        <v>0</v>
      </c>
      <c r="J480">
        <v>27.79000091552734</v>
      </c>
      <c r="K480">
        <v>1</v>
      </c>
      <c r="L480">
        <f>Résultats!G$32+Résultats!G$33*Données!C480+Résultats!G$34*Données!D480+Résultats!G$35*Données!E480+Résultats!G$36*Données!F480+Résultats!G$37*Données!G480+Résultats!G$38*Données!H480+Résultats!G$39*Données!I480</f>
        <v>161435.30034384743</v>
      </c>
      <c r="M480">
        <f t="shared" si="28"/>
        <v>23564.699656152574</v>
      </c>
      <c r="Q480">
        <v>87000</v>
      </c>
      <c r="R480">
        <v>1</v>
      </c>
      <c r="S480">
        <v>40</v>
      </c>
      <c r="T480">
        <v>0</v>
      </c>
      <c r="U480">
        <f t="shared" si="29"/>
        <v>11.59910316121128</v>
      </c>
      <c r="V480">
        <f t="shared" si="30"/>
        <v>8.1507564702755513</v>
      </c>
      <c r="W480">
        <v>1</v>
      </c>
      <c r="X480">
        <v>0</v>
      </c>
      <c r="Y480">
        <v>0</v>
      </c>
      <c r="Z480">
        <f>'Résultat (Ln)'!F$30+'Résultat (Ln)'!F$31*Données!S480+'Résultat (Ln)'!F$32*Données!T480+'Résultat (Ln)'!F$33*Données!U480+'Résultat (Ln)'!F$34*Données!V480+'Résultat (Ln)'!F$35*Données!W480+'Résultat (Ln)'!F$36*Données!X480+'Résultat (Ln)'!F$37*Données!Y480</f>
        <v>95532.504450271445</v>
      </c>
      <c r="AA480">
        <f t="shared" si="31"/>
        <v>-8532.5044502714445</v>
      </c>
    </row>
    <row r="481" spans="1:27" x14ac:dyDescent="0.25">
      <c r="A481">
        <v>102000</v>
      </c>
      <c r="B481">
        <v>1</v>
      </c>
      <c r="C481">
        <v>19</v>
      </c>
      <c r="D481">
        <v>0</v>
      </c>
      <c r="E481">
        <v>127000</v>
      </c>
      <c r="F481">
        <v>4895</v>
      </c>
      <c r="G481">
        <v>0</v>
      </c>
      <c r="H481">
        <v>0</v>
      </c>
      <c r="I481">
        <v>1</v>
      </c>
      <c r="J481">
        <v>19</v>
      </c>
      <c r="K481">
        <v>1</v>
      </c>
      <c r="L481">
        <f>Résultats!G$32+Résultats!G$33*Données!C481+Résultats!G$34*Données!D481+Résultats!G$35*Données!E481+Résultats!G$36*Données!F481+Résultats!G$37*Données!G481+Résultats!G$38*Données!H481+Résultats!G$39*Données!I481</f>
        <v>97100.33433288848</v>
      </c>
      <c r="M481">
        <f t="shared" si="28"/>
        <v>4899.6656671115197</v>
      </c>
      <c r="Q481">
        <v>185000</v>
      </c>
      <c r="R481">
        <v>1</v>
      </c>
      <c r="S481">
        <v>32.5</v>
      </c>
      <c r="T481">
        <v>0</v>
      </c>
      <c r="U481">
        <f t="shared" si="29"/>
        <v>12.388394202324129</v>
      </c>
      <c r="V481">
        <f t="shared" si="30"/>
        <v>8.3811443469529614</v>
      </c>
      <c r="W481">
        <v>1</v>
      </c>
      <c r="X481">
        <v>0</v>
      </c>
      <c r="Y481">
        <v>0</v>
      </c>
      <c r="Z481">
        <f>'Résultat (Ln)'!F$30+'Résultat (Ln)'!F$31*Données!S481+'Résultat (Ln)'!F$32*Données!T481+'Résultat (Ln)'!F$33*Données!U481+'Résultat (Ln)'!F$34*Données!V481+'Résultat (Ln)'!F$35*Données!W481+'Résultat (Ln)'!F$36*Données!X481+'Résultat (Ln)'!F$37*Données!Y481</f>
        <v>177437.10804838591</v>
      </c>
      <c r="AA481">
        <f t="shared" si="31"/>
        <v>7562.8919516140886</v>
      </c>
    </row>
    <row r="482" spans="1:27" x14ac:dyDescent="0.25">
      <c r="A482">
        <v>290000</v>
      </c>
      <c r="B482">
        <v>1</v>
      </c>
      <c r="C482">
        <v>28</v>
      </c>
      <c r="D482">
        <v>1</v>
      </c>
      <c r="E482">
        <v>399500</v>
      </c>
      <c r="F482">
        <v>4000</v>
      </c>
      <c r="G482">
        <v>1</v>
      </c>
      <c r="H482">
        <v>0</v>
      </c>
      <c r="I482">
        <v>0</v>
      </c>
      <c r="J482">
        <v>26</v>
      </c>
      <c r="K482">
        <v>1</v>
      </c>
      <c r="L482">
        <f>Résultats!G$32+Résultats!G$33*Données!C482+Résultats!G$34*Données!D482+Résultats!G$35*Données!E482+Résultats!G$36*Données!F482+Résultats!G$37*Données!G482+Résultats!G$38*Données!H482+Résultats!G$39*Données!I482</f>
        <v>234888.22410525594</v>
      </c>
      <c r="M482">
        <f t="shared" si="28"/>
        <v>55111.77589474406</v>
      </c>
      <c r="Q482">
        <v>102000</v>
      </c>
      <c r="R482">
        <v>1</v>
      </c>
      <c r="S482">
        <v>19</v>
      </c>
      <c r="T482">
        <v>0</v>
      </c>
      <c r="U482">
        <f t="shared" si="29"/>
        <v>11.751942365440728</v>
      </c>
      <c r="V482">
        <f t="shared" si="30"/>
        <v>8.4959695549646099</v>
      </c>
      <c r="W482">
        <v>0</v>
      </c>
      <c r="X482">
        <v>0</v>
      </c>
      <c r="Y482">
        <v>1</v>
      </c>
      <c r="Z482">
        <f>'Résultat (Ln)'!F$30+'Résultat (Ln)'!F$31*Données!S482+'Résultat (Ln)'!F$32*Données!T482+'Résultat (Ln)'!F$33*Données!U482+'Résultat (Ln)'!F$34*Données!V482+'Résultat (Ln)'!F$35*Données!W482+'Résultat (Ln)'!F$36*Données!X482+'Résultat (Ln)'!F$37*Données!Y482</f>
        <v>105508.0038850253</v>
      </c>
      <c r="AA482">
        <f t="shared" si="31"/>
        <v>-3508.003885025304</v>
      </c>
    </row>
    <row r="483" spans="1:27" x14ac:dyDescent="0.25">
      <c r="A483">
        <v>84000</v>
      </c>
      <c r="B483">
        <v>1</v>
      </c>
      <c r="C483">
        <v>39</v>
      </c>
      <c r="D483">
        <v>0</v>
      </c>
      <c r="E483">
        <v>105000</v>
      </c>
      <c r="F483">
        <v>4583</v>
      </c>
      <c r="G483">
        <v>1</v>
      </c>
      <c r="H483">
        <v>0</v>
      </c>
      <c r="I483">
        <v>0</v>
      </c>
      <c r="J483">
        <v>23</v>
      </c>
      <c r="K483">
        <v>0</v>
      </c>
      <c r="L483">
        <f>Résultats!G$32+Résultats!G$33*Données!C483+Résultats!G$34*Données!D483+Résultats!G$35*Données!E483+Résultats!G$36*Données!F483+Résultats!G$37*Données!G483+Résultats!G$38*Données!H483+Résultats!G$39*Données!I483</f>
        <v>106287.34197040951</v>
      </c>
      <c r="M483">
        <f t="shared" si="28"/>
        <v>-22287.341970409514</v>
      </c>
      <c r="Q483">
        <v>290000</v>
      </c>
      <c r="R483">
        <v>1</v>
      </c>
      <c r="S483">
        <v>28</v>
      </c>
      <c r="T483">
        <v>1</v>
      </c>
      <c r="U483">
        <f t="shared" si="29"/>
        <v>12.897969044188466</v>
      </c>
      <c r="V483">
        <f t="shared" si="30"/>
        <v>8.2940496401020276</v>
      </c>
      <c r="W483">
        <v>1</v>
      </c>
      <c r="X483">
        <v>0</v>
      </c>
      <c r="Y483">
        <v>0</v>
      </c>
      <c r="Z483">
        <f>'Résultat (Ln)'!F$30+'Résultat (Ln)'!F$31*Données!S483+'Résultat (Ln)'!F$32*Données!T483+'Résultat (Ln)'!F$33*Données!U483+'Résultat (Ln)'!F$34*Données!V483+'Résultat (Ln)'!F$35*Données!W483+'Résultat (Ln)'!F$36*Données!X483+'Résultat (Ln)'!F$37*Données!Y483</f>
        <v>228468.25936381705</v>
      </c>
      <c r="AA483">
        <f t="shared" si="31"/>
        <v>61531.740636182949</v>
      </c>
    </row>
    <row r="484" spans="1:27" x14ac:dyDescent="0.25">
      <c r="A484">
        <v>100000</v>
      </c>
      <c r="B484">
        <v>1</v>
      </c>
      <c r="C484">
        <v>45.400001525878913</v>
      </c>
      <c r="D484">
        <v>0</v>
      </c>
      <c r="E484">
        <v>150000</v>
      </c>
      <c r="F484">
        <v>4766</v>
      </c>
      <c r="G484">
        <v>1</v>
      </c>
      <c r="H484">
        <v>0</v>
      </c>
      <c r="I484">
        <v>0</v>
      </c>
      <c r="J484">
        <v>16.60000038146973</v>
      </c>
      <c r="K484">
        <v>1</v>
      </c>
      <c r="L484">
        <f>Résultats!G$32+Résultats!G$33*Données!C484+Résultats!G$34*Données!D484+Résultats!G$35*Données!E484+Résultats!G$36*Données!F484+Résultats!G$37*Données!G484+Résultats!G$38*Données!H484+Résultats!G$39*Données!I484</f>
        <v>135006.34632769614</v>
      </c>
      <c r="M484">
        <f t="shared" si="28"/>
        <v>-35006.346327696141</v>
      </c>
      <c r="Q484">
        <v>84000</v>
      </c>
      <c r="R484">
        <v>1</v>
      </c>
      <c r="S484">
        <v>39</v>
      </c>
      <c r="T484">
        <v>0</v>
      </c>
      <c r="U484">
        <f t="shared" si="29"/>
        <v>11.561715629139661</v>
      </c>
      <c r="V484">
        <f t="shared" si="30"/>
        <v>8.4301090845091249</v>
      </c>
      <c r="W484">
        <v>1</v>
      </c>
      <c r="X484">
        <v>0</v>
      </c>
      <c r="Y484">
        <v>0</v>
      </c>
      <c r="Z484">
        <f>'Résultat (Ln)'!F$30+'Résultat (Ln)'!F$31*Données!S484+'Résultat (Ln)'!F$32*Données!T484+'Résultat (Ln)'!F$33*Données!U484+'Résultat (Ln)'!F$34*Données!V484+'Résultat (Ln)'!F$35*Données!W484+'Résultat (Ln)'!F$36*Données!X484+'Résultat (Ln)'!F$37*Données!Y484</f>
        <v>98137.351364509683</v>
      </c>
      <c r="AA484">
        <f t="shared" si="31"/>
        <v>-14137.351364509683</v>
      </c>
    </row>
    <row r="485" spans="1:27" x14ac:dyDescent="0.25">
      <c r="A485">
        <v>88000</v>
      </c>
      <c r="B485">
        <v>1</v>
      </c>
      <c r="C485">
        <v>25</v>
      </c>
      <c r="D485">
        <v>0</v>
      </c>
      <c r="E485">
        <v>73000</v>
      </c>
      <c r="F485">
        <v>3316</v>
      </c>
      <c r="G485">
        <v>1</v>
      </c>
      <c r="H485">
        <v>0</v>
      </c>
      <c r="I485">
        <v>0</v>
      </c>
      <c r="J485">
        <v>13</v>
      </c>
      <c r="K485">
        <v>1</v>
      </c>
      <c r="L485">
        <f>Résultats!G$32+Résultats!G$33*Données!C485+Résultats!G$34*Données!D485+Résultats!G$35*Données!E485+Résultats!G$36*Données!F485+Résultats!G$37*Données!G485+Résultats!G$38*Données!H485+Résultats!G$39*Données!I485</f>
        <v>72808.275472824782</v>
      </c>
      <c r="M485">
        <f t="shared" si="28"/>
        <v>15191.724527175218</v>
      </c>
      <c r="Q485">
        <v>100000</v>
      </c>
      <c r="R485">
        <v>1</v>
      </c>
      <c r="S485">
        <v>45.400001525878913</v>
      </c>
      <c r="T485">
        <v>0</v>
      </c>
      <c r="U485">
        <f t="shared" si="29"/>
        <v>11.918390573078392</v>
      </c>
      <c r="V485">
        <f t="shared" si="30"/>
        <v>8.4692626576586871</v>
      </c>
      <c r="W485">
        <v>1</v>
      </c>
      <c r="X485">
        <v>0</v>
      </c>
      <c r="Y485">
        <v>0</v>
      </c>
      <c r="Z485">
        <f>'Résultat (Ln)'!F$30+'Résultat (Ln)'!F$31*Données!S485+'Résultat (Ln)'!F$32*Données!T485+'Résultat (Ln)'!F$33*Données!U485+'Résultat (Ln)'!F$34*Données!V485+'Résultat (Ln)'!F$35*Données!W485+'Résultat (Ln)'!F$36*Données!X485+'Résultat (Ln)'!F$37*Données!Y485</f>
        <v>145290.48106913755</v>
      </c>
      <c r="AA485">
        <f t="shared" si="31"/>
        <v>-45290.481069137546</v>
      </c>
    </row>
    <row r="486" spans="1:27" x14ac:dyDescent="0.25">
      <c r="A486">
        <v>242000</v>
      </c>
      <c r="B486">
        <v>1</v>
      </c>
      <c r="C486">
        <v>32</v>
      </c>
      <c r="D486">
        <v>1</v>
      </c>
      <c r="E486">
        <v>307000</v>
      </c>
      <c r="F486">
        <v>14999</v>
      </c>
      <c r="G486">
        <v>0</v>
      </c>
      <c r="H486">
        <v>0</v>
      </c>
      <c r="I486">
        <v>1</v>
      </c>
      <c r="J486">
        <v>17</v>
      </c>
      <c r="K486">
        <v>1</v>
      </c>
      <c r="L486">
        <f>Résultats!G$32+Résultats!G$33*Données!C486+Résultats!G$34*Données!D486+Résultats!G$35*Données!E486+Résultats!G$36*Données!F486+Résultats!G$37*Données!G486+Résultats!G$38*Données!H486+Résultats!G$39*Données!I486</f>
        <v>220512.28988137795</v>
      </c>
      <c r="M486">
        <f t="shared" si="28"/>
        <v>21487.710118622053</v>
      </c>
      <c r="Q486">
        <v>88000</v>
      </c>
      <c r="R486">
        <v>1</v>
      </c>
      <c r="S486">
        <v>25</v>
      </c>
      <c r="T486">
        <v>0</v>
      </c>
      <c r="U486">
        <f t="shared" si="29"/>
        <v>11.198214720130528</v>
      </c>
      <c r="V486">
        <f t="shared" si="30"/>
        <v>8.106514516255185</v>
      </c>
      <c r="W486">
        <v>1</v>
      </c>
      <c r="X486">
        <v>0</v>
      </c>
      <c r="Y486">
        <v>0</v>
      </c>
      <c r="Z486">
        <f>'Résultat (Ln)'!F$30+'Résultat (Ln)'!F$31*Données!S486+'Résultat (Ln)'!F$32*Données!T486+'Résultat (Ln)'!F$33*Données!U486+'Résultat (Ln)'!F$34*Données!V486+'Résultat (Ln)'!F$35*Données!W486+'Résultat (Ln)'!F$36*Données!X486+'Résultat (Ln)'!F$37*Données!Y486</f>
        <v>32987.625728559673</v>
      </c>
      <c r="AA486">
        <f t="shared" si="31"/>
        <v>55012.374271440327</v>
      </c>
    </row>
    <row r="487" spans="1:27" x14ac:dyDescent="0.25">
      <c r="A487">
        <v>129000</v>
      </c>
      <c r="B487">
        <v>1</v>
      </c>
      <c r="C487">
        <v>35</v>
      </c>
      <c r="D487">
        <v>0</v>
      </c>
      <c r="E487">
        <v>136000</v>
      </c>
      <c r="F487">
        <v>4200</v>
      </c>
      <c r="G487">
        <v>1</v>
      </c>
      <c r="H487">
        <v>0</v>
      </c>
      <c r="I487">
        <v>0</v>
      </c>
      <c r="J487">
        <v>25</v>
      </c>
      <c r="K487">
        <v>1</v>
      </c>
      <c r="L487">
        <f>Résultats!G$32+Résultats!G$33*Données!C487+Résultats!G$34*Données!D487+Résultats!G$35*Données!E487+Résultats!G$36*Données!F487+Résultats!G$37*Données!G487+Résultats!G$38*Données!H487+Résultats!G$39*Données!I487</f>
        <v>115426.03922170533</v>
      </c>
      <c r="M487">
        <f t="shared" si="28"/>
        <v>13573.96077829467</v>
      </c>
      <c r="Q487">
        <v>242000</v>
      </c>
      <c r="R487">
        <v>1</v>
      </c>
      <c r="S487">
        <v>32</v>
      </c>
      <c r="T487">
        <v>1</v>
      </c>
      <c r="U487">
        <f t="shared" si="29"/>
        <v>12.634603026569334</v>
      </c>
      <c r="V487">
        <f t="shared" si="30"/>
        <v>9.6157388111953601</v>
      </c>
      <c r="W487">
        <v>0</v>
      </c>
      <c r="X487">
        <v>0</v>
      </c>
      <c r="Y487">
        <v>1</v>
      </c>
      <c r="Z487">
        <f>'Résultat (Ln)'!F$30+'Résultat (Ln)'!F$31*Données!S487+'Résultat (Ln)'!F$32*Données!T487+'Résultat (Ln)'!F$33*Données!U487+'Résultat (Ln)'!F$34*Données!V487+'Résultat (Ln)'!F$35*Données!W487+'Résultat (Ln)'!F$36*Données!X487+'Résultat (Ln)'!F$37*Données!Y487</f>
        <v>251765.47462007933</v>
      </c>
      <c r="AA487">
        <f t="shared" si="31"/>
        <v>-9765.4746200793306</v>
      </c>
    </row>
    <row r="488" spans="1:27" x14ac:dyDescent="0.25">
      <c r="A488">
        <v>108000</v>
      </c>
      <c r="B488">
        <v>1</v>
      </c>
      <c r="C488">
        <v>37</v>
      </c>
      <c r="D488">
        <v>0</v>
      </c>
      <c r="E488">
        <v>135000</v>
      </c>
      <c r="F488">
        <v>2275</v>
      </c>
      <c r="G488">
        <v>0</v>
      </c>
      <c r="H488">
        <v>0</v>
      </c>
      <c r="I488">
        <v>0</v>
      </c>
      <c r="J488">
        <v>30</v>
      </c>
      <c r="K488">
        <v>0</v>
      </c>
      <c r="L488">
        <f>Résultats!G$32+Résultats!G$33*Données!C488+Résultats!G$34*Données!D488+Résultats!G$35*Données!E488+Résultats!G$36*Données!F488+Résultats!G$37*Données!G488+Résultats!G$38*Données!H488+Résultats!G$39*Données!I488</f>
        <v>106509.56755113957</v>
      </c>
      <c r="M488">
        <f t="shared" si="28"/>
        <v>1490.4324488604325</v>
      </c>
      <c r="Q488">
        <v>129000</v>
      </c>
      <c r="R488">
        <v>1</v>
      </c>
      <c r="S488">
        <v>35</v>
      </c>
      <c r="T488">
        <v>0</v>
      </c>
      <c r="U488">
        <f t="shared" si="29"/>
        <v>11.820410164718188</v>
      </c>
      <c r="V488">
        <f t="shared" si="30"/>
        <v>8.3428398042714598</v>
      </c>
      <c r="W488">
        <v>1</v>
      </c>
      <c r="X488">
        <v>0</v>
      </c>
      <c r="Y488">
        <v>0</v>
      </c>
      <c r="Z488">
        <f>'Résultat (Ln)'!F$30+'Résultat (Ln)'!F$31*Données!S488+'Résultat (Ln)'!F$32*Données!T488+'Résultat (Ln)'!F$33*Données!U488+'Résultat (Ln)'!F$34*Données!V488+'Résultat (Ln)'!F$35*Données!W488+'Résultat (Ln)'!F$36*Données!X488+'Résultat (Ln)'!F$37*Données!Y488</f>
        <v>118532.55859089929</v>
      </c>
      <c r="AA488">
        <f t="shared" si="31"/>
        <v>10467.441409100706</v>
      </c>
    </row>
    <row r="489" spans="1:27" x14ac:dyDescent="0.25">
      <c r="A489">
        <v>500000</v>
      </c>
      <c r="B489">
        <v>1</v>
      </c>
      <c r="C489">
        <v>11</v>
      </c>
      <c r="D489">
        <v>0</v>
      </c>
      <c r="E489">
        <v>825000</v>
      </c>
      <c r="F489">
        <v>46667</v>
      </c>
      <c r="G489">
        <v>1</v>
      </c>
      <c r="H489">
        <v>0</v>
      </c>
      <c r="I489">
        <v>0</v>
      </c>
      <c r="J489">
        <v>10</v>
      </c>
      <c r="K489">
        <v>1</v>
      </c>
      <c r="L489">
        <f>Résultats!G$32+Résultats!G$33*Données!C489+Résultats!G$34*Données!D489+Résultats!G$35*Données!E489+Résultats!G$36*Données!F489+Résultats!G$37*Données!G489+Résultats!G$38*Données!H489+Résultats!G$39*Données!I489</f>
        <v>491880.76829986734</v>
      </c>
      <c r="M489">
        <f t="shared" si="28"/>
        <v>8119.2317001326592</v>
      </c>
      <c r="Q489">
        <v>108000</v>
      </c>
      <c r="R489">
        <v>1</v>
      </c>
      <c r="S489">
        <v>37</v>
      </c>
      <c r="T489">
        <v>0</v>
      </c>
      <c r="U489">
        <f t="shared" si="29"/>
        <v>11.813030057420567</v>
      </c>
      <c r="V489">
        <f t="shared" si="30"/>
        <v>7.7297353313850508</v>
      </c>
      <c r="W489">
        <v>0</v>
      </c>
      <c r="X489">
        <v>0</v>
      </c>
      <c r="Y489">
        <v>0</v>
      </c>
      <c r="Z489">
        <f>'Résultat (Ln)'!F$30+'Résultat (Ln)'!F$31*Données!S489+'Résultat (Ln)'!F$32*Données!T489+'Résultat (Ln)'!F$33*Données!U489+'Résultat (Ln)'!F$34*Données!V489+'Résultat (Ln)'!F$35*Données!W489+'Résultat (Ln)'!F$36*Données!X489+'Résultat (Ln)'!F$37*Données!Y489</f>
        <v>98476.493822564837</v>
      </c>
      <c r="AA489">
        <f t="shared" si="31"/>
        <v>9523.5061774351634</v>
      </c>
    </row>
    <row r="490" spans="1:27" x14ac:dyDescent="0.25">
      <c r="A490">
        <v>123000</v>
      </c>
      <c r="B490">
        <v>1</v>
      </c>
      <c r="C490">
        <v>38</v>
      </c>
      <c r="D490">
        <v>0</v>
      </c>
      <c r="E490">
        <v>154000</v>
      </c>
      <c r="F490">
        <v>4609</v>
      </c>
      <c r="G490">
        <v>1</v>
      </c>
      <c r="H490">
        <v>0</v>
      </c>
      <c r="I490">
        <v>0</v>
      </c>
      <c r="J490">
        <v>19</v>
      </c>
      <c r="K490">
        <v>1</v>
      </c>
      <c r="L490">
        <f>Résultats!G$32+Résultats!G$33*Données!C490+Résultats!G$34*Données!D490+Résultats!G$35*Données!E490+Résultats!G$36*Données!F490+Résultats!G$37*Données!G490+Résultats!G$38*Données!H490+Résultats!G$39*Données!I490</f>
        <v>128069.76422775982</v>
      </c>
      <c r="M490">
        <f t="shared" si="28"/>
        <v>-5069.7642277598206</v>
      </c>
      <c r="Q490">
        <v>500000</v>
      </c>
      <c r="R490">
        <v>1</v>
      </c>
      <c r="S490">
        <v>11</v>
      </c>
      <c r="T490">
        <v>0</v>
      </c>
      <c r="U490">
        <f t="shared" si="29"/>
        <v>13.623138665316818</v>
      </c>
      <c r="V490">
        <f t="shared" si="30"/>
        <v>10.750792555754964</v>
      </c>
      <c r="W490">
        <v>1</v>
      </c>
      <c r="X490">
        <v>0</v>
      </c>
      <c r="Y490">
        <v>0</v>
      </c>
      <c r="Z490">
        <f>'Résultat (Ln)'!F$30+'Résultat (Ln)'!F$31*Données!S490+'Résultat (Ln)'!F$32*Données!T490+'Résultat (Ln)'!F$33*Données!U490+'Résultat (Ln)'!F$34*Données!V490+'Résultat (Ln)'!F$35*Données!W490+'Résultat (Ln)'!F$36*Données!X490+'Résultat (Ln)'!F$37*Données!Y490</f>
        <v>349981.02212840284</v>
      </c>
      <c r="AA490">
        <f t="shared" si="31"/>
        <v>150018.97787159716</v>
      </c>
    </row>
    <row r="491" spans="1:27" x14ac:dyDescent="0.25">
      <c r="A491">
        <v>185000</v>
      </c>
      <c r="B491">
        <v>1</v>
      </c>
      <c r="C491">
        <v>24</v>
      </c>
      <c r="D491">
        <v>0</v>
      </c>
      <c r="E491">
        <v>365000</v>
      </c>
      <c r="F491">
        <v>5042</v>
      </c>
      <c r="G491">
        <v>1</v>
      </c>
      <c r="H491">
        <v>0</v>
      </c>
      <c r="I491">
        <v>1</v>
      </c>
      <c r="J491">
        <v>26</v>
      </c>
      <c r="K491">
        <v>1</v>
      </c>
      <c r="L491">
        <f>Résultats!G$32+Résultats!G$33*Données!C491+Résultats!G$34*Données!D491+Résultats!G$35*Données!E491+Résultats!G$36*Données!F491+Résultats!G$37*Données!G491+Résultats!G$38*Données!H491+Résultats!G$39*Données!I491</f>
        <v>221280.03739637547</v>
      </c>
      <c r="M491">
        <f t="shared" si="28"/>
        <v>-36280.037396375468</v>
      </c>
      <c r="Q491">
        <v>123000</v>
      </c>
      <c r="R491">
        <v>1</v>
      </c>
      <c r="S491">
        <v>38</v>
      </c>
      <c r="T491">
        <v>0</v>
      </c>
      <c r="U491">
        <f t="shared" si="29"/>
        <v>11.944707881395766</v>
      </c>
      <c r="V491">
        <f t="shared" si="30"/>
        <v>8.435766192720509</v>
      </c>
      <c r="W491">
        <v>1</v>
      </c>
      <c r="X491">
        <v>0</v>
      </c>
      <c r="Y491">
        <v>0</v>
      </c>
      <c r="Z491">
        <f>'Résultat (Ln)'!F$30+'Résultat (Ln)'!F$31*Données!S491+'Résultat (Ln)'!F$32*Données!T491+'Résultat (Ln)'!F$33*Données!U491+'Résultat (Ln)'!F$34*Données!V491+'Résultat (Ln)'!F$35*Données!W491+'Résultat (Ln)'!F$36*Données!X491+'Résultat (Ln)'!F$37*Données!Y491</f>
        <v>138129.03988316865</v>
      </c>
      <c r="AA491">
        <f t="shared" si="31"/>
        <v>-15129.039883168647</v>
      </c>
    </row>
    <row r="492" spans="1:27" x14ac:dyDescent="0.25">
      <c r="A492">
        <v>168000</v>
      </c>
      <c r="B492">
        <v>1</v>
      </c>
      <c r="C492">
        <v>33.599998474121087</v>
      </c>
      <c r="D492">
        <v>0</v>
      </c>
      <c r="E492">
        <v>210000</v>
      </c>
      <c r="F492">
        <v>5417</v>
      </c>
      <c r="G492">
        <v>0</v>
      </c>
      <c r="H492">
        <v>0</v>
      </c>
      <c r="I492">
        <v>0</v>
      </c>
      <c r="J492">
        <v>31.75</v>
      </c>
      <c r="K492">
        <v>1</v>
      </c>
      <c r="L492">
        <f>Résultats!G$32+Résultats!G$33*Données!C492+Résultats!G$34*Données!D492+Résultats!G$35*Données!E492+Résultats!G$36*Données!F492+Résultats!G$37*Données!G492+Résultats!G$38*Données!H492+Résultats!G$39*Données!I492</f>
        <v>143714.10956305865</v>
      </c>
      <c r="M492">
        <f t="shared" si="28"/>
        <v>24285.89043694135</v>
      </c>
      <c r="Q492">
        <v>185000</v>
      </c>
      <c r="R492">
        <v>1</v>
      </c>
      <c r="S492">
        <v>24</v>
      </c>
      <c r="T492">
        <v>0</v>
      </c>
      <c r="U492">
        <f t="shared" si="29"/>
        <v>12.807652632564629</v>
      </c>
      <c r="V492">
        <f t="shared" si="30"/>
        <v>8.5255581077478659</v>
      </c>
      <c r="W492">
        <v>1</v>
      </c>
      <c r="X492">
        <v>0</v>
      </c>
      <c r="Y492">
        <v>1</v>
      </c>
      <c r="Z492">
        <f>'Résultat (Ln)'!F$30+'Résultat (Ln)'!F$31*Données!S492+'Résultat (Ln)'!F$32*Données!T492+'Résultat (Ln)'!F$33*Données!U492+'Résultat (Ln)'!F$34*Données!V492+'Résultat (Ln)'!F$35*Données!W492+'Résultat (Ln)'!F$36*Données!X492+'Résultat (Ln)'!F$37*Données!Y492</f>
        <v>230129.53404542914</v>
      </c>
      <c r="AA492">
        <f t="shared" si="31"/>
        <v>-45129.534045429144</v>
      </c>
    </row>
    <row r="493" spans="1:27" x14ac:dyDescent="0.25">
      <c r="A493">
        <v>110000</v>
      </c>
      <c r="B493">
        <v>1</v>
      </c>
      <c r="C493">
        <v>27</v>
      </c>
      <c r="D493">
        <v>0</v>
      </c>
      <c r="E493">
        <v>195000</v>
      </c>
      <c r="F493">
        <v>6260</v>
      </c>
      <c r="G493">
        <v>1</v>
      </c>
      <c r="H493">
        <v>0</v>
      </c>
      <c r="I493">
        <v>0</v>
      </c>
      <c r="J493">
        <v>22</v>
      </c>
      <c r="K493">
        <v>0</v>
      </c>
      <c r="L493">
        <f>Résultats!G$32+Résultats!G$33*Données!C493+Résultats!G$34*Données!D493+Résultats!G$35*Données!E493+Résultats!G$36*Données!F493+Résultats!G$37*Données!G493+Résultats!G$38*Données!H493+Résultats!G$39*Données!I493</f>
        <v>137778.76101390502</v>
      </c>
      <c r="M493">
        <f t="shared" si="28"/>
        <v>-27778.761013905023</v>
      </c>
      <c r="Q493">
        <v>168000</v>
      </c>
      <c r="R493">
        <v>1</v>
      </c>
      <c r="S493">
        <v>33.599998474121087</v>
      </c>
      <c r="T493">
        <v>0</v>
      </c>
      <c r="U493">
        <f t="shared" si="29"/>
        <v>12.254862809699606</v>
      </c>
      <c r="V493">
        <f t="shared" si="30"/>
        <v>8.5972974356578984</v>
      </c>
      <c r="W493">
        <v>0</v>
      </c>
      <c r="X493">
        <v>0</v>
      </c>
      <c r="Y493">
        <v>0</v>
      </c>
      <c r="Z493">
        <f>'Résultat (Ln)'!F$30+'Résultat (Ln)'!F$31*Données!S493+'Résultat (Ln)'!F$32*Données!T493+'Résultat (Ln)'!F$33*Données!U493+'Résultat (Ln)'!F$34*Données!V493+'Résultat (Ln)'!F$35*Données!W493+'Résultat (Ln)'!F$36*Données!X493+'Résultat (Ln)'!F$37*Données!Y493</f>
        <v>166015.53188031033</v>
      </c>
      <c r="AA493">
        <f t="shared" si="31"/>
        <v>1984.4681196896709</v>
      </c>
    </row>
    <row r="494" spans="1:27" x14ac:dyDescent="0.25">
      <c r="A494">
        <v>256000</v>
      </c>
      <c r="B494">
        <v>1</v>
      </c>
      <c r="C494">
        <v>41</v>
      </c>
      <c r="D494">
        <v>0</v>
      </c>
      <c r="E494">
        <v>320000</v>
      </c>
      <c r="F494">
        <v>3333</v>
      </c>
      <c r="G494">
        <v>1</v>
      </c>
      <c r="H494">
        <v>0</v>
      </c>
      <c r="I494">
        <v>0</v>
      </c>
      <c r="J494">
        <v>34</v>
      </c>
      <c r="K494">
        <v>1</v>
      </c>
      <c r="L494">
        <f>Résultats!G$32+Résultats!G$33*Données!C494+Résultats!G$34*Données!D494+Résultats!G$35*Données!E494+Résultats!G$36*Données!F494+Résultats!G$37*Données!G494+Résultats!G$38*Données!H494+Résultats!G$39*Données!I494</f>
        <v>206557.40128606351</v>
      </c>
      <c r="M494">
        <f t="shared" si="28"/>
        <v>49442.598713936488</v>
      </c>
      <c r="Q494">
        <v>110000</v>
      </c>
      <c r="R494">
        <v>1</v>
      </c>
      <c r="S494">
        <v>27</v>
      </c>
      <c r="T494">
        <v>0</v>
      </c>
      <c r="U494">
        <f t="shared" si="29"/>
        <v>12.180754837545884</v>
      </c>
      <c r="V494">
        <f t="shared" si="30"/>
        <v>8.7419354640941442</v>
      </c>
      <c r="W494">
        <v>1</v>
      </c>
      <c r="X494">
        <v>0</v>
      </c>
      <c r="Y494">
        <v>0</v>
      </c>
      <c r="Z494">
        <f>'Résultat (Ln)'!F$30+'Résultat (Ln)'!F$31*Données!S494+'Résultat (Ln)'!F$32*Données!T494+'Résultat (Ln)'!F$33*Données!U494+'Résultat (Ln)'!F$34*Données!V494+'Résultat (Ln)'!F$35*Données!W494+'Résultat (Ln)'!F$36*Données!X494+'Résultat (Ln)'!F$37*Données!Y494</f>
        <v>158576.53634949701</v>
      </c>
      <c r="AA494">
        <f t="shared" si="31"/>
        <v>-48576.536349497008</v>
      </c>
    </row>
    <row r="495" spans="1:27" x14ac:dyDescent="0.25">
      <c r="A495">
        <v>140000</v>
      </c>
      <c r="B495">
        <v>1</v>
      </c>
      <c r="C495">
        <v>23</v>
      </c>
      <c r="D495">
        <v>0</v>
      </c>
      <c r="E495">
        <v>310000</v>
      </c>
      <c r="F495">
        <v>3500</v>
      </c>
      <c r="G495">
        <v>1</v>
      </c>
      <c r="H495">
        <v>0</v>
      </c>
      <c r="I495">
        <v>0</v>
      </c>
      <c r="J495">
        <v>23</v>
      </c>
      <c r="K495">
        <v>1</v>
      </c>
      <c r="L495">
        <f>Résultats!G$32+Résultats!G$33*Données!C495+Résultats!G$34*Données!D495+Résultats!G$35*Données!E495+Résultats!G$36*Données!F495+Résultats!G$37*Données!G495+Résultats!G$38*Données!H495+Résultats!G$39*Données!I495</f>
        <v>181535.41226529935</v>
      </c>
      <c r="M495">
        <f t="shared" si="28"/>
        <v>-41535.412265299354</v>
      </c>
      <c r="Q495">
        <v>256000</v>
      </c>
      <c r="R495">
        <v>1</v>
      </c>
      <c r="S495">
        <v>41</v>
      </c>
      <c r="T495">
        <v>0</v>
      </c>
      <c r="U495">
        <f t="shared" si="29"/>
        <v>12.676076274775909</v>
      </c>
      <c r="V495">
        <f t="shared" si="30"/>
        <v>8.1116280783077404</v>
      </c>
      <c r="W495">
        <v>1</v>
      </c>
      <c r="X495">
        <v>0</v>
      </c>
      <c r="Y495">
        <v>0</v>
      </c>
      <c r="Z495">
        <f>'Résultat (Ln)'!F$30+'Résultat (Ln)'!F$31*Données!S495+'Résultat (Ln)'!F$32*Données!T495+'Résultat (Ln)'!F$33*Données!U495+'Résultat (Ln)'!F$34*Données!V495+'Résultat (Ln)'!F$35*Données!W495+'Résultat (Ln)'!F$36*Données!X495+'Résultat (Ln)'!F$37*Données!Y495</f>
        <v>211103.90153637301</v>
      </c>
      <c r="AA495">
        <f t="shared" si="31"/>
        <v>44896.098463626986</v>
      </c>
    </row>
    <row r="496" spans="1:27" x14ac:dyDescent="0.25">
      <c r="A496">
        <v>120000</v>
      </c>
      <c r="B496">
        <v>1</v>
      </c>
      <c r="C496">
        <v>33</v>
      </c>
      <c r="D496">
        <v>0</v>
      </c>
      <c r="E496">
        <v>130000</v>
      </c>
      <c r="F496">
        <v>2037</v>
      </c>
      <c r="G496">
        <v>1</v>
      </c>
      <c r="H496">
        <v>0</v>
      </c>
      <c r="I496">
        <v>1</v>
      </c>
      <c r="J496">
        <v>28</v>
      </c>
      <c r="K496">
        <v>1</v>
      </c>
      <c r="L496">
        <f>Résultats!G$32+Résultats!G$33*Données!C496+Résultats!G$34*Données!D496+Résultats!G$35*Données!E496+Résultats!G$36*Données!F496+Résultats!G$37*Données!G496+Résultats!G$38*Données!H496+Résultats!G$39*Données!I496</f>
        <v>116061.0016362731</v>
      </c>
      <c r="M496">
        <f t="shared" si="28"/>
        <v>3938.9983637269033</v>
      </c>
      <c r="Q496">
        <v>140000</v>
      </c>
      <c r="R496">
        <v>1</v>
      </c>
      <c r="S496">
        <v>23</v>
      </c>
      <c r="T496">
        <v>0</v>
      </c>
      <c r="U496">
        <f t="shared" si="29"/>
        <v>12.644327576461329</v>
      </c>
      <c r="V496">
        <f t="shared" si="30"/>
        <v>8.1605182474775049</v>
      </c>
      <c r="W496">
        <v>1</v>
      </c>
      <c r="X496">
        <v>0</v>
      </c>
      <c r="Y496">
        <v>0</v>
      </c>
      <c r="Z496">
        <f>'Résultat (Ln)'!F$30+'Résultat (Ln)'!F$31*Données!S496+'Résultat (Ln)'!F$32*Données!T496+'Résultat (Ln)'!F$33*Données!U496+'Résultat (Ln)'!F$34*Données!V496+'Résultat (Ln)'!F$35*Données!W496+'Résultat (Ln)'!F$36*Données!X496+'Résultat (Ln)'!F$37*Données!Y496</f>
        <v>187075.007946164</v>
      </c>
      <c r="AA496">
        <f t="shared" si="31"/>
        <v>-47075.007946163998</v>
      </c>
    </row>
    <row r="497" spans="1:27" x14ac:dyDescent="0.25">
      <c r="A497">
        <v>250000</v>
      </c>
      <c r="B497">
        <v>1</v>
      </c>
      <c r="C497">
        <v>48.700000762939453</v>
      </c>
      <c r="D497">
        <v>0</v>
      </c>
      <c r="E497">
        <v>330000</v>
      </c>
      <c r="F497">
        <v>8562</v>
      </c>
      <c r="G497">
        <v>1</v>
      </c>
      <c r="H497">
        <v>0</v>
      </c>
      <c r="I497">
        <v>1</v>
      </c>
      <c r="J497">
        <v>26</v>
      </c>
      <c r="K497">
        <v>1</v>
      </c>
      <c r="L497">
        <f>Résultats!G$32+Résultats!G$33*Données!C497+Résultats!G$34*Données!D497+Résultats!G$35*Données!E497+Résultats!G$36*Données!F497+Résultats!G$37*Données!G497+Résultats!G$38*Données!H497+Résultats!G$39*Données!I497</f>
        <v>240129.84376086821</v>
      </c>
      <c r="M497">
        <f t="shared" si="28"/>
        <v>9870.1562391317857</v>
      </c>
      <c r="Q497">
        <v>120000</v>
      </c>
      <c r="R497">
        <v>1</v>
      </c>
      <c r="S497">
        <v>33</v>
      </c>
      <c r="T497">
        <v>0</v>
      </c>
      <c r="U497">
        <f t="shared" si="29"/>
        <v>11.77528972943772</v>
      </c>
      <c r="V497">
        <f t="shared" si="30"/>
        <v>7.6192334162268054</v>
      </c>
      <c r="W497">
        <v>1</v>
      </c>
      <c r="X497">
        <v>0</v>
      </c>
      <c r="Y497">
        <v>1</v>
      </c>
      <c r="Z497">
        <f>'Résultat (Ln)'!F$30+'Résultat (Ln)'!F$31*Données!S497+'Résultat (Ln)'!F$32*Données!T497+'Résultat (Ln)'!F$33*Données!U497+'Résultat (Ln)'!F$34*Données!V497+'Résultat (Ln)'!F$35*Données!W497+'Résultat (Ln)'!F$36*Données!X497+'Résultat (Ln)'!F$37*Données!Y497</f>
        <v>105044.58206905574</v>
      </c>
      <c r="AA497">
        <f t="shared" si="31"/>
        <v>14955.417930944255</v>
      </c>
    </row>
    <row r="498" spans="1:27" x14ac:dyDescent="0.25">
      <c r="A498">
        <v>175000</v>
      </c>
      <c r="B498">
        <v>1</v>
      </c>
      <c r="C498">
        <v>35.099998474121087</v>
      </c>
      <c r="D498">
        <v>0</v>
      </c>
      <c r="E498">
        <v>350000</v>
      </c>
      <c r="F498">
        <v>6950</v>
      </c>
      <c r="G498">
        <v>0</v>
      </c>
      <c r="H498">
        <v>9</v>
      </c>
      <c r="I498">
        <v>1</v>
      </c>
      <c r="J498">
        <v>34.599998474121087</v>
      </c>
      <c r="K498">
        <v>1</v>
      </c>
      <c r="L498">
        <f>Résultats!G$32+Résultats!G$33*Données!C498+Résultats!G$34*Données!D498+Résultats!G$35*Données!E498+Résultats!G$36*Données!F498+Résultats!G$37*Données!G498+Résultats!G$38*Données!H498+Résultats!G$39*Données!I498</f>
        <v>209079.16932197823</v>
      </c>
      <c r="M498">
        <f t="shared" si="28"/>
        <v>-34079.169321978232</v>
      </c>
      <c r="Q498">
        <v>250000</v>
      </c>
      <c r="R498">
        <v>1</v>
      </c>
      <c r="S498">
        <v>48.700000762939453</v>
      </c>
      <c r="T498">
        <v>0</v>
      </c>
      <c r="U498">
        <f t="shared" si="29"/>
        <v>12.706847933442663</v>
      </c>
      <c r="V498">
        <f t="shared" si="30"/>
        <v>9.055089086704891</v>
      </c>
      <c r="W498">
        <v>1</v>
      </c>
      <c r="X498">
        <v>0</v>
      </c>
      <c r="Y498">
        <v>1</v>
      </c>
      <c r="Z498">
        <f>'Résultat (Ln)'!F$30+'Résultat (Ln)'!F$31*Données!S498+'Résultat (Ln)'!F$32*Données!T498+'Résultat (Ln)'!F$33*Données!U498+'Résultat (Ln)'!F$34*Données!V498+'Résultat (Ln)'!F$35*Données!W498+'Résultat (Ln)'!F$36*Données!X498+'Résultat (Ln)'!F$37*Données!Y498</f>
        <v>264359.24626793386</v>
      </c>
      <c r="AA498">
        <f t="shared" si="31"/>
        <v>-14359.246267933864</v>
      </c>
    </row>
    <row r="499" spans="1:27" x14ac:dyDescent="0.25">
      <c r="A499">
        <v>150000</v>
      </c>
      <c r="B499">
        <v>1</v>
      </c>
      <c r="C499">
        <v>41</v>
      </c>
      <c r="D499">
        <v>0</v>
      </c>
      <c r="E499">
        <v>228000</v>
      </c>
      <c r="F499">
        <v>4247</v>
      </c>
      <c r="G499">
        <v>1</v>
      </c>
      <c r="H499">
        <v>0</v>
      </c>
      <c r="I499">
        <v>0</v>
      </c>
      <c r="J499">
        <v>30</v>
      </c>
      <c r="K499">
        <v>1</v>
      </c>
      <c r="L499">
        <f>Résultats!G$32+Résultats!G$33*Données!C499+Résultats!G$34*Données!D499+Résultats!G$35*Données!E499+Résultats!G$36*Données!F499+Résultats!G$37*Données!G499+Résultats!G$38*Données!H499+Résultats!G$39*Données!I499</f>
        <v>165368.8382204833</v>
      </c>
      <c r="M499">
        <f t="shared" si="28"/>
        <v>-15368.838220483303</v>
      </c>
      <c r="Q499">
        <v>175000</v>
      </c>
      <c r="R499">
        <v>1</v>
      </c>
      <c r="S499">
        <v>35.099998474121087</v>
      </c>
      <c r="T499">
        <v>0</v>
      </c>
      <c r="U499">
        <f t="shared" si="29"/>
        <v>12.765688433465597</v>
      </c>
      <c r="V499">
        <f t="shared" si="30"/>
        <v>8.8464969385588379</v>
      </c>
      <c r="W499">
        <v>0</v>
      </c>
      <c r="X499">
        <v>9</v>
      </c>
      <c r="Y499">
        <v>1</v>
      </c>
      <c r="Z499">
        <f>'Résultat (Ln)'!F$30+'Résultat (Ln)'!F$31*Données!S499+'Résultat (Ln)'!F$32*Données!T499+'Résultat (Ln)'!F$33*Données!U499+'Résultat (Ln)'!F$34*Données!V499+'Résultat (Ln)'!F$35*Données!W499+'Résultat (Ln)'!F$36*Données!X499+'Résultat (Ln)'!F$37*Données!Y499</f>
        <v>242084.91231172762</v>
      </c>
      <c r="AA499">
        <f t="shared" si="31"/>
        <v>-67084.912311727618</v>
      </c>
    </row>
    <row r="500" spans="1:27" x14ac:dyDescent="0.25">
      <c r="A500">
        <v>100000</v>
      </c>
      <c r="B500">
        <v>1</v>
      </c>
      <c r="C500">
        <v>29</v>
      </c>
      <c r="D500">
        <v>0</v>
      </c>
      <c r="E500">
        <v>125000</v>
      </c>
      <c r="F500">
        <v>2500</v>
      </c>
      <c r="G500">
        <v>1</v>
      </c>
      <c r="H500">
        <v>0</v>
      </c>
      <c r="I500">
        <v>0</v>
      </c>
      <c r="J500">
        <v>22</v>
      </c>
      <c r="K500">
        <v>0</v>
      </c>
      <c r="L500">
        <f>Résultats!G$32+Résultats!G$33*Données!C500+Résultats!G$34*Données!D500+Résultats!G$35*Données!E500+Résultats!G$36*Données!F500+Résultats!G$37*Données!G500+Résultats!G$38*Données!H500+Résultats!G$39*Données!I500</f>
        <v>100103.29246981521</v>
      </c>
      <c r="M500">
        <f t="shared" si="28"/>
        <v>-103.29246981520555</v>
      </c>
      <c r="Q500">
        <v>150000</v>
      </c>
      <c r="R500">
        <v>1</v>
      </c>
      <c r="S500">
        <v>41</v>
      </c>
      <c r="T500">
        <v>0</v>
      </c>
      <c r="U500">
        <f t="shared" si="29"/>
        <v>12.337100907936577</v>
      </c>
      <c r="V500">
        <f t="shared" si="30"/>
        <v>8.3539681303132713</v>
      </c>
      <c r="W500">
        <v>1</v>
      </c>
      <c r="X500">
        <v>0</v>
      </c>
      <c r="Y500">
        <v>0</v>
      </c>
      <c r="Z500">
        <f>'Résultat (Ln)'!F$30+'Résultat (Ln)'!F$31*Données!S500+'Résultat (Ln)'!F$32*Données!T500+'Résultat (Ln)'!F$33*Données!U500+'Résultat (Ln)'!F$34*Données!V500+'Résultat (Ln)'!F$35*Données!W500+'Résultat (Ln)'!F$36*Données!X500+'Résultat (Ln)'!F$37*Données!Y500</f>
        <v>181563.86400204236</v>
      </c>
      <c r="AA500">
        <f t="shared" si="31"/>
        <v>-31563.864002042363</v>
      </c>
    </row>
    <row r="501" spans="1:27" x14ac:dyDescent="0.25">
      <c r="A501">
        <v>122000</v>
      </c>
      <c r="B501">
        <v>1</v>
      </c>
      <c r="C501">
        <v>27</v>
      </c>
      <c r="D501">
        <v>0</v>
      </c>
      <c r="E501">
        <v>152000</v>
      </c>
      <c r="F501">
        <v>2698</v>
      </c>
      <c r="G501">
        <v>1</v>
      </c>
      <c r="H501">
        <v>0</v>
      </c>
      <c r="I501">
        <v>0</v>
      </c>
      <c r="J501">
        <v>27</v>
      </c>
      <c r="K501">
        <v>1</v>
      </c>
      <c r="L501">
        <f>Résultats!G$32+Résultats!G$33*Données!C501+Résultats!G$34*Données!D501+Résultats!G$35*Données!E501+Résultats!G$36*Données!F501+Résultats!G$37*Données!G501+Résultats!G$38*Données!H501+Résultats!G$39*Données!I501</f>
        <v>110797.37186416013</v>
      </c>
      <c r="M501">
        <f t="shared" si="28"/>
        <v>11202.62813583987</v>
      </c>
      <c r="Q501">
        <v>100000</v>
      </c>
      <c r="R501">
        <v>1</v>
      </c>
      <c r="S501">
        <v>29</v>
      </c>
      <c r="T501">
        <v>0</v>
      </c>
      <c r="U501">
        <f t="shared" si="29"/>
        <v>11.736069016284437</v>
      </c>
      <c r="V501">
        <f t="shared" si="30"/>
        <v>7.8240460108562919</v>
      </c>
      <c r="W501">
        <v>1</v>
      </c>
      <c r="X501">
        <v>0</v>
      </c>
      <c r="Y501">
        <v>0</v>
      </c>
      <c r="Z501">
        <f>'Résultat (Ln)'!F$30+'Résultat (Ln)'!F$31*Données!S501+'Résultat (Ln)'!F$32*Données!T501+'Résultat (Ln)'!F$33*Données!U501+'Résultat (Ln)'!F$34*Données!V501+'Résultat (Ln)'!F$35*Données!W501+'Résultat (Ln)'!F$36*Données!X501+'Résultat (Ln)'!F$37*Données!Y501</f>
        <v>87609.332318862333</v>
      </c>
      <c r="AA501">
        <f t="shared" si="31"/>
        <v>12390.667681137667</v>
      </c>
    </row>
    <row r="502" spans="1:27" x14ac:dyDescent="0.25">
      <c r="A502">
        <v>187000</v>
      </c>
      <c r="B502">
        <v>1</v>
      </c>
      <c r="C502">
        <v>20</v>
      </c>
      <c r="D502">
        <v>0</v>
      </c>
      <c r="E502">
        <v>360000</v>
      </c>
      <c r="F502">
        <v>11757</v>
      </c>
      <c r="G502">
        <v>1</v>
      </c>
      <c r="H502">
        <v>0</v>
      </c>
      <c r="I502">
        <v>0</v>
      </c>
      <c r="J502">
        <v>19</v>
      </c>
      <c r="K502">
        <v>1</v>
      </c>
      <c r="L502">
        <f>Résultats!G$32+Résultats!G$33*Données!C502+Résultats!G$34*Données!D502+Résultats!G$35*Données!E502+Résultats!G$36*Données!F502+Résultats!G$37*Données!G502+Résultats!G$38*Données!H502+Résultats!G$39*Données!I502</f>
        <v>217437.37484062297</v>
      </c>
      <c r="M502">
        <f t="shared" si="28"/>
        <v>-30437.374840622972</v>
      </c>
      <c r="Q502">
        <v>122000</v>
      </c>
      <c r="R502">
        <v>1</v>
      </c>
      <c r="S502">
        <v>27</v>
      </c>
      <c r="T502">
        <v>0</v>
      </c>
      <c r="U502">
        <f t="shared" si="29"/>
        <v>11.931635799828413</v>
      </c>
      <c r="V502">
        <f t="shared" si="30"/>
        <v>7.9002660367677011</v>
      </c>
      <c r="W502">
        <v>1</v>
      </c>
      <c r="X502">
        <v>0</v>
      </c>
      <c r="Y502">
        <v>0</v>
      </c>
      <c r="Z502">
        <f>'Résultat (Ln)'!F$30+'Résultat (Ln)'!F$31*Données!S502+'Résultat (Ln)'!F$32*Données!T502+'Résultat (Ln)'!F$33*Données!U502+'Résultat (Ln)'!F$34*Données!V502+'Résultat (Ln)'!F$35*Données!W502+'Résultat (Ln)'!F$36*Données!X502+'Résultat (Ln)'!F$37*Données!Y502</f>
        <v>108266.79356884198</v>
      </c>
      <c r="AA502">
        <f t="shared" si="31"/>
        <v>13733.206431158018</v>
      </c>
    </row>
    <row r="503" spans="1:27" x14ac:dyDescent="0.25">
      <c r="A503">
        <v>126000</v>
      </c>
      <c r="B503">
        <v>1</v>
      </c>
      <c r="C503">
        <v>24</v>
      </c>
      <c r="D503">
        <v>0</v>
      </c>
      <c r="E503">
        <v>140000</v>
      </c>
      <c r="F503">
        <v>3250</v>
      </c>
      <c r="G503">
        <v>0</v>
      </c>
      <c r="H503">
        <v>0</v>
      </c>
      <c r="I503">
        <v>1</v>
      </c>
      <c r="J503">
        <v>20</v>
      </c>
      <c r="K503">
        <v>1</v>
      </c>
      <c r="L503">
        <f>Résultats!G$32+Résultats!G$33*Données!C503+Résultats!G$34*Données!D503+Résultats!G$35*Données!E503+Résultats!G$36*Données!F503+Résultats!G$37*Données!G503+Résultats!G$38*Données!H503+Résultats!G$39*Données!I503</f>
        <v>105726.41850455287</v>
      </c>
      <c r="M503">
        <f t="shared" si="28"/>
        <v>20273.581495447128</v>
      </c>
      <c r="Q503">
        <v>187000</v>
      </c>
      <c r="R503">
        <v>1</v>
      </c>
      <c r="S503">
        <v>20</v>
      </c>
      <c r="T503">
        <v>0</v>
      </c>
      <c r="U503">
        <f t="shared" si="29"/>
        <v>12.793859310432293</v>
      </c>
      <c r="V503">
        <f t="shared" si="30"/>
        <v>9.3722040868677414</v>
      </c>
      <c r="W503">
        <v>1</v>
      </c>
      <c r="X503">
        <v>0</v>
      </c>
      <c r="Y503">
        <v>0</v>
      </c>
      <c r="Z503">
        <f>'Résultat (Ln)'!F$30+'Résultat (Ln)'!F$31*Données!S503+'Résultat (Ln)'!F$32*Données!T503+'Résultat (Ln)'!F$33*Données!U503+'Résultat (Ln)'!F$34*Données!V503+'Résultat (Ln)'!F$35*Données!W503+'Résultat (Ln)'!F$36*Données!X503+'Résultat (Ln)'!F$37*Données!Y503</f>
        <v>233420.71404405896</v>
      </c>
      <c r="AA503">
        <f t="shared" si="31"/>
        <v>-46420.714044058957</v>
      </c>
    </row>
    <row r="504" spans="1:27" x14ac:dyDescent="0.25">
      <c r="A504">
        <v>122000</v>
      </c>
      <c r="B504">
        <v>1</v>
      </c>
      <c r="C504">
        <v>37.400001525878913</v>
      </c>
      <c r="D504">
        <v>1</v>
      </c>
      <c r="E504">
        <v>135000</v>
      </c>
      <c r="F504">
        <v>1841</v>
      </c>
      <c r="G504">
        <v>1</v>
      </c>
      <c r="H504">
        <v>1</v>
      </c>
      <c r="I504">
        <v>1</v>
      </c>
      <c r="J504">
        <v>37.349998474121087</v>
      </c>
      <c r="K504">
        <v>1</v>
      </c>
      <c r="L504">
        <f>Résultats!G$32+Résultats!G$33*Données!C504+Résultats!G$34*Données!D504+Résultats!G$35*Données!E504+Résultats!G$36*Données!F504+Résultats!G$37*Données!G504+Résultats!G$38*Données!H504+Résultats!G$39*Données!I504</f>
        <v>126293.08531291118</v>
      </c>
      <c r="M504">
        <f t="shared" si="28"/>
        <v>-4293.0853129111783</v>
      </c>
      <c r="Q504">
        <v>126000</v>
      </c>
      <c r="R504">
        <v>1</v>
      </c>
      <c r="S504">
        <v>24</v>
      </c>
      <c r="T504">
        <v>0</v>
      </c>
      <c r="U504">
        <f t="shared" si="29"/>
        <v>11.849397701591441</v>
      </c>
      <c r="V504">
        <f t="shared" si="30"/>
        <v>8.0864102753237823</v>
      </c>
      <c r="W504">
        <v>0</v>
      </c>
      <c r="X504">
        <v>0</v>
      </c>
      <c r="Y504">
        <v>1</v>
      </c>
      <c r="Z504">
        <f>'Résultat (Ln)'!F$30+'Résultat (Ln)'!F$31*Données!S504+'Résultat (Ln)'!F$32*Données!T504+'Résultat (Ln)'!F$33*Données!U504+'Résultat (Ln)'!F$34*Données!V504+'Résultat (Ln)'!F$35*Données!W504+'Résultat (Ln)'!F$36*Données!X504+'Résultat (Ln)'!F$37*Données!Y504</f>
        <v>110578.57395876216</v>
      </c>
      <c r="AA504">
        <f t="shared" si="31"/>
        <v>15421.426041237835</v>
      </c>
    </row>
    <row r="505" spans="1:27" x14ac:dyDescent="0.25">
      <c r="A505">
        <v>215000</v>
      </c>
      <c r="B505">
        <v>1</v>
      </c>
      <c r="C505">
        <v>32.400001525878913</v>
      </c>
      <c r="D505">
        <v>0</v>
      </c>
      <c r="E505">
        <v>282000</v>
      </c>
      <c r="F505">
        <v>8881</v>
      </c>
      <c r="G505">
        <v>0</v>
      </c>
      <c r="H505">
        <v>0</v>
      </c>
      <c r="I505">
        <v>0</v>
      </c>
      <c r="J505">
        <v>26.29999923706055</v>
      </c>
      <c r="K505">
        <v>1</v>
      </c>
      <c r="L505">
        <f>Résultats!G$32+Résultats!G$33*Données!C505+Résultats!G$34*Données!D505+Résultats!G$35*Données!E505+Résultats!G$36*Données!F505+Résultats!G$37*Données!G505+Résultats!G$38*Données!H505+Résultats!G$39*Données!I505</f>
        <v>182668.83939298798</v>
      </c>
      <c r="M505">
        <f t="shared" si="28"/>
        <v>32331.160607012018</v>
      </c>
      <c r="Q505">
        <v>122000</v>
      </c>
      <c r="R505">
        <v>1</v>
      </c>
      <c r="S505">
        <v>37.400001525878913</v>
      </c>
      <c r="T505">
        <v>1</v>
      </c>
      <c r="U505">
        <f t="shared" si="29"/>
        <v>11.813030057420567</v>
      </c>
      <c r="V505">
        <f t="shared" si="30"/>
        <v>7.5180641812330782</v>
      </c>
      <c r="W505">
        <v>1</v>
      </c>
      <c r="X505">
        <v>1</v>
      </c>
      <c r="Y505">
        <v>1</v>
      </c>
      <c r="Z505">
        <f>'Résultat (Ln)'!F$30+'Résultat (Ln)'!F$31*Données!S505+'Résultat (Ln)'!F$32*Données!T505+'Résultat (Ln)'!F$33*Données!U505+'Résultat (Ln)'!F$34*Données!V505+'Résultat (Ln)'!F$35*Données!W505+'Résultat (Ln)'!F$36*Données!X505+'Résultat (Ln)'!F$37*Données!Y505</f>
        <v>115801.06154674609</v>
      </c>
      <c r="AA505">
        <f t="shared" si="31"/>
        <v>6198.9384532539116</v>
      </c>
    </row>
    <row r="506" spans="1:27" x14ac:dyDescent="0.25">
      <c r="A506">
        <v>170000</v>
      </c>
      <c r="B506">
        <v>1</v>
      </c>
      <c r="C506">
        <v>34</v>
      </c>
      <c r="D506">
        <v>0</v>
      </c>
      <c r="E506">
        <v>289000</v>
      </c>
      <c r="F506">
        <v>2667</v>
      </c>
      <c r="G506">
        <v>1</v>
      </c>
      <c r="H506">
        <v>0</v>
      </c>
      <c r="I506">
        <v>1</v>
      </c>
      <c r="J506">
        <v>22</v>
      </c>
      <c r="K506">
        <v>1</v>
      </c>
      <c r="L506">
        <f>Résultats!G$32+Résultats!G$33*Données!C506+Résultats!G$34*Données!D506+Résultats!G$35*Données!E506+Résultats!G$36*Données!F506+Résultats!G$37*Données!G506+Résultats!G$38*Données!H506+Résultats!G$39*Données!I506</f>
        <v>192676.0477747636</v>
      </c>
      <c r="M506">
        <f t="shared" si="28"/>
        <v>-22676.047774763603</v>
      </c>
      <c r="Q506">
        <v>215000</v>
      </c>
      <c r="R506">
        <v>1</v>
      </c>
      <c r="S506">
        <v>32.400001525878913</v>
      </c>
      <c r="T506">
        <v>0</v>
      </c>
      <c r="U506">
        <f t="shared" si="29"/>
        <v>12.549662349920251</v>
      </c>
      <c r="V506">
        <f t="shared" si="30"/>
        <v>9.0916694422585049</v>
      </c>
      <c r="W506">
        <v>0</v>
      </c>
      <c r="X506">
        <v>0</v>
      </c>
      <c r="Y506">
        <v>0</v>
      </c>
      <c r="Z506">
        <f>'Résultat (Ln)'!F$30+'Résultat (Ln)'!F$31*Données!S506+'Résultat (Ln)'!F$32*Données!T506+'Résultat (Ln)'!F$33*Données!U506+'Résultat (Ln)'!F$34*Données!V506+'Résultat (Ln)'!F$35*Données!W506+'Résultat (Ln)'!F$36*Données!X506+'Résultat (Ln)'!F$37*Données!Y506</f>
        <v>210015.34503534454</v>
      </c>
      <c r="AA506">
        <f t="shared" si="31"/>
        <v>4984.6549646554631</v>
      </c>
    </row>
    <row r="507" spans="1:27" x14ac:dyDescent="0.25">
      <c r="A507">
        <v>168000</v>
      </c>
      <c r="B507">
        <v>1</v>
      </c>
      <c r="C507">
        <v>30.70000076293945</v>
      </c>
      <c r="D507">
        <v>0</v>
      </c>
      <c r="E507">
        <v>210000</v>
      </c>
      <c r="F507">
        <v>1560</v>
      </c>
      <c r="G507">
        <v>1</v>
      </c>
      <c r="H507">
        <v>0</v>
      </c>
      <c r="I507">
        <v>1</v>
      </c>
      <c r="J507">
        <v>29.139999389648441</v>
      </c>
      <c r="K507">
        <v>1</v>
      </c>
      <c r="L507">
        <f>Résultats!G$32+Résultats!G$33*Données!C507+Résultats!G$34*Données!D507+Résultats!G$35*Données!E507+Résultats!G$36*Données!F507+Résultats!G$37*Données!G507+Résultats!G$38*Données!H507+Résultats!G$39*Données!I507</f>
        <v>149850.99756101237</v>
      </c>
      <c r="M507">
        <f t="shared" si="28"/>
        <v>18149.002438987634</v>
      </c>
      <c r="Q507">
        <v>170000</v>
      </c>
      <c r="R507">
        <v>1</v>
      </c>
      <c r="S507">
        <v>34</v>
      </c>
      <c r="T507">
        <v>0</v>
      </c>
      <c r="U507">
        <f t="shared" si="29"/>
        <v>12.574181967094569</v>
      </c>
      <c r="V507">
        <f t="shared" si="30"/>
        <v>7.8887095241820147</v>
      </c>
      <c r="W507">
        <v>1</v>
      </c>
      <c r="X507">
        <v>0</v>
      </c>
      <c r="Y507">
        <v>1</v>
      </c>
      <c r="Z507">
        <f>'Résultat (Ln)'!F$30+'Résultat (Ln)'!F$31*Données!S507+'Résultat (Ln)'!F$32*Données!T507+'Résultat (Ln)'!F$33*Données!U507+'Résultat (Ln)'!F$34*Données!V507+'Résultat (Ln)'!F$35*Données!W507+'Résultat (Ln)'!F$36*Données!X507+'Résultat (Ln)'!F$37*Données!Y507</f>
        <v>199462.00004793736</v>
      </c>
      <c r="AA507">
        <f t="shared" si="31"/>
        <v>-29462.000047937356</v>
      </c>
    </row>
    <row r="508" spans="1:27" x14ac:dyDescent="0.25">
      <c r="A508">
        <v>100000</v>
      </c>
      <c r="B508">
        <v>1</v>
      </c>
      <c r="C508">
        <v>29.29999923706055</v>
      </c>
      <c r="D508">
        <v>0</v>
      </c>
      <c r="E508">
        <v>120000</v>
      </c>
      <c r="F508">
        <v>2330</v>
      </c>
      <c r="G508">
        <v>1</v>
      </c>
      <c r="H508">
        <v>0</v>
      </c>
      <c r="I508">
        <v>1</v>
      </c>
      <c r="J508">
        <v>12.539999961853029</v>
      </c>
      <c r="K508">
        <v>0</v>
      </c>
      <c r="L508">
        <f>Résultats!G$32+Résultats!G$33*Données!C508+Résultats!G$34*Données!D508+Résultats!G$35*Données!E508+Résultats!G$36*Données!F508+Résultats!G$37*Données!G508+Résultats!G$38*Données!H508+Résultats!G$39*Données!I508</f>
        <v>107709.1593686118</v>
      </c>
      <c r="M508">
        <f t="shared" si="28"/>
        <v>-7709.1593686117994</v>
      </c>
      <c r="Q508">
        <v>168000</v>
      </c>
      <c r="R508">
        <v>1</v>
      </c>
      <c r="S508">
        <v>30.70000076293945</v>
      </c>
      <c r="T508">
        <v>0</v>
      </c>
      <c r="U508">
        <f t="shared" si="29"/>
        <v>12.254862809699606</v>
      </c>
      <c r="V508">
        <f t="shared" si="30"/>
        <v>7.352441100243583</v>
      </c>
      <c r="W508">
        <v>1</v>
      </c>
      <c r="X508">
        <v>0</v>
      </c>
      <c r="Y508">
        <v>1</v>
      </c>
      <c r="Z508">
        <f>'Résultat (Ln)'!F$30+'Résultat (Ln)'!F$31*Données!S508+'Résultat (Ln)'!F$32*Données!T508+'Résultat (Ln)'!F$33*Données!U508+'Résultat (Ln)'!F$34*Données!V508+'Résultat (Ln)'!F$35*Données!W508+'Résultat (Ln)'!F$36*Données!X508+'Résultat (Ln)'!F$37*Données!Y508</f>
        <v>146159.59469810993</v>
      </c>
      <c r="AA508">
        <f t="shared" si="31"/>
        <v>21840.405301890074</v>
      </c>
    </row>
    <row r="509" spans="1:27" x14ac:dyDescent="0.25">
      <c r="A509">
        <v>62000</v>
      </c>
      <c r="B509">
        <v>1</v>
      </c>
      <c r="C509">
        <v>19.29999923706055</v>
      </c>
      <c r="D509">
        <v>0</v>
      </c>
      <c r="E509">
        <v>111000</v>
      </c>
      <c r="F509">
        <v>4685</v>
      </c>
      <c r="G509">
        <v>0</v>
      </c>
      <c r="H509">
        <v>0</v>
      </c>
      <c r="I509">
        <v>0</v>
      </c>
      <c r="J509">
        <v>16.39999961853027</v>
      </c>
      <c r="K509">
        <v>1</v>
      </c>
      <c r="L509">
        <f>Résultats!G$32+Résultats!G$33*Données!C509+Résultats!G$34*Données!D509+Résultats!G$35*Données!E509+Résultats!G$36*Données!F509+Résultats!G$37*Données!G509+Résultats!G$38*Données!H509+Résultats!G$39*Données!I509</f>
        <v>79641.290067718393</v>
      </c>
      <c r="M509">
        <f t="shared" si="28"/>
        <v>-17641.290067718393</v>
      </c>
      <c r="Q509">
        <v>100000</v>
      </c>
      <c r="R509">
        <v>1</v>
      </c>
      <c r="S509">
        <v>29.29999923706055</v>
      </c>
      <c r="T509">
        <v>0</v>
      </c>
      <c r="U509">
        <f t="shared" si="29"/>
        <v>11.695247021764184</v>
      </c>
      <c r="V509">
        <f t="shared" si="30"/>
        <v>7.7536235465597461</v>
      </c>
      <c r="W509">
        <v>1</v>
      </c>
      <c r="X509">
        <v>0</v>
      </c>
      <c r="Y509">
        <v>1</v>
      </c>
      <c r="Z509">
        <f>'Résultat (Ln)'!F$30+'Résultat (Ln)'!F$31*Données!S509+'Résultat (Ln)'!F$32*Données!T509+'Résultat (Ln)'!F$33*Données!U509+'Résultat (Ln)'!F$34*Données!V509+'Résultat (Ln)'!F$35*Données!W509+'Résultat (Ln)'!F$36*Données!X509+'Résultat (Ln)'!F$37*Données!Y509</f>
        <v>95711.883926062423</v>
      </c>
      <c r="AA509">
        <f t="shared" si="31"/>
        <v>4288.1160739375773</v>
      </c>
    </row>
    <row r="510" spans="1:27" x14ac:dyDescent="0.25">
      <c r="A510">
        <v>70000</v>
      </c>
      <c r="B510">
        <v>1</v>
      </c>
      <c r="C510">
        <v>23.89999961853027</v>
      </c>
      <c r="D510">
        <v>0</v>
      </c>
      <c r="E510">
        <v>427000</v>
      </c>
      <c r="F510">
        <v>14866</v>
      </c>
      <c r="G510">
        <v>1</v>
      </c>
      <c r="H510">
        <v>0</v>
      </c>
      <c r="I510">
        <v>1</v>
      </c>
      <c r="J510">
        <v>21.79999923706055</v>
      </c>
      <c r="K510">
        <v>0</v>
      </c>
      <c r="L510">
        <f>Résultats!G$32+Résultats!G$33*Données!C510+Résultats!G$34*Données!D510+Résultats!G$35*Données!E510+Résultats!G$36*Données!F510+Résultats!G$37*Données!G510+Résultats!G$38*Données!H510+Résultats!G$39*Données!I510</f>
        <v>269153.09565916832</v>
      </c>
      <c r="M510">
        <f t="shared" si="28"/>
        <v>-199153.09565916832</v>
      </c>
      <c r="Q510">
        <v>62000</v>
      </c>
      <c r="R510">
        <v>1</v>
      </c>
      <c r="S510">
        <v>19.29999923706055</v>
      </c>
      <c r="T510">
        <v>0</v>
      </c>
      <c r="U510">
        <f t="shared" si="29"/>
        <v>11.617285480294472</v>
      </c>
      <c r="V510">
        <f t="shared" si="30"/>
        <v>8.4521211946725234</v>
      </c>
      <c r="W510">
        <v>0</v>
      </c>
      <c r="X510">
        <v>0</v>
      </c>
      <c r="Y510">
        <v>0</v>
      </c>
      <c r="Z510">
        <f>'Résultat (Ln)'!F$30+'Résultat (Ln)'!F$31*Données!S510+'Résultat (Ln)'!F$32*Données!T510+'Résultat (Ln)'!F$33*Données!U510+'Résultat (Ln)'!F$34*Données!V510+'Résultat (Ln)'!F$35*Données!W510+'Résultat (Ln)'!F$36*Données!X510+'Résultat (Ln)'!F$37*Données!Y510</f>
        <v>76123.301220853522</v>
      </c>
      <c r="AA510">
        <f t="shared" si="31"/>
        <v>-14123.301220853522</v>
      </c>
    </row>
    <row r="511" spans="1:27" x14ac:dyDescent="0.25">
      <c r="A511">
        <v>61000</v>
      </c>
      <c r="B511">
        <v>1</v>
      </c>
      <c r="C511">
        <v>25.20000076293945</v>
      </c>
      <c r="D511">
        <v>0</v>
      </c>
      <c r="E511">
        <v>76000</v>
      </c>
      <c r="F511">
        <v>9719</v>
      </c>
      <c r="G511">
        <v>1</v>
      </c>
      <c r="H511">
        <v>0</v>
      </c>
      <c r="I511">
        <v>1</v>
      </c>
      <c r="J511">
        <v>8.8000001907348633</v>
      </c>
      <c r="K511">
        <v>1</v>
      </c>
      <c r="L511">
        <f>Résultats!G$32+Résultats!G$33*Données!C511+Résultats!G$34*Données!D511+Résultats!G$35*Données!E511+Résultats!G$36*Données!F511+Résultats!G$37*Données!G511+Résultats!G$38*Données!H511+Résultats!G$39*Données!I511</f>
        <v>96771.979590935458</v>
      </c>
      <c r="M511">
        <f t="shared" si="28"/>
        <v>-35771.979590935458</v>
      </c>
      <c r="Q511">
        <v>70000</v>
      </c>
      <c r="R511">
        <v>1</v>
      </c>
      <c r="S511">
        <v>23.89999961853027</v>
      </c>
      <c r="T511">
        <v>0</v>
      </c>
      <c r="U511">
        <f t="shared" si="29"/>
        <v>12.964539292210761</v>
      </c>
      <c r="V511">
        <f t="shared" si="30"/>
        <v>9.6068320052852396</v>
      </c>
      <c r="W511">
        <v>1</v>
      </c>
      <c r="X511">
        <v>0</v>
      </c>
      <c r="Y511">
        <v>1</v>
      </c>
      <c r="Z511">
        <f>'Résultat (Ln)'!F$30+'Résultat (Ln)'!F$31*Données!S511+'Résultat (Ln)'!F$32*Données!T511+'Résultat (Ln)'!F$33*Données!U511+'Résultat (Ln)'!F$34*Données!V511+'Résultat (Ln)'!F$35*Données!W511+'Résultat (Ln)'!F$36*Données!X511+'Résultat (Ln)'!F$37*Données!Y511</f>
        <v>277150.06760154385</v>
      </c>
      <c r="AA511">
        <f t="shared" si="31"/>
        <v>-207150.06760154385</v>
      </c>
    </row>
    <row r="512" spans="1:27" x14ac:dyDescent="0.25">
      <c r="A512">
        <v>30000</v>
      </c>
      <c r="B512">
        <v>1</v>
      </c>
      <c r="C512">
        <v>15</v>
      </c>
      <c r="D512">
        <v>0</v>
      </c>
      <c r="E512">
        <v>30000</v>
      </c>
      <c r="F512">
        <v>1538</v>
      </c>
      <c r="G512">
        <v>1</v>
      </c>
      <c r="H512">
        <v>0</v>
      </c>
      <c r="I512">
        <v>0</v>
      </c>
      <c r="J512">
        <v>13</v>
      </c>
      <c r="K512">
        <v>1</v>
      </c>
      <c r="L512">
        <f>Résultats!G$32+Résultats!G$33*Données!C512+Résultats!G$34*Données!D512+Résultats!G$35*Données!E512+Résultats!G$36*Données!F512+Résultats!G$37*Données!G512+Résultats!G$38*Données!H512+Résultats!G$39*Données!I512</f>
        <v>37797.195192410945</v>
      </c>
      <c r="M512">
        <f t="shared" si="28"/>
        <v>-7797.1951924109453</v>
      </c>
      <c r="Q512">
        <v>61000</v>
      </c>
      <c r="R512">
        <v>1</v>
      </c>
      <c r="S512">
        <v>25.20000076293945</v>
      </c>
      <c r="T512">
        <v>0</v>
      </c>
      <c r="U512">
        <f t="shared" si="29"/>
        <v>11.238488619268468</v>
      </c>
      <c r="V512">
        <f t="shared" si="30"/>
        <v>9.181838011503471</v>
      </c>
      <c r="W512">
        <v>1</v>
      </c>
      <c r="X512">
        <v>0</v>
      </c>
      <c r="Y512">
        <v>1</v>
      </c>
      <c r="Z512">
        <f>'Résultat (Ln)'!F$30+'Résultat (Ln)'!F$31*Données!S512+'Résultat (Ln)'!F$32*Données!T512+'Résultat (Ln)'!F$33*Données!U512+'Résultat (Ln)'!F$34*Données!V512+'Résultat (Ln)'!F$35*Données!W512+'Résultat (Ln)'!F$36*Données!X512+'Résultat (Ln)'!F$37*Données!Y512</f>
        <v>81794.449233425476</v>
      </c>
      <c r="AA512">
        <f t="shared" si="31"/>
        <v>-20794.449233425476</v>
      </c>
    </row>
    <row r="513" spans="1:27" x14ac:dyDescent="0.25">
      <c r="A513">
        <v>225000</v>
      </c>
      <c r="B513">
        <v>1</v>
      </c>
      <c r="C513">
        <v>23.29999923706055</v>
      </c>
      <c r="D513">
        <v>0</v>
      </c>
      <c r="E513">
        <v>325000</v>
      </c>
      <c r="F513">
        <v>10000</v>
      </c>
      <c r="G513">
        <v>0</v>
      </c>
      <c r="H513">
        <v>9</v>
      </c>
      <c r="I513">
        <v>1</v>
      </c>
      <c r="J513">
        <v>20</v>
      </c>
      <c r="K513">
        <v>0</v>
      </c>
      <c r="L513">
        <f>Résultats!G$32+Résultats!G$33*Données!C513+Résultats!G$34*Données!D513+Résultats!G$35*Données!E513+Résultats!G$36*Données!F513+Résultats!G$37*Données!G513+Résultats!G$38*Données!H513+Résultats!G$39*Données!I513</f>
        <v>189761.27947349471</v>
      </c>
      <c r="M513">
        <f t="shared" si="28"/>
        <v>35238.720526505291</v>
      </c>
      <c r="Q513">
        <v>30000</v>
      </c>
      <c r="R513">
        <v>1</v>
      </c>
      <c r="S513">
        <v>15</v>
      </c>
      <c r="T513">
        <v>0</v>
      </c>
      <c r="U513">
        <f t="shared" si="29"/>
        <v>10.308952660644293</v>
      </c>
      <c r="V513">
        <f t="shared" si="30"/>
        <v>7.3382381500655889</v>
      </c>
      <c r="W513">
        <v>1</v>
      </c>
      <c r="X513">
        <v>0</v>
      </c>
      <c r="Y513">
        <v>0</v>
      </c>
      <c r="Z513">
        <f>'Résultat (Ln)'!F$30+'Résultat (Ln)'!F$31*Données!S513+'Résultat (Ln)'!F$32*Données!T513+'Résultat (Ln)'!F$33*Données!U513+'Résultat (Ln)'!F$34*Données!V513+'Résultat (Ln)'!F$35*Données!W513+'Résultat (Ln)'!F$36*Données!X513+'Résultat (Ln)'!F$37*Données!Y513</f>
        <v>-96104.653943372818</v>
      </c>
      <c r="AA513">
        <f t="shared" si="31"/>
        <v>126104.65394337282</v>
      </c>
    </row>
    <row r="514" spans="1:27" x14ac:dyDescent="0.25">
      <c r="A514">
        <v>125000</v>
      </c>
      <c r="B514">
        <v>1</v>
      </c>
      <c r="C514">
        <v>25</v>
      </c>
      <c r="D514">
        <v>0</v>
      </c>
      <c r="E514">
        <v>225000</v>
      </c>
      <c r="F514">
        <v>4860</v>
      </c>
      <c r="G514">
        <v>1</v>
      </c>
      <c r="H514">
        <v>0</v>
      </c>
      <c r="I514">
        <v>1</v>
      </c>
      <c r="J514">
        <v>25</v>
      </c>
      <c r="K514">
        <v>1</v>
      </c>
      <c r="L514">
        <f>Résultats!G$32+Résultats!G$33*Données!C514+Résultats!G$34*Données!D514+Résultats!G$35*Données!E514+Résultats!G$36*Données!F514+Résultats!G$37*Données!G514+Résultats!G$38*Données!H514+Résultats!G$39*Données!I514</f>
        <v>156702.57286075881</v>
      </c>
      <c r="M514">
        <f t="shared" si="28"/>
        <v>-31702.57286075881</v>
      </c>
      <c r="Q514">
        <v>225000</v>
      </c>
      <c r="R514">
        <v>1</v>
      </c>
      <c r="S514">
        <v>23.29999923706055</v>
      </c>
      <c r="T514">
        <v>0</v>
      </c>
      <c r="U514">
        <f t="shared" si="29"/>
        <v>12.691580461311874</v>
      </c>
      <c r="V514">
        <f t="shared" si="30"/>
        <v>9.2103403719761836</v>
      </c>
      <c r="W514">
        <v>0</v>
      </c>
      <c r="X514">
        <v>9</v>
      </c>
      <c r="Y514">
        <v>1</v>
      </c>
      <c r="Z514">
        <f>'Résultat (Ln)'!F$30+'Résultat (Ln)'!F$31*Données!S514+'Résultat (Ln)'!F$32*Données!T514+'Résultat (Ln)'!F$33*Données!U514+'Résultat (Ln)'!F$34*Données!V514+'Résultat (Ln)'!F$35*Données!W514+'Résultat (Ln)'!F$36*Données!X514+'Résultat (Ln)'!F$37*Données!Y514</f>
        <v>229925.06133049898</v>
      </c>
      <c r="AA514">
        <f t="shared" si="31"/>
        <v>-4925.061330498982</v>
      </c>
    </row>
    <row r="515" spans="1:27" x14ac:dyDescent="0.25">
      <c r="A515">
        <v>128000</v>
      </c>
      <c r="B515">
        <v>1</v>
      </c>
      <c r="C515">
        <v>29.70000076293945</v>
      </c>
      <c r="D515">
        <v>0</v>
      </c>
      <c r="E515">
        <v>142000</v>
      </c>
      <c r="F515">
        <v>2722</v>
      </c>
      <c r="G515">
        <v>1</v>
      </c>
      <c r="H515">
        <v>0</v>
      </c>
      <c r="I515">
        <v>0</v>
      </c>
      <c r="J515">
        <v>26.29999923706055</v>
      </c>
      <c r="K515">
        <v>1</v>
      </c>
      <c r="L515">
        <f>Résultats!G$32+Résultats!G$33*Données!C515+Résultats!G$34*Données!D515+Résultats!G$35*Données!E515+Résultats!G$36*Données!F515+Résultats!G$37*Données!G515+Résultats!G$38*Données!H515+Résultats!G$39*Données!I515</f>
        <v>109275.75697419589</v>
      </c>
      <c r="M515">
        <f t="shared" ref="M515:M578" si="32">A515-L515</f>
        <v>18724.243025804113</v>
      </c>
      <c r="Q515">
        <v>125000</v>
      </c>
      <c r="R515">
        <v>1</v>
      </c>
      <c r="S515">
        <v>25</v>
      </c>
      <c r="T515">
        <v>0</v>
      </c>
      <c r="U515">
        <f t="shared" si="29"/>
        <v>12.323855681186558</v>
      </c>
      <c r="V515">
        <f t="shared" si="30"/>
        <v>8.4887937168945395</v>
      </c>
      <c r="W515">
        <v>1</v>
      </c>
      <c r="X515">
        <v>0</v>
      </c>
      <c r="Y515">
        <v>1</v>
      </c>
      <c r="Z515">
        <f>'Résultat (Ln)'!F$30+'Résultat (Ln)'!F$31*Données!S515+'Résultat (Ln)'!F$32*Données!T515+'Résultat (Ln)'!F$33*Données!U515+'Résultat (Ln)'!F$34*Données!V515+'Résultat (Ln)'!F$35*Données!W515+'Résultat (Ln)'!F$36*Données!X515+'Résultat (Ln)'!F$37*Données!Y515</f>
        <v>178459.60030366888</v>
      </c>
      <c r="AA515">
        <f t="shared" si="31"/>
        <v>-53459.600303668878</v>
      </c>
    </row>
    <row r="516" spans="1:27" x14ac:dyDescent="0.25">
      <c r="A516">
        <v>112000</v>
      </c>
      <c r="B516">
        <v>1</v>
      </c>
      <c r="C516">
        <v>40.900001525878913</v>
      </c>
      <c r="D516">
        <v>0</v>
      </c>
      <c r="E516">
        <v>125000</v>
      </c>
      <c r="F516">
        <v>2814</v>
      </c>
      <c r="G516">
        <v>1</v>
      </c>
      <c r="H516">
        <v>1</v>
      </c>
      <c r="I516">
        <v>0</v>
      </c>
      <c r="J516">
        <v>27.29000091552734</v>
      </c>
      <c r="K516">
        <v>1</v>
      </c>
      <c r="L516">
        <f>Résultats!G$32+Résultats!G$33*Données!C516+Résultats!G$34*Données!D516+Résultats!G$35*Données!E516+Résultats!G$36*Données!F516+Résultats!G$37*Données!G516+Résultats!G$38*Données!H516+Résultats!G$39*Données!I516</f>
        <v>112755.66048771811</v>
      </c>
      <c r="M516">
        <f t="shared" si="32"/>
        <v>-755.66048771810893</v>
      </c>
      <c r="Q516">
        <v>128000</v>
      </c>
      <c r="R516">
        <v>1</v>
      </c>
      <c r="S516">
        <v>29.70000076293945</v>
      </c>
      <c r="T516">
        <v>0</v>
      </c>
      <c r="U516">
        <f t="shared" ref="U516:U579" si="33">LN(E515)</f>
        <v>11.863582336583399</v>
      </c>
      <c r="V516">
        <f t="shared" ref="V516:V579" si="34">LN(F515)</f>
        <v>7.9091221832114114</v>
      </c>
      <c r="W516">
        <v>1</v>
      </c>
      <c r="X516">
        <v>0</v>
      </c>
      <c r="Y516">
        <v>0</v>
      </c>
      <c r="Z516">
        <f>'Résultat (Ln)'!F$30+'Résultat (Ln)'!F$31*Données!S516+'Résultat (Ln)'!F$32*Données!T516+'Résultat (Ln)'!F$33*Données!U516+'Résultat (Ln)'!F$34*Données!V516+'Résultat (Ln)'!F$35*Données!W516+'Résultat (Ln)'!F$36*Données!X516+'Résultat (Ln)'!F$37*Données!Y516</f>
        <v>104519.65323046873</v>
      </c>
      <c r="AA516">
        <f t="shared" ref="AA516:AA579" si="35">Q516-Z516</f>
        <v>23480.346769531272</v>
      </c>
    </row>
    <row r="517" spans="1:27" x14ac:dyDescent="0.25">
      <c r="A517">
        <v>150000</v>
      </c>
      <c r="B517">
        <v>1</v>
      </c>
      <c r="C517">
        <v>19</v>
      </c>
      <c r="D517">
        <v>0</v>
      </c>
      <c r="E517">
        <v>234000</v>
      </c>
      <c r="F517">
        <v>3708</v>
      </c>
      <c r="G517">
        <v>1</v>
      </c>
      <c r="H517">
        <v>0</v>
      </c>
      <c r="I517">
        <v>0</v>
      </c>
      <c r="J517">
        <v>17</v>
      </c>
      <c r="K517">
        <v>1</v>
      </c>
      <c r="L517">
        <f>Résultats!G$32+Résultats!G$33*Données!C517+Résultats!G$34*Données!D517+Résultats!G$35*Données!E517+Résultats!G$36*Données!F517+Résultats!G$37*Données!G517+Résultats!G$38*Données!H517+Résultats!G$39*Données!I517</f>
        <v>141855.34210178649</v>
      </c>
      <c r="M517">
        <f t="shared" si="32"/>
        <v>8144.6578982135106</v>
      </c>
      <c r="Q517">
        <v>112000</v>
      </c>
      <c r="R517">
        <v>1</v>
      </c>
      <c r="S517">
        <v>40.900001525878913</v>
      </c>
      <c r="T517">
        <v>0</v>
      </c>
      <c r="U517">
        <f t="shared" si="33"/>
        <v>11.736069016284437</v>
      </c>
      <c r="V517">
        <f t="shared" si="34"/>
        <v>7.9423622376743346</v>
      </c>
      <c r="W517">
        <v>1</v>
      </c>
      <c r="X517">
        <v>1</v>
      </c>
      <c r="Y517">
        <v>0</v>
      </c>
      <c r="Z517">
        <f>'Résultat (Ln)'!F$30+'Résultat (Ln)'!F$31*Données!S517+'Résultat (Ln)'!F$32*Données!T517+'Résultat (Ln)'!F$33*Données!U517+'Résultat (Ln)'!F$34*Données!V517+'Résultat (Ln)'!F$35*Données!W517+'Résultat (Ln)'!F$36*Données!X517+'Résultat (Ln)'!F$37*Données!Y517</f>
        <v>105292.35503988503</v>
      </c>
      <c r="AA517">
        <f t="shared" si="35"/>
        <v>6707.6449601149652</v>
      </c>
    </row>
    <row r="518" spans="1:27" x14ac:dyDescent="0.25">
      <c r="A518">
        <v>121000</v>
      </c>
      <c r="B518">
        <v>1</v>
      </c>
      <c r="C518">
        <v>40</v>
      </c>
      <c r="D518">
        <v>0</v>
      </c>
      <c r="E518">
        <v>140000</v>
      </c>
      <c r="F518">
        <v>1898</v>
      </c>
      <c r="G518">
        <v>1</v>
      </c>
      <c r="H518">
        <v>1</v>
      </c>
      <c r="I518">
        <v>0</v>
      </c>
      <c r="J518">
        <v>35</v>
      </c>
      <c r="K518">
        <v>1</v>
      </c>
      <c r="L518">
        <f>Résultats!G$32+Résultats!G$33*Données!C518+Résultats!G$34*Données!D518+Résultats!G$35*Données!E518+Résultats!G$36*Données!F518+Résultats!G$37*Données!G518+Résultats!G$38*Données!H518+Résultats!G$39*Données!I518</f>
        <v>116951.14119683721</v>
      </c>
      <c r="M518">
        <f t="shared" si="32"/>
        <v>4048.8588031627878</v>
      </c>
      <c r="Q518">
        <v>150000</v>
      </c>
      <c r="R518">
        <v>1</v>
      </c>
      <c r="S518">
        <v>19</v>
      </c>
      <c r="T518">
        <v>0</v>
      </c>
      <c r="U518">
        <f t="shared" si="33"/>
        <v>12.363076394339839</v>
      </c>
      <c r="V518">
        <f t="shared" si="34"/>
        <v>8.2182479266857449</v>
      </c>
      <c r="W518">
        <v>1</v>
      </c>
      <c r="X518">
        <v>0</v>
      </c>
      <c r="Y518">
        <v>0</v>
      </c>
      <c r="Z518">
        <f>'Résultat (Ln)'!F$30+'Résultat (Ln)'!F$31*Données!S518+'Résultat (Ln)'!F$32*Données!T518+'Résultat (Ln)'!F$33*Données!U518+'Résultat (Ln)'!F$34*Données!V518+'Résultat (Ln)'!F$35*Données!W518+'Résultat (Ln)'!F$36*Données!X518+'Résultat (Ln)'!F$37*Données!Y518</f>
        <v>153657.03892955568</v>
      </c>
      <c r="AA518">
        <f t="shared" si="35"/>
        <v>-3657.0389295556815</v>
      </c>
    </row>
    <row r="519" spans="1:27" x14ac:dyDescent="0.25">
      <c r="A519">
        <v>214000</v>
      </c>
      <c r="B519">
        <v>1</v>
      </c>
      <c r="C519">
        <v>35.599998474121087</v>
      </c>
      <c r="D519">
        <v>0</v>
      </c>
      <c r="E519">
        <v>285000</v>
      </c>
      <c r="F519">
        <v>5831</v>
      </c>
      <c r="G519">
        <v>1</v>
      </c>
      <c r="H519">
        <v>0</v>
      </c>
      <c r="I519">
        <v>1</v>
      </c>
      <c r="J519">
        <v>31.10000038146973</v>
      </c>
      <c r="K519">
        <v>1</v>
      </c>
      <c r="L519">
        <f>Résultats!G$32+Résultats!G$33*Données!C519+Résultats!G$34*Données!D519+Résultats!G$35*Données!E519+Résultats!G$36*Données!F519+Résultats!G$37*Données!G519+Résultats!G$38*Données!H519+Résultats!G$39*Données!I519</f>
        <v>198777.26477918099</v>
      </c>
      <c r="M519">
        <f t="shared" si="32"/>
        <v>15222.735220819013</v>
      </c>
      <c r="Q519">
        <v>121000</v>
      </c>
      <c r="R519">
        <v>1</v>
      </c>
      <c r="S519">
        <v>40</v>
      </c>
      <c r="T519">
        <v>0</v>
      </c>
      <c r="U519">
        <f t="shared" si="33"/>
        <v>11.849397701591441</v>
      </c>
      <c r="V519">
        <f t="shared" si="34"/>
        <v>7.5485559791698735</v>
      </c>
      <c r="W519">
        <v>1</v>
      </c>
      <c r="X519">
        <v>1</v>
      </c>
      <c r="Y519">
        <v>0</v>
      </c>
      <c r="Z519">
        <f>'Résultat (Ln)'!F$30+'Résultat (Ln)'!F$31*Données!S519+'Résultat (Ln)'!F$32*Données!T519+'Résultat (Ln)'!F$33*Données!U519+'Résultat (Ln)'!F$34*Données!V519+'Résultat (Ln)'!F$35*Données!W519+'Résultat (Ln)'!F$36*Données!X519+'Résultat (Ln)'!F$37*Données!Y519</f>
        <v>105296.24015029988</v>
      </c>
      <c r="AA519">
        <f t="shared" si="35"/>
        <v>15703.759849700116</v>
      </c>
    </row>
    <row r="520" spans="1:27" x14ac:dyDescent="0.25">
      <c r="A520">
        <v>186000</v>
      </c>
      <c r="B520">
        <v>1</v>
      </c>
      <c r="C520">
        <v>41</v>
      </c>
      <c r="D520">
        <v>0</v>
      </c>
      <c r="E520">
        <v>275000</v>
      </c>
      <c r="F520">
        <v>19420</v>
      </c>
      <c r="G520">
        <v>1</v>
      </c>
      <c r="H520">
        <v>0</v>
      </c>
      <c r="I520">
        <v>0</v>
      </c>
      <c r="J520">
        <v>19</v>
      </c>
      <c r="K520">
        <v>1</v>
      </c>
      <c r="L520">
        <f>Résultats!G$32+Résultats!G$33*Données!C520+Résultats!G$34*Données!D520+Résultats!G$35*Données!E520+Résultats!G$36*Données!F520+Résultats!G$37*Données!G520+Résultats!G$38*Données!H520+Résultats!G$39*Données!I520</f>
        <v>216717.68954870949</v>
      </c>
      <c r="M520">
        <f t="shared" si="32"/>
        <v>-30717.689548709488</v>
      </c>
      <c r="Q520">
        <v>214000</v>
      </c>
      <c r="R520">
        <v>1</v>
      </c>
      <c r="S520">
        <v>35.599998474121087</v>
      </c>
      <c r="T520">
        <v>0</v>
      </c>
      <c r="U520">
        <f t="shared" si="33"/>
        <v>12.560244459250788</v>
      </c>
      <c r="V520">
        <f t="shared" si="34"/>
        <v>8.6709437912221556</v>
      </c>
      <c r="W520">
        <v>1</v>
      </c>
      <c r="X520">
        <v>0</v>
      </c>
      <c r="Y520">
        <v>1</v>
      </c>
      <c r="Z520">
        <f>'Résultat (Ln)'!F$30+'Résultat (Ln)'!F$31*Données!S520+'Résultat (Ln)'!F$32*Données!T520+'Résultat (Ln)'!F$33*Données!U520+'Résultat (Ln)'!F$34*Données!V520+'Résultat (Ln)'!F$35*Données!W520+'Résultat (Ln)'!F$36*Données!X520+'Résultat (Ln)'!F$37*Données!Y520</f>
        <v>221861.60492615832</v>
      </c>
      <c r="AA520">
        <f t="shared" si="35"/>
        <v>-7861.6049261583248</v>
      </c>
    </row>
    <row r="521" spans="1:27" x14ac:dyDescent="0.25">
      <c r="A521">
        <v>188000</v>
      </c>
      <c r="B521">
        <v>1</v>
      </c>
      <c r="C521">
        <v>34</v>
      </c>
      <c r="D521">
        <v>0</v>
      </c>
      <c r="E521">
        <v>275000</v>
      </c>
      <c r="F521">
        <v>6835</v>
      </c>
      <c r="G521">
        <v>1</v>
      </c>
      <c r="H521">
        <v>0</v>
      </c>
      <c r="I521">
        <v>0</v>
      </c>
      <c r="J521">
        <v>31</v>
      </c>
      <c r="K521">
        <v>1</v>
      </c>
      <c r="L521">
        <f>Résultats!G$32+Résultats!G$33*Données!C521+Résultats!G$34*Données!D521+Résultats!G$35*Données!E521+Résultats!G$36*Données!F521+Résultats!G$37*Données!G521+Résultats!G$38*Données!H521+Résultats!G$39*Données!I521</f>
        <v>184289.94289684837</v>
      </c>
      <c r="M521">
        <f t="shared" si="32"/>
        <v>3710.0571031516301</v>
      </c>
      <c r="Q521">
        <v>186000</v>
      </c>
      <c r="R521">
        <v>1</v>
      </c>
      <c r="S521">
        <v>41</v>
      </c>
      <c r="T521">
        <v>0</v>
      </c>
      <c r="U521">
        <f t="shared" si="33"/>
        <v>12.524526376648708</v>
      </c>
      <c r="V521">
        <f t="shared" si="34"/>
        <v>9.8740587418453156</v>
      </c>
      <c r="W521">
        <v>1</v>
      </c>
      <c r="X521">
        <v>0</v>
      </c>
      <c r="Y521">
        <v>0</v>
      </c>
      <c r="Z521">
        <f>'Résultat (Ln)'!F$30+'Résultat (Ln)'!F$31*Données!S521+'Résultat (Ln)'!F$32*Données!T521+'Résultat (Ln)'!F$33*Données!U521+'Résultat (Ln)'!F$34*Données!V521+'Résultat (Ln)'!F$35*Données!W521+'Résultat (Ln)'!F$36*Données!X521+'Résultat (Ln)'!F$37*Données!Y521</f>
        <v>244287.18973005019</v>
      </c>
      <c r="AA521">
        <f t="shared" si="35"/>
        <v>-58287.189730050188</v>
      </c>
    </row>
    <row r="522" spans="1:27" x14ac:dyDescent="0.25">
      <c r="A522">
        <v>118000</v>
      </c>
      <c r="B522">
        <v>1</v>
      </c>
      <c r="C522">
        <v>33</v>
      </c>
      <c r="D522">
        <v>1</v>
      </c>
      <c r="E522">
        <v>124000</v>
      </c>
      <c r="F522">
        <v>6277</v>
      </c>
      <c r="G522">
        <v>0</v>
      </c>
      <c r="H522">
        <v>0</v>
      </c>
      <c r="I522">
        <v>0</v>
      </c>
      <c r="J522">
        <v>18.60000038146973</v>
      </c>
      <c r="K522">
        <v>1</v>
      </c>
      <c r="L522">
        <f>Résultats!G$32+Résultats!G$33*Données!C522+Résultats!G$34*Données!D522+Résultats!G$35*Données!E522+Résultats!G$36*Données!F522+Résultats!G$37*Données!G522+Résultats!G$38*Données!H522+Résultats!G$39*Données!I522</f>
        <v>109381.67383231517</v>
      </c>
      <c r="M522">
        <f t="shared" si="32"/>
        <v>8618.3261676848342</v>
      </c>
      <c r="Q522">
        <v>188000</v>
      </c>
      <c r="R522">
        <v>1</v>
      </c>
      <c r="S522">
        <v>34</v>
      </c>
      <c r="T522">
        <v>0</v>
      </c>
      <c r="U522">
        <f t="shared" si="33"/>
        <v>12.524526376648708</v>
      </c>
      <c r="V522">
        <f t="shared" si="34"/>
        <v>8.8298117491580506</v>
      </c>
      <c r="W522">
        <v>1</v>
      </c>
      <c r="X522">
        <v>0</v>
      </c>
      <c r="Y522">
        <v>0</v>
      </c>
      <c r="Z522">
        <f>'Résultat (Ln)'!F$30+'Résultat (Ln)'!F$31*Données!S522+'Résultat (Ln)'!F$32*Données!T522+'Résultat (Ln)'!F$33*Données!U522+'Résultat (Ln)'!F$34*Données!V522+'Résultat (Ln)'!F$35*Données!W522+'Résultat (Ln)'!F$36*Données!X522+'Résultat (Ln)'!F$37*Données!Y522</f>
        <v>206446.16806843746</v>
      </c>
      <c r="AA522">
        <f t="shared" si="35"/>
        <v>-18446.168068437459</v>
      </c>
    </row>
    <row r="523" spans="1:27" x14ac:dyDescent="0.25">
      <c r="A523">
        <v>152000</v>
      </c>
      <c r="B523">
        <v>1</v>
      </c>
      <c r="C523">
        <v>34</v>
      </c>
      <c r="D523">
        <v>0</v>
      </c>
      <c r="E523">
        <v>190000</v>
      </c>
      <c r="F523">
        <v>2577</v>
      </c>
      <c r="G523">
        <v>1</v>
      </c>
      <c r="H523">
        <v>0</v>
      </c>
      <c r="I523">
        <v>0</v>
      </c>
      <c r="J523">
        <v>26</v>
      </c>
      <c r="K523">
        <v>1</v>
      </c>
      <c r="L523">
        <f>Résultats!G$32+Résultats!G$33*Données!C523+Résultats!G$34*Données!D523+Résultats!G$35*Données!E523+Résultats!G$36*Données!F523+Résultats!G$37*Données!G523+Résultats!G$38*Données!H523+Résultats!G$39*Données!I523</f>
        <v>136347.81645628737</v>
      </c>
      <c r="M523">
        <f t="shared" si="32"/>
        <v>15652.183543712628</v>
      </c>
      <c r="Q523">
        <v>118000</v>
      </c>
      <c r="R523">
        <v>1</v>
      </c>
      <c r="S523">
        <v>33</v>
      </c>
      <c r="T523">
        <v>1</v>
      </c>
      <c r="U523">
        <f t="shared" si="33"/>
        <v>11.728036844587175</v>
      </c>
      <c r="V523">
        <f t="shared" si="34"/>
        <v>8.7446474383175321</v>
      </c>
      <c r="W523">
        <v>0</v>
      </c>
      <c r="X523">
        <v>0</v>
      </c>
      <c r="Y523">
        <v>0</v>
      </c>
      <c r="Z523">
        <f>'Résultat (Ln)'!F$30+'Résultat (Ln)'!F$31*Données!S523+'Résultat (Ln)'!F$32*Données!T523+'Résultat (Ln)'!F$33*Données!U523+'Résultat (Ln)'!F$34*Données!V523+'Résultat (Ln)'!F$35*Données!W523+'Résultat (Ln)'!F$36*Données!X523+'Résultat (Ln)'!F$37*Données!Y523</f>
        <v>117290.26109758939</v>
      </c>
      <c r="AA523">
        <f t="shared" si="35"/>
        <v>709.73890241060872</v>
      </c>
    </row>
    <row r="524" spans="1:27" x14ac:dyDescent="0.25">
      <c r="A524">
        <v>50000</v>
      </c>
      <c r="B524">
        <v>1</v>
      </c>
      <c r="C524">
        <v>20</v>
      </c>
      <c r="D524">
        <v>0</v>
      </c>
      <c r="E524">
        <v>75000</v>
      </c>
      <c r="F524">
        <v>2387</v>
      </c>
      <c r="G524">
        <v>0</v>
      </c>
      <c r="H524">
        <v>0</v>
      </c>
      <c r="I524">
        <v>0</v>
      </c>
      <c r="J524">
        <v>20</v>
      </c>
      <c r="K524">
        <v>1</v>
      </c>
      <c r="L524">
        <f>Résultats!G$32+Résultats!G$33*Données!C524+Résultats!G$34*Données!D524+Résultats!G$35*Données!E524+Résultats!G$36*Données!F524+Résultats!G$37*Données!G524+Résultats!G$38*Données!H524+Résultats!G$39*Données!I524</f>
        <v>59182.007170745565</v>
      </c>
      <c r="M524">
        <f t="shared" si="32"/>
        <v>-9182.0071707455645</v>
      </c>
      <c r="Q524">
        <v>152000</v>
      </c>
      <c r="R524">
        <v>1</v>
      </c>
      <c r="S524">
        <v>34</v>
      </c>
      <c r="T524">
        <v>0</v>
      </c>
      <c r="U524">
        <f t="shared" si="33"/>
        <v>12.154779351142624</v>
      </c>
      <c r="V524">
        <f t="shared" si="34"/>
        <v>7.8543812106523649</v>
      </c>
      <c r="W524">
        <v>1</v>
      </c>
      <c r="X524">
        <v>0</v>
      </c>
      <c r="Y524">
        <v>0</v>
      </c>
      <c r="Z524">
        <f>'Résultat (Ln)'!F$30+'Résultat (Ln)'!F$31*Données!S524+'Résultat (Ln)'!F$32*Données!T524+'Résultat (Ln)'!F$33*Données!U524+'Résultat (Ln)'!F$34*Données!V524+'Résultat (Ln)'!F$35*Données!W524+'Résultat (Ln)'!F$36*Données!X524+'Résultat (Ln)'!F$37*Données!Y524</f>
        <v>139454.20339461713</v>
      </c>
      <c r="AA524">
        <f t="shared" si="35"/>
        <v>12545.796605382871</v>
      </c>
    </row>
    <row r="525" spans="1:27" x14ac:dyDescent="0.25">
      <c r="A525">
        <v>244000</v>
      </c>
      <c r="B525">
        <v>1</v>
      </c>
      <c r="C525">
        <v>31.10000038146973</v>
      </c>
      <c r="D525">
        <v>0</v>
      </c>
      <c r="E525">
        <v>305000</v>
      </c>
      <c r="F525">
        <v>9166</v>
      </c>
      <c r="G525">
        <v>0</v>
      </c>
      <c r="H525">
        <v>0</v>
      </c>
      <c r="I525">
        <v>0</v>
      </c>
      <c r="J525">
        <v>27</v>
      </c>
      <c r="K525">
        <v>1</v>
      </c>
      <c r="L525">
        <f>Résultats!G$32+Résultats!G$33*Données!C525+Résultats!G$34*Données!D525+Résultats!G$35*Données!E525+Résultats!G$36*Données!F525+Résultats!G$37*Données!G525+Résultats!G$38*Données!H525+Résultats!G$39*Données!I525</f>
        <v>192467.76116429671</v>
      </c>
      <c r="M525">
        <f t="shared" si="32"/>
        <v>51532.238835703291</v>
      </c>
      <c r="Q525">
        <v>50000</v>
      </c>
      <c r="R525">
        <v>1</v>
      </c>
      <c r="S525">
        <v>20</v>
      </c>
      <c r="T525">
        <v>0</v>
      </c>
      <c r="U525">
        <f t="shared" si="33"/>
        <v>11.225243392518447</v>
      </c>
      <c r="V525">
        <f t="shared" si="34"/>
        <v>7.7777926263388304</v>
      </c>
      <c r="W525">
        <v>0</v>
      </c>
      <c r="X525">
        <v>0</v>
      </c>
      <c r="Y525">
        <v>0</v>
      </c>
      <c r="Z525">
        <f>'Résultat (Ln)'!F$30+'Résultat (Ln)'!F$31*Données!S525+'Résultat (Ln)'!F$32*Données!T525+'Résultat (Ln)'!F$33*Données!U525+'Résultat (Ln)'!F$34*Données!V525+'Résultat (Ln)'!F$35*Données!W525+'Résultat (Ln)'!F$36*Données!X525+'Résultat (Ln)'!F$37*Données!Y525</f>
        <v>16041.477822316025</v>
      </c>
      <c r="AA525">
        <f t="shared" si="35"/>
        <v>33958.522177683975</v>
      </c>
    </row>
    <row r="526" spans="1:27" x14ac:dyDescent="0.25">
      <c r="A526">
        <v>113000</v>
      </c>
      <c r="B526">
        <v>1</v>
      </c>
      <c r="C526">
        <v>62</v>
      </c>
      <c r="D526">
        <v>0</v>
      </c>
      <c r="E526">
        <v>119000</v>
      </c>
      <c r="F526">
        <v>2281</v>
      </c>
      <c r="G526">
        <v>1</v>
      </c>
      <c r="H526">
        <v>0</v>
      </c>
      <c r="I526">
        <v>0</v>
      </c>
      <c r="J526">
        <v>50</v>
      </c>
      <c r="K526">
        <v>1</v>
      </c>
      <c r="L526">
        <f>Résultats!G$32+Résultats!G$33*Données!C526+Résultats!G$34*Données!D526+Résultats!G$35*Données!E526+Résultats!G$36*Données!F526+Résultats!G$37*Données!G526+Résultats!G$38*Données!H526+Résultats!G$39*Données!I526</f>
        <v>134783.31993556413</v>
      </c>
      <c r="M526">
        <f t="shared" si="32"/>
        <v>-21783.319935564126</v>
      </c>
      <c r="Q526">
        <v>244000</v>
      </c>
      <c r="R526">
        <v>1</v>
      </c>
      <c r="S526">
        <v>31.10000038146973</v>
      </c>
      <c r="T526">
        <v>0</v>
      </c>
      <c r="U526">
        <f t="shared" si="33"/>
        <v>12.628067055589549</v>
      </c>
      <c r="V526">
        <f t="shared" si="34"/>
        <v>9.1232562650690685</v>
      </c>
      <c r="W526">
        <v>0</v>
      </c>
      <c r="X526">
        <v>0</v>
      </c>
      <c r="Y526">
        <v>0</v>
      </c>
      <c r="Z526">
        <f>'Résultat (Ln)'!F$30+'Résultat (Ln)'!F$31*Données!S526+'Résultat (Ln)'!F$32*Données!T526+'Résultat (Ln)'!F$33*Données!U526+'Résultat (Ln)'!F$34*Données!V526+'Résultat (Ln)'!F$35*Données!W526+'Résultat (Ln)'!F$36*Données!X526+'Résultat (Ln)'!F$37*Données!Y526</f>
        <v>217717.20469858835</v>
      </c>
      <c r="AA526">
        <f t="shared" si="35"/>
        <v>26282.79530141165</v>
      </c>
    </row>
    <row r="527" spans="1:27" x14ac:dyDescent="0.25">
      <c r="A527">
        <v>153000</v>
      </c>
      <c r="B527">
        <v>1</v>
      </c>
      <c r="C527">
        <v>28.20000076293945</v>
      </c>
      <c r="D527">
        <v>0</v>
      </c>
      <c r="E527">
        <v>170000</v>
      </c>
      <c r="F527">
        <v>6044</v>
      </c>
      <c r="G527">
        <v>0</v>
      </c>
      <c r="H527">
        <v>0</v>
      </c>
      <c r="I527">
        <v>1</v>
      </c>
      <c r="J527">
        <v>25.120000839233398</v>
      </c>
      <c r="K527">
        <v>0</v>
      </c>
      <c r="L527">
        <f>Résultats!G$32+Résultats!G$33*Données!C527+Résultats!G$34*Données!D527+Résultats!G$35*Données!E527+Résultats!G$36*Données!F527+Résultats!G$37*Données!G527+Résultats!G$38*Données!H527+Résultats!G$39*Données!I527</f>
        <v>129973.61093331366</v>
      </c>
      <c r="M527">
        <f t="shared" si="32"/>
        <v>23026.389066686344</v>
      </c>
      <c r="Q527">
        <v>113000</v>
      </c>
      <c r="R527">
        <v>1</v>
      </c>
      <c r="S527">
        <v>62</v>
      </c>
      <c r="T527">
        <v>0</v>
      </c>
      <c r="U527">
        <f t="shared" si="33"/>
        <v>11.686878772093667</v>
      </c>
      <c r="V527">
        <f t="shared" si="34"/>
        <v>7.7323692222843876</v>
      </c>
      <c r="W527">
        <v>1</v>
      </c>
      <c r="X527">
        <v>0</v>
      </c>
      <c r="Y527">
        <v>0</v>
      </c>
      <c r="Z527">
        <f>'Résultat (Ln)'!F$30+'Résultat (Ln)'!F$31*Données!S527+'Résultat (Ln)'!F$32*Données!T527+'Résultat (Ln)'!F$33*Données!U527+'Résultat (Ln)'!F$34*Données!V527+'Résultat (Ln)'!F$35*Données!W527+'Résultat (Ln)'!F$36*Données!X527+'Résultat (Ln)'!F$37*Données!Y527</f>
        <v>120092.56000078526</v>
      </c>
      <c r="AA527">
        <f t="shared" si="35"/>
        <v>-7092.5600007852627</v>
      </c>
    </row>
    <row r="528" spans="1:27" x14ac:dyDescent="0.25">
      <c r="A528">
        <v>131000</v>
      </c>
      <c r="B528">
        <v>1</v>
      </c>
      <c r="C528">
        <v>32.5</v>
      </c>
      <c r="D528">
        <v>0</v>
      </c>
      <c r="E528">
        <v>145000</v>
      </c>
      <c r="F528">
        <v>4452</v>
      </c>
      <c r="G528">
        <v>0</v>
      </c>
      <c r="H528">
        <v>0</v>
      </c>
      <c r="I528">
        <v>0</v>
      </c>
      <c r="J528">
        <v>27.20000076293945</v>
      </c>
      <c r="K528">
        <v>1</v>
      </c>
      <c r="L528">
        <f>Résultats!G$32+Résultats!G$33*Données!C528+Résultats!G$34*Données!D528+Résultats!G$35*Données!E528+Résultats!G$36*Données!F528+Résultats!G$37*Données!G528+Résultats!G$38*Données!H528+Résultats!G$39*Données!I528</f>
        <v>110228.64662708637</v>
      </c>
      <c r="M528">
        <f t="shared" si="32"/>
        <v>20771.353372913625</v>
      </c>
      <c r="Q528">
        <v>153000</v>
      </c>
      <c r="R528">
        <v>1</v>
      </c>
      <c r="S528">
        <v>28.20000076293945</v>
      </c>
      <c r="T528">
        <v>0</v>
      </c>
      <c r="U528">
        <f t="shared" si="33"/>
        <v>12.043553716032399</v>
      </c>
      <c r="V528">
        <f t="shared" si="34"/>
        <v>8.7068213233926297</v>
      </c>
      <c r="W528">
        <v>0</v>
      </c>
      <c r="X528">
        <v>0</v>
      </c>
      <c r="Y528">
        <v>1</v>
      </c>
      <c r="Z528">
        <f>'Résultat (Ln)'!F$30+'Résultat (Ln)'!F$31*Données!S528+'Résultat (Ln)'!F$32*Données!T528+'Résultat (Ln)'!F$33*Données!U528+'Résultat (Ln)'!F$34*Données!V528+'Résultat (Ln)'!F$35*Données!W528+'Résultat (Ln)'!F$36*Données!X528+'Résultat (Ln)'!F$37*Données!Y528</f>
        <v>153923.73065487851</v>
      </c>
      <c r="AA528">
        <f t="shared" si="35"/>
        <v>-923.73065487851272</v>
      </c>
    </row>
    <row r="529" spans="1:27" x14ac:dyDescent="0.25">
      <c r="A529">
        <v>50000</v>
      </c>
      <c r="B529">
        <v>1</v>
      </c>
      <c r="C529">
        <v>33</v>
      </c>
      <c r="D529">
        <v>0</v>
      </c>
      <c r="E529">
        <v>63000</v>
      </c>
      <c r="F529">
        <v>3254</v>
      </c>
      <c r="G529">
        <v>0</v>
      </c>
      <c r="H529">
        <v>0</v>
      </c>
      <c r="I529">
        <v>0</v>
      </c>
      <c r="J529">
        <v>18</v>
      </c>
      <c r="K529">
        <v>1</v>
      </c>
      <c r="L529">
        <f>Résultats!G$32+Résultats!G$33*Données!C529+Résultats!G$34*Données!D529+Résultats!G$35*Données!E529+Résultats!G$36*Données!F529+Résultats!G$37*Données!G529+Résultats!G$38*Données!H529+Résultats!G$39*Données!I529</f>
        <v>70191.344521314939</v>
      </c>
      <c r="M529">
        <f t="shared" si="32"/>
        <v>-20191.344521314939</v>
      </c>
      <c r="Q529">
        <v>131000</v>
      </c>
      <c r="R529">
        <v>1</v>
      </c>
      <c r="S529">
        <v>32.5</v>
      </c>
      <c r="T529">
        <v>0</v>
      </c>
      <c r="U529">
        <f t="shared" si="33"/>
        <v>11.884489021402711</v>
      </c>
      <c r="V529">
        <f t="shared" si="34"/>
        <v>8.4011087123954358</v>
      </c>
      <c r="W529">
        <v>0</v>
      </c>
      <c r="X529">
        <v>0</v>
      </c>
      <c r="Y529">
        <v>0</v>
      </c>
      <c r="Z529">
        <f>'Résultat (Ln)'!F$30+'Résultat (Ln)'!F$31*Données!S529+'Résultat (Ln)'!F$32*Données!T529+'Résultat (Ln)'!F$33*Données!U529+'Résultat (Ln)'!F$34*Données!V529+'Résultat (Ln)'!F$35*Données!W529+'Résultat (Ln)'!F$36*Données!X529+'Résultat (Ln)'!F$37*Données!Y529</f>
        <v>119466.59236815796</v>
      </c>
      <c r="AA529">
        <f t="shared" si="35"/>
        <v>11533.407631842041</v>
      </c>
    </row>
    <row r="530" spans="1:27" x14ac:dyDescent="0.25">
      <c r="A530">
        <v>600000</v>
      </c>
      <c r="B530">
        <v>1</v>
      </c>
      <c r="C530">
        <v>55</v>
      </c>
      <c r="D530">
        <v>0</v>
      </c>
      <c r="E530">
        <v>1175000</v>
      </c>
      <c r="F530">
        <v>39999</v>
      </c>
      <c r="G530">
        <v>1</v>
      </c>
      <c r="H530">
        <v>0</v>
      </c>
      <c r="I530">
        <v>1</v>
      </c>
      <c r="J530">
        <v>24</v>
      </c>
      <c r="K530">
        <v>1</v>
      </c>
      <c r="L530">
        <f>Résultats!G$32+Résultats!G$33*Données!C530+Résultats!G$34*Données!D530+Résultats!G$35*Données!E530+Résultats!G$36*Données!F530+Résultats!G$37*Données!G530+Résultats!G$38*Données!H530+Résultats!G$39*Données!I530</f>
        <v>702860.1997185736</v>
      </c>
      <c r="M530">
        <f t="shared" si="32"/>
        <v>-102860.1997185736</v>
      </c>
      <c r="Q530">
        <v>50000</v>
      </c>
      <c r="R530">
        <v>1</v>
      </c>
      <c r="S530">
        <v>33</v>
      </c>
      <c r="T530">
        <v>0</v>
      </c>
      <c r="U530">
        <f t="shared" si="33"/>
        <v>11.05089000537367</v>
      </c>
      <c r="V530">
        <f t="shared" si="34"/>
        <v>8.0876402877789833</v>
      </c>
      <c r="W530">
        <v>0</v>
      </c>
      <c r="X530">
        <v>0</v>
      </c>
      <c r="Y530">
        <v>0</v>
      </c>
      <c r="Z530">
        <f>'Résultat (Ln)'!F$30+'Résultat (Ln)'!F$31*Données!S530+'Résultat (Ln)'!F$32*Données!T530+'Résultat (Ln)'!F$33*Données!U530+'Résultat (Ln)'!F$34*Données!V530+'Résultat (Ln)'!F$35*Données!W530+'Résultat (Ln)'!F$36*Données!X530+'Résultat (Ln)'!F$37*Données!Y530</f>
        <v>21928.023676882498</v>
      </c>
      <c r="AA530">
        <f t="shared" si="35"/>
        <v>28071.976323117502</v>
      </c>
    </row>
    <row r="531" spans="1:27" x14ac:dyDescent="0.25">
      <c r="A531">
        <v>68000</v>
      </c>
      <c r="B531">
        <v>1</v>
      </c>
      <c r="C531">
        <v>38</v>
      </c>
      <c r="D531">
        <v>0</v>
      </c>
      <c r="E531">
        <v>86000</v>
      </c>
      <c r="F531">
        <v>2795</v>
      </c>
      <c r="G531">
        <v>1</v>
      </c>
      <c r="H531">
        <v>0</v>
      </c>
      <c r="I531">
        <v>0</v>
      </c>
      <c r="J531">
        <v>26</v>
      </c>
      <c r="K531">
        <v>0</v>
      </c>
      <c r="L531">
        <f>Résultats!G$32+Résultats!G$33*Données!C531+Résultats!G$34*Données!D531+Résultats!G$35*Données!E531+Résultats!G$36*Données!F531+Résultats!G$37*Données!G531+Résultats!G$38*Données!H531+Résultats!G$39*Données!I531</f>
        <v>92801.795676540598</v>
      </c>
      <c r="M531">
        <f t="shared" si="32"/>
        <v>-24801.795676540598</v>
      </c>
      <c r="Q531">
        <v>600000</v>
      </c>
      <c r="R531">
        <v>1</v>
      </c>
      <c r="S531">
        <v>55</v>
      </c>
      <c r="T531">
        <v>0</v>
      </c>
      <c r="U531">
        <f t="shared" si="33"/>
        <v>13.976778705560397</v>
      </c>
      <c r="V531">
        <f t="shared" si="34"/>
        <v>10.596609732783568</v>
      </c>
      <c r="W531">
        <v>1</v>
      </c>
      <c r="X531">
        <v>0</v>
      </c>
      <c r="Y531">
        <v>1</v>
      </c>
      <c r="Z531">
        <f>'Résultat (Ln)'!F$30+'Résultat (Ln)'!F$31*Données!S531+'Résultat (Ln)'!F$32*Données!T531+'Résultat (Ln)'!F$33*Données!U531+'Résultat (Ln)'!F$34*Données!V531+'Résultat (Ln)'!F$35*Données!W531+'Résultat (Ln)'!F$36*Données!X531+'Résultat (Ln)'!F$37*Données!Y531</f>
        <v>451422.22059868707</v>
      </c>
      <c r="AA531">
        <f t="shared" si="35"/>
        <v>148577.77940131293</v>
      </c>
    </row>
    <row r="532" spans="1:27" x14ac:dyDescent="0.25">
      <c r="A532">
        <v>113000</v>
      </c>
      <c r="B532">
        <v>1</v>
      </c>
      <c r="C532">
        <v>29.5</v>
      </c>
      <c r="D532">
        <v>0</v>
      </c>
      <c r="E532">
        <v>125000</v>
      </c>
      <c r="F532">
        <v>1561</v>
      </c>
      <c r="G532">
        <v>1</v>
      </c>
      <c r="H532">
        <v>0</v>
      </c>
      <c r="I532">
        <v>0</v>
      </c>
      <c r="J532">
        <v>18.95999908447266</v>
      </c>
      <c r="K532">
        <v>0</v>
      </c>
      <c r="L532">
        <f>Résultats!G$32+Résultats!G$33*Données!C532+Résultats!G$34*Données!D532+Résultats!G$35*Données!E532+Résultats!G$36*Données!F532+Résultats!G$37*Données!G532+Résultats!G$38*Données!H532+Résultats!G$39*Données!I532</f>
        <v>98858.045322929363</v>
      </c>
      <c r="M532">
        <f t="shared" si="32"/>
        <v>14141.954677070637</v>
      </c>
      <c r="Q532">
        <v>68000</v>
      </c>
      <c r="R532">
        <v>1</v>
      </c>
      <c r="S532">
        <v>38</v>
      </c>
      <c r="T532">
        <v>0</v>
      </c>
      <c r="U532">
        <f t="shared" si="33"/>
        <v>11.362102575235644</v>
      </c>
      <c r="V532">
        <f t="shared" si="34"/>
        <v>7.9355873855891996</v>
      </c>
      <c r="W532">
        <v>1</v>
      </c>
      <c r="X532">
        <v>0</v>
      </c>
      <c r="Y532">
        <v>0</v>
      </c>
      <c r="Z532">
        <f>'Résultat (Ln)'!F$30+'Résultat (Ln)'!F$31*Données!S532+'Résultat (Ln)'!F$32*Données!T532+'Résultat (Ln)'!F$33*Données!U532+'Résultat (Ln)'!F$34*Données!V532+'Résultat (Ln)'!F$35*Données!W532+'Résultat (Ln)'!F$36*Données!X532+'Résultat (Ln)'!F$37*Données!Y532</f>
        <v>61648.422879413869</v>
      </c>
      <c r="AA532">
        <f t="shared" si="35"/>
        <v>6351.5771205861311</v>
      </c>
    </row>
    <row r="533" spans="1:27" x14ac:dyDescent="0.25">
      <c r="A533">
        <v>143000</v>
      </c>
      <c r="B533">
        <v>1</v>
      </c>
      <c r="C533">
        <v>36</v>
      </c>
      <c r="D533">
        <v>0</v>
      </c>
      <c r="E533">
        <v>159000</v>
      </c>
      <c r="F533">
        <v>1777</v>
      </c>
      <c r="G533">
        <v>1</v>
      </c>
      <c r="H533">
        <v>0</v>
      </c>
      <c r="I533">
        <v>0</v>
      </c>
      <c r="J533">
        <v>27</v>
      </c>
      <c r="K533">
        <v>1</v>
      </c>
      <c r="L533">
        <f>Résultats!G$32+Résultats!G$33*Données!C533+Résultats!G$34*Données!D533+Résultats!G$35*Données!E533+Résultats!G$36*Données!F533+Résultats!G$37*Données!G533+Résultats!G$38*Données!H533+Résultats!G$39*Données!I533</f>
        <v>122619.37599306698</v>
      </c>
      <c r="M533">
        <f t="shared" si="32"/>
        <v>20380.624006933023</v>
      </c>
      <c r="Q533">
        <v>113000</v>
      </c>
      <c r="R533">
        <v>1</v>
      </c>
      <c r="S533">
        <v>29.5</v>
      </c>
      <c r="T533">
        <v>0</v>
      </c>
      <c r="U533">
        <f t="shared" si="33"/>
        <v>11.736069016284437</v>
      </c>
      <c r="V533">
        <f t="shared" si="34"/>
        <v>7.3530819205154323</v>
      </c>
      <c r="W533">
        <v>1</v>
      </c>
      <c r="X533">
        <v>0</v>
      </c>
      <c r="Y533">
        <v>0</v>
      </c>
      <c r="Z533">
        <f>'Résultat (Ln)'!F$30+'Résultat (Ln)'!F$31*Données!S533+'Résultat (Ln)'!F$32*Données!T533+'Résultat (Ln)'!F$33*Données!U533+'Résultat (Ln)'!F$34*Données!V533+'Résultat (Ln)'!F$35*Données!W533+'Résultat (Ln)'!F$36*Données!X533+'Résultat (Ln)'!F$37*Données!Y533</f>
        <v>75011.791470765558</v>
      </c>
      <c r="AA533">
        <f t="shared" si="35"/>
        <v>37988.208529234442</v>
      </c>
    </row>
    <row r="534" spans="1:27" x14ac:dyDescent="0.25">
      <c r="A534">
        <v>480000</v>
      </c>
      <c r="B534">
        <v>1</v>
      </c>
      <c r="C534">
        <v>51</v>
      </c>
      <c r="D534">
        <v>0</v>
      </c>
      <c r="E534">
        <v>600000</v>
      </c>
      <c r="F534">
        <v>10566</v>
      </c>
      <c r="G534">
        <v>1</v>
      </c>
      <c r="H534">
        <v>0</v>
      </c>
      <c r="I534">
        <v>0</v>
      </c>
      <c r="J534">
        <v>50</v>
      </c>
      <c r="K534">
        <v>1</v>
      </c>
      <c r="L534">
        <f>Résultats!G$32+Résultats!G$33*Données!C534+Résultats!G$34*Données!D534+Résultats!G$35*Données!E534+Résultats!G$36*Données!F534+Résultats!G$37*Données!G534+Résultats!G$38*Données!H534+Résultats!G$39*Données!I534</f>
        <v>362807.03632208629</v>
      </c>
      <c r="M534">
        <f t="shared" si="32"/>
        <v>117192.96367791371</v>
      </c>
      <c r="Q534">
        <v>143000</v>
      </c>
      <c r="R534">
        <v>1</v>
      </c>
      <c r="S534">
        <v>36</v>
      </c>
      <c r="T534">
        <v>0</v>
      </c>
      <c r="U534">
        <f t="shared" si="33"/>
        <v>11.976659481202368</v>
      </c>
      <c r="V534">
        <f t="shared" si="34"/>
        <v>7.482681828154651</v>
      </c>
      <c r="W534">
        <v>1</v>
      </c>
      <c r="X534">
        <v>0</v>
      </c>
      <c r="Y534">
        <v>0</v>
      </c>
      <c r="Z534">
        <f>'Résultat (Ln)'!F$30+'Résultat (Ln)'!F$31*Données!S534+'Résultat (Ln)'!F$32*Données!T534+'Résultat (Ln)'!F$33*Données!U534+'Résultat (Ln)'!F$34*Données!V534+'Résultat (Ln)'!F$35*Données!W534+'Résultat (Ln)'!F$36*Données!X534+'Résultat (Ln)'!F$37*Données!Y534</f>
        <v>112380.02109421346</v>
      </c>
      <c r="AA534">
        <f t="shared" si="35"/>
        <v>30619.978905786542</v>
      </c>
    </row>
    <row r="535" spans="1:27" x14ac:dyDescent="0.25">
      <c r="A535">
        <v>160000</v>
      </c>
      <c r="B535">
        <v>1</v>
      </c>
      <c r="C535">
        <v>34</v>
      </c>
      <c r="D535">
        <v>0</v>
      </c>
      <c r="E535">
        <v>178000</v>
      </c>
      <c r="F535">
        <v>6000</v>
      </c>
      <c r="G535">
        <v>1</v>
      </c>
      <c r="H535">
        <v>0</v>
      </c>
      <c r="I535">
        <v>0</v>
      </c>
      <c r="J535">
        <v>26</v>
      </c>
      <c r="K535">
        <v>1</v>
      </c>
      <c r="L535">
        <f>Résultats!G$32+Résultats!G$33*Données!C535+Résultats!G$34*Données!D535+Résultats!G$35*Données!E535+Résultats!G$36*Données!F535+Résultats!G$37*Données!G535+Résultats!G$38*Données!H535+Résultats!G$39*Données!I535</f>
        <v>137377.42338519808</v>
      </c>
      <c r="M535">
        <f t="shared" si="32"/>
        <v>22622.576614801917</v>
      </c>
      <c r="Q535">
        <v>480000</v>
      </c>
      <c r="R535">
        <v>1</v>
      </c>
      <c r="S535">
        <v>51</v>
      </c>
      <c r="T535">
        <v>0</v>
      </c>
      <c r="U535">
        <f t="shared" si="33"/>
        <v>13.304684934198283</v>
      </c>
      <c r="V535">
        <f t="shared" si="34"/>
        <v>9.2653965777242604</v>
      </c>
      <c r="W535">
        <v>1</v>
      </c>
      <c r="X535">
        <v>0</v>
      </c>
      <c r="Y535">
        <v>0</v>
      </c>
      <c r="Z535">
        <f>'Résultat (Ln)'!F$30+'Résultat (Ln)'!F$31*Données!S535+'Résultat (Ln)'!F$32*Données!T535+'Résultat (Ln)'!F$33*Données!U535+'Résultat (Ln)'!F$34*Données!V535+'Résultat (Ln)'!F$35*Données!W535+'Résultat (Ln)'!F$36*Données!X535+'Résultat (Ln)'!F$37*Données!Y535</f>
        <v>323066.72488376836</v>
      </c>
      <c r="AA535">
        <f t="shared" si="35"/>
        <v>156933.27511623164</v>
      </c>
    </row>
    <row r="536" spans="1:27" x14ac:dyDescent="0.25">
      <c r="A536">
        <v>65000</v>
      </c>
      <c r="B536">
        <v>1</v>
      </c>
      <c r="C536">
        <v>32.200000762939453</v>
      </c>
      <c r="D536">
        <v>1</v>
      </c>
      <c r="E536">
        <v>72000</v>
      </c>
      <c r="F536">
        <v>2262</v>
      </c>
      <c r="G536">
        <v>1</v>
      </c>
      <c r="H536">
        <v>0</v>
      </c>
      <c r="I536">
        <v>1</v>
      </c>
      <c r="J536">
        <v>32.209999084472663</v>
      </c>
      <c r="K536">
        <v>0</v>
      </c>
      <c r="L536">
        <f>Résultats!G$32+Résultats!G$33*Données!C536+Résultats!G$34*Données!D536+Résultats!G$35*Données!E536+Résultats!G$36*Données!F536+Résultats!G$37*Données!G536+Résultats!G$38*Données!H536+Résultats!G$39*Données!I536</f>
        <v>93343.027498918513</v>
      </c>
      <c r="M536">
        <f t="shared" si="32"/>
        <v>-28343.027498918513</v>
      </c>
      <c r="Q536">
        <v>160000</v>
      </c>
      <c r="R536">
        <v>1</v>
      </c>
      <c r="S536">
        <v>34</v>
      </c>
      <c r="T536">
        <v>0</v>
      </c>
      <c r="U536">
        <f t="shared" si="33"/>
        <v>12.089538829274222</v>
      </c>
      <c r="V536">
        <f t="shared" si="34"/>
        <v>8.6995147482101913</v>
      </c>
      <c r="W536">
        <v>1</v>
      </c>
      <c r="X536">
        <v>0</v>
      </c>
      <c r="Y536">
        <v>0</v>
      </c>
      <c r="Z536">
        <f>'Résultat (Ln)'!F$30+'Résultat (Ln)'!F$31*Données!S536+'Résultat (Ln)'!F$32*Données!T536+'Résultat (Ln)'!F$33*Données!U536+'Résultat (Ln)'!F$34*Données!V536+'Résultat (Ln)'!F$35*Données!W536+'Résultat (Ln)'!F$36*Données!X536+'Résultat (Ln)'!F$37*Données!Y536</f>
        <v>156163.14885394849</v>
      </c>
      <c r="AA536">
        <f t="shared" si="35"/>
        <v>3836.8511460515147</v>
      </c>
    </row>
    <row r="537" spans="1:27" x14ac:dyDescent="0.25">
      <c r="A537">
        <v>187000</v>
      </c>
      <c r="B537">
        <v>1</v>
      </c>
      <c r="C537">
        <v>31</v>
      </c>
      <c r="D537">
        <v>0</v>
      </c>
      <c r="E537">
        <v>245000</v>
      </c>
      <c r="F537">
        <v>9538</v>
      </c>
      <c r="G537">
        <v>1</v>
      </c>
      <c r="H537">
        <v>0</v>
      </c>
      <c r="I537">
        <v>0</v>
      </c>
      <c r="J537">
        <v>21</v>
      </c>
      <c r="K537">
        <v>1</v>
      </c>
      <c r="L537">
        <f>Résultats!G$32+Résultats!G$33*Données!C537+Résultats!G$34*Données!D537+Résultats!G$35*Données!E537+Résultats!G$36*Données!F537+Résultats!G$37*Données!G537+Résultats!G$38*Données!H537+Résultats!G$39*Données!I537</f>
        <v>172073.17294895454</v>
      </c>
      <c r="M537">
        <f t="shared" si="32"/>
        <v>14926.82705104546</v>
      </c>
      <c r="Q537">
        <v>65000</v>
      </c>
      <c r="R537">
        <v>1</v>
      </c>
      <c r="S537">
        <v>32.200000762939453</v>
      </c>
      <c r="T537">
        <v>1</v>
      </c>
      <c r="U537">
        <f t="shared" si="33"/>
        <v>11.184421397998193</v>
      </c>
      <c r="V537">
        <f t="shared" si="34"/>
        <v>7.7240046566760654</v>
      </c>
      <c r="W537">
        <v>1</v>
      </c>
      <c r="X537">
        <v>0</v>
      </c>
      <c r="Y537">
        <v>1</v>
      </c>
      <c r="Z537">
        <f>'Résultat (Ln)'!F$30+'Résultat (Ln)'!F$31*Données!S537+'Résultat (Ln)'!F$32*Données!T537+'Résultat (Ln)'!F$33*Données!U537+'Résultat (Ln)'!F$34*Données!V537+'Résultat (Ln)'!F$35*Données!W537+'Résultat (Ln)'!F$36*Données!X537+'Résultat (Ln)'!F$37*Données!Y537</f>
        <v>48015.689282661326</v>
      </c>
      <c r="AA537">
        <f t="shared" si="35"/>
        <v>16984.310717338674</v>
      </c>
    </row>
    <row r="538" spans="1:27" x14ac:dyDescent="0.25">
      <c r="A538">
        <v>74000</v>
      </c>
      <c r="B538">
        <v>1</v>
      </c>
      <c r="C538">
        <v>30</v>
      </c>
      <c r="D538">
        <v>0</v>
      </c>
      <c r="E538">
        <v>78000</v>
      </c>
      <c r="F538">
        <v>4229</v>
      </c>
      <c r="G538">
        <v>0</v>
      </c>
      <c r="H538">
        <v>0</v>
      </c>
      <c r="I538">
        <v>0</v>
      </c>
      <c r="J538">
        <v>20</v>
      </c>
      <c r="K538">
        <v>1</v>
      </c>
      <c r="L538">
        <f>Résultats!G$32+Résultats!G$33*Données!C538+Résultats!G$34*Données!D538+Résultats!G$35*Données!E538+Résultats!G$36*Données!F538+Résultats!G$37*Données!G538+Résultats!G$38*Données!H538+Résultats!G$39*Données!I538</f>
        <v>75638.975095662958</v>
      </c>
      <c r="M538">
        <f t="shared" si="32"/>
        <v>-1638.9750956629578</v>
      </c>
      <c r="Q538">
        <v>187000</v>
      </c>
      <c r="R538">
        <v>1</v>
      </c>
      <c r="S538">
        <v>31</v>
      </c>
      <c r="T538">
        <v>0</v>
      </c>
      <c r="U538">
        <f t="shared" si="33"/>
        <v>12.409013489526863</v>
      </c>
      <c r="V538">
        <f t="shared" si="34"/>
        <v>9.1630390988581691</v>
      </c>
      <c r="W538">
        <v>1</v>
      </c>
      <c r="X538">
        <v>0</v>
      </c>
      <c r="Y538">
        <v>0</v>
      </c>
      <c r="Z538">
        <f>'Résultat (Ln)'!F$30+'Résultat (Ln)'!F$31*Données!S538+'Résultat (Ln)'!F$32*Données!T538+'Résultat (Ln)'!F$33*Données!U538+'Résultat (Ln)'!F$34*Données!V538+'Résultat (Ln)'!F$35*Données!W538+'Résultat (Ln)'!F$36*Données!X538+'Résultat (Ln)'!F$37*Données!Y538</f>
        <v>199743.20103229713</v>
      </c>
      <c r="AA538">
        <f t="shared" si="35"/>
        <v>-12743.201032297133</v>
      </c>
    </row>
    <row r="539" spans="1:27" x14ac:dyDescent="0.25">
      <c r="A539">
        <v>200000</v>
      </c>
      <c r="B539">
        <v>1</v>
      </c>
      <c r="C539">
        <v>52</v>
      </c>
      <c r="D539">
        <v>1</v>
      </c>
      <c r="E539">
        <v>170000</v>
      </c>
      <c r="F539">
        <v>2917</v>
      </c>
      <c r="G539">
        <v>1</v>
      </c>
      <c r="H539">
        <v>0</v>
      </c>
      <c r="I539">
        <v>1</v>
      </c>
      <c r="J539">
        <v>28</v>
      </c>
      <c r="K539">
        <v>1</v>
      </c>
      <c r="L539">
        <f>Résultats!G$32+Résultats!G$33*Données!C539+Résultats!G$34*Données!D539+Résultats!G$35*Données!E539+Résultats!G$36*Données!F539+Résultats!G$37*Données!G539+Résultats!G$38*Données!H539+Résultats!G$39*Données!I539</f>
        <v>163117.3711835705</v>
      </c>
      <c r="M539">
        <f t="shared" si="32"/>
        <v>36882.628816429497</v>
      </c>
      <c r="Q539">
        <v>74000</v>
      </c>
      <c r="R539">
        <v>1</v>
      </c>
      <c r="S539">
        <v>30</v>
      </c>
      <c r="T539">
        <v>0</v>
      </c>
      <c r="U539">
        <f t="shared" si="33"/>
        <v>11.264464105671729</v>
      </c>
      <c r="V539">
        <f t="shared" si="34"/>
        <v>8.3497208374724892</v>
      </c>
      <c r="W539">
        <v>0</v>
      </c>
      <c r="X539">
        <v>0</v>
      </c>
      <c r="Y539">
        <v>0</v>
      </c>
      <c r="Z539">
        <f>'Résultat (Ln)'!F$30+'Résultat (Ln)'!F$31*Données!S539+'Résultat (Ln)'!F$32*Données!T539+'Résultat (Ln)'!F$33*Données!U539+'Résultat (Ln)'!F$34*Données!V539+'Résultat (Ln)'!F$35*Données!W539+'Résultat (Ln)'!F$36*Données!X539+'Résultat (Ln)'!F$37*Données!Y539</f>
        <v>48506.354231004807</v>
      </c>
      <c r="AA539">
        <f t="shared" si="35"/>
        <v>25493.645768995193</v>
      </c>
    </row>
    <row r="540" spans="1:27" x14ac:dyDescent="0.25">
      <c r="A540">
        <v>120000</v>
      </c>
      <c r="B540">
        <v>1</v>
      </c>
      <c r="C540">
        <v>39.5</v>
      </c>
      <c r="D540">
        <v>0</v>
      </c>
      <c r="E540">
        <v>150000</v>
      </c>
      <c r="F540">
        <v>2980</v>
      </c>
      <c r="G540">
        <v>0</v>
      </c>
      <c r="H540">
        <v>0</v>
      </c>
      <c r="I540">
        <v>1</v>
      </c>
      <c r="J540">
        <v>30.60000038146973</v>
      </c>
      <c r="K540">
        <v>1</v>
      </c>
      <c r="L540">
        <f>Résultats!G$32+Résultats!G$33*Données!C540+Résultats!G$34*Données!D540+Résultats!G$35*Données!E540+Résultats!G$36*Données!F540+Résultats!G$37*Données!G540+Résultats!G$38*Données!H540+Résultats!G$39*Données!I540</f>
        <v>127677.13947884987</v>
      </c>
      <c r="M540">
        <f t="shared" si="32"/>
        <v>-7677.1394788498728</v>
      </c>
      <c r="Q540">
        <v>200000</v>
      </c>
      <c r="R540">
        <v>1</v>
      </c>
      <c r="S540">
        <v>52</v>
      </c>
      <c r="T540">
        <v>1</v>
      </c>
      <c r="U540">
        <f t="shared" si="33"/>
        <v>12.043553716032399</v>
      </c>
      <c r="V540">
        <f t="shared" si="34"/>
        <v>7.9783109698677217</v>
      </c>
      <c r="W540">
        <v>1</v>
      </c>
      <c r="X540">
        <v>0</v>
      </c>
      <c r="Y540">
        <v>1</v>
      </c>
      <c r="Z540">
        <f>'Résultat (Ln)'!F$30+'Résultat (Ln)'!F$31*Données!S540+'Résultat (Ln)'!F$32*Données!T540+'Résultat (Ln)'!F$33*Données!U540+'Résultat (Ln)'!F$34*Données!V540+'Résultat (Ln)'!F$35*Données!W540+'Résultat (Ln)'!F$36*Données!X540+'Résultat (Ln)'!F$37*Données!Y540</f>
        <v>171439.49716892719</v>
      </c>
      <c r="AA540">
        <f t="shared" si="35"/>
        <v>28560.502831072808</v>
      </c>
    </row>
    <row r="541" spans="1:27" x14ac:dyDescent="0.25">
      <c r="A541">
        <v>116000</v>
      </c>
      <c r="B541">
        <v>1</v>
      </c>
      <c r="C541">
        <v>34</v>
      </c>
      <c r="D541">
        <v>0</v>
      </c>
      <c r="E541">
        <v>145000</v>
      </c>
      <c r="F541">
        <v>3901</v>
      </c>
      <c r="G541">
        <v>1</v>
      </c>
      <c r="H541">
        <v>0</v>
      </c>
      <c r="I541">
        <v>0</v>
      </c>
      <c r="J541">
        <v>30</v>
      </c>
      <c r="K541">
        <v>1</v>
      </c>
      <c r="L541">
        <f>Résultats!G$32+Résultats!G$33*Données!C541+Résultats!G$34*Données!D541+Résultats!G$35*Données!E541+Résultats!G$36*Données!F541+Résultats!G$37*Données!G541+Résultats!G$38*Données!H541+Résultats!G$39*Données!I541</f>
        <v>117900.54983828016</v>
      </c>
      <c r="M541">
        <f t="shared" si="32"/>
        <v>-1900.5498382801597</v>
      </c>
      <c r="Q541">
        <v>120000</v>
      </c>
      <c r="R541">
        <v>1</v>
      </c>
      <c r="S541">
        <v>39.5</v>
      </c>
      <c r="T541">
        <v>0</v>
      </c>
      <c r="U541">
        <f t="shared" si="33"/>
        <v>11.918390573078392</v>
      </c>
      <c r="V541">
        <f t="shared" si="34"/>
        <v>7.9996785794994505</v>
      </c>
      <c r="W541">
        <v>0</v>
      </c>
      <c r="X541">
        <v>0</v>
      </c>
      <c r="Y541">
        <v>1</v>
      </c>
      <c r="Z541">
        <f>'Résultat (Ln)'!F$30+'Résultat (Ln)'!F$31*Données!S541+'Résultat (Ln)'!F$32*Données!T541+'Résultat (Ln)'!F$33*Données!U541+'Résultat (Ln)'!F$34*Données!V541+'Résultat (Ln)'!F$35*Données!W541+'Résultat (Ln)'!F$36*Données!X541+'Résultat (Ln)'!F$37*Données!Y541</f>
        <v>134483.47974420941</v>
      </c>
      <c r="AA541">
        <f t="shared" si="35"/>
        <v>-14483.479744209413</v>
      </c>
    </row>
    <row r="542" spans="1:27" x14ac:dyDescent="0.25">
      <c r="A542">
        <v>50000</v>
      </c>
      <c r="B542">
        <v>1</v>
      </c>
      <c r="C542">
        <v>31.39999961853027</v>
      </c>
      <c r="D542">
        <v>0</v>
      </c>
      <c r="E542">
        <v>168000</v>
      </c>
      <c r="F542">
        <v>2687</v>
      </c>
      <c r="G542">
        <v>1</v>
      </c>
      <c r="H542">
        <v>0</v>
      </c>
      <c r="I542">
        <v>0</v>
      </c>
      <c r="J542">
        <v>28.760000228881839</v>
      </c>
      <c r="K542">
        <v>1</v>
      </c>
      <c r="L542">
        <f>Résultats!G$32+Résultats!G$33*Données!C542+Résultats!G$34*Données!D542+Résultats!G$35*Données!E542+Résultats!G$36*Données!F542+Résultats!G$37*Données!G542+Résultats!G$38*Données!H542+Résultats!G$39*Données!I542</f>
        <v>123301.4577318338</v>
      </c>
      <c r="M542">
        <f t="shared" si="32"/>
        <v>-73301.457731833798</v>
      </c>
      <c r="Q542">
        <v>116000</v>
      </c>
      <c r="R542">
        <v>1</v>
      </c>
      <c r="S542">
        <v>34</v>
      </c>
      <c r="T542">
        <v>0</v>
      </c>
      <c r="U542">
        <f t="shared" si="33"/>
        <v>11.884489021402711</v>
      </c>
      <c r="V542">
        <f t="shared" si="34"/>
        <v>8.2689882095066558</v>
      </c>
      <c r="W542">
        <v>1</v>
      </c>
      <c r="X542">
        <v>0</v>
      </c>
      <c r="Y542">
        <v>0</v>
      </c>
      <c r="Z542">
        <f>'Résultat (Ln)'!F$30+'Résultat (Ln)'!F$31*Données!S542+'Résultat (Ln)'!F$32*Données!T542+'Résultat (Ln)'!F$33*Données!U542+'Résultat (Ln)'!F$34*Données!V542+'Résultat (Ln)'!F$35*Données!W542+'Résultat (Ln)'!F$36*Données!X542+'Résultat (Ln)'!F$37*Données!Y542</f>
        <v>122108.26042640056</v>
      </c>
      <c r="AA542">
        <f t="shared" si="35"/>
        <v>-6108.260426400564</v>
      </c>
    </row>
    <row r="543" spans="1:27" x14ac:dyDescent="0.25">
      <c r="A543">
        <v>120000</v>
      </c>
      <c r="B543">
        <v>1</v>
      </c>
      <c r="C543">
        <v>30.70000076293945</v>
      </c>
      <c r="D543">
        <v>0</v>
      </c>
      <c r="E543">
        <v>160000</v>
      </c>
      <c r="F543">
        <v>2470</v>
      </c>
      <c r="G543">
        <v>1</v>
      </c>
      <c r="H543">
        <v>0</v>
      </c>
      <c r="I543">
        <v>0</v>
      </c>
      <c r="J543">
        <v>24</v>
      </c>
      <c r="K543">
        <v>1</v>
      </c>
      <c r="L543">
        <f>Résultats!G$32+Résultats!G$33*Données!C543+Résultats!G$34*Données!D543+Résultats!G$35*Données!E543+Résultats!G$36*Données!F543+Résultats!G$37*Données!G543+Résultats!G$38*Données!H543+Résultats!G$39*Données!I543</f>
        <v>118341.26377325032</v>
      </c>
      <c r="M543">
        <f t="shared" si="32"/>
        <v>1658.7362267496792</v>
      </c>
      <c r="Q543">
        <v>50000</v>
      </c>
      <c r="R543">
        <v>1</v>
      </c>
      <c r="S543">
        <v>31.39999961853027</v>
      </c>
      <c r="T543">
        <v>0</v>
      </c>
      <c r="U543">
        <f t="shared" si="33"/>
        <v>12.031719258385396</v>
      </c>
      <c r="V543">
        <f t="shared" si="34"/>
        <v>7.8961806086154915</v>
      </c>
      <c r="W543">
        <v>1</v>
      </c>
      <c r="X543">
        <v>0</v>
      </c>
      <c r="Y543">
        <v>0</v>
      </c>
      <c r="Z543">
        <f>'Résultat (Ln)'!F$30+'Résultat (Ln)'!F$31*Données!S543+'Résultat (Ln)'!F$32*Données!T543+'Résultat (Ln)'!F$33*Données!U543+'Résultat (Ln)'!F$34*Données!V543+'Résultat (Ln)'!F$35*Données!W543+'Résultat (Ln)'!F$36*Données!X543+'Résultat (Ln)'!F$37*Données!Y543</f>
        <v>124257.69732275115</v>
      </c>
      <c r="AA543">
        <f t="shared" si="35"/>
        <v>-74257.697322751148</v>
      </c>
    </row>
    <row r="544" spans="1:27" x14ac:dyDescent="0.25">
      <c r="A544">
        <v>56000</v>
      </c>
      <c r="B544">
        <v>1</v>
      </c>
      <c r="C544">
        <v>32.299999237060547</v>
      </c>
      <c r="D544">
        <v>0</v>
      </c>
      <c r="E544">
        <v>70000</v>
      </c>
      <c r="F544">
        <v>2483</v>
      </c>
      <c r="G544">
        <v>0</v>
      </c>
      <c r="H544">
        <v>0</v>
      </c>
      <c r="I544">
        <v>0</v>
      </c>
      <c r="J544">
        <v>28.29999923706055</v>
      </c>
      <c r="K544">
        <v>1</v>
      </c>
      <c r="L544">
        <f>Résultats!G$32+Résultats!G$33*Données!C544+Résultats!G$34*Données!D544+Résultats!G$35*Données!E544+Résultats!G$36*Données!F544+Résultats!G$37*Données!G544+Résultats!G$38*Données!H544+Résultats!G$39*Données!I544</f>
        <v>71161.913201277188</v>
      </c>
      <c r="M544">
        <f t="shared" si="32"/>
        <v>-15161.913201277188</v>
      </c>
      <c r="Q544">
        <v>120000</v>
      </c>
      <c r="R544">
        <v>1</v>
      </c>
      <c r="S544">
        <v>30.70000076293945</v>
      </c>
      <c r="T544">
        <v>0</v>
      </c>
      <c r="U544">
        <f t="shared" si="33"/>
        <v>11.982929094215963</v>
      </c>
      <c r="V544">
        <f t="shared" si="34"/>
        <v>7.8119734296220225</v>
      </c>
      <c r="W544">
        <v>1</v>
      </c>
      <c r="X544">
        <v>0</v>
      </c>
      <c r="Y544">
        <v>0</v>
      </c>
      <c r="Z544">
        <f>'Résultat (Ln)'!F$30+'Résultat (Ln)'!F$31*Données!S544+'Résultat (Ln)'!F$32*Données!T544+'Résultat (Ln)'!F$33*Données!U544+'Résultat (Ln)'!F$34*Données!V544+'Résultat (Ln)'!F$35*Données!W544+'Résultat (Ln)'!F$36*Données!X544+'Résultat (Ln)'!F$37*Données!Y544</f>
        <v>115810.52365902213</v>
      </c>
      <c r="AA544">
        <f t="shared" si="35"/>
        <v>4189.4763409778679</v>
      </c>
    </row>
    <row r="545" spans="1:27" x14ac:dyDescent="0.25">
      <c r="A545">
        <v>176000</v>
      </c>
      <c r="B545">
        <v>1</v>
      </c>
      <c r="C545">
        <v>30</v>
      </c>
      <c r="D545">
        <v>0</v>
      </c>
      <c r="E545">
        <v>186199.99694824219</v>
      </c>
      <c r="F545">
        <v>7708</v>
      </c>
      <c r="G545">
        <v>1</v>
      </c>
      <c r="H545">
        <v>0</v>
      </c>
      <c r="I545">
        <v>1</v>
      </c>
      <c r="J545">
        <v>22</v>
      </c>
      <c r="K545">
        <v>1</v>
      </c>
      <c r="L545">
        <f>Résultats!G$32+Résultats!G$33*Données!C545+Résultats!G$34*Données!D545+Résultats!G$35*Données!E545+Résultats!G$36*Données!F545+Résultats!G$37*Données!G545+Résultats!G$38*Données!H545+Résultats!G$39*Données!I545</f>
        <v>149846.95492449414</v>
      </c>
      <c r="M545">
        <f t="shared" si="32"/>
        <v>26153.045075505855</v>
      </c>
      <c r="Q545">
        <v>56000</v>
      </c>
      <c r="R545">
        <v>1</v>
      </c>
      <c r="S545">
        <v>32.299999237060547</v>
      </c>
      <c r="T545">
        <v>0</v>
      </c>
      <c r="U545">
        <f t="shared" si="33"/>
        <v>11.156250521031495</v>
      </c>
      <c r="V545">
        <f t="shared" si="34"/>
        <v>7.8172227855081662</v>
      </c>
      <c r="W545">
        <v>0</v>
      </c>
      <c r="X545">
        <v>0</v>
      </c>
      <c r="Y545">
        <v>0</v>
      </c>
      <c r="Z545">
        <f>'Résultat (Ln)'!F$30+'Résultat (Ln)'!F$31*Données!S545+'Résultat (Ln)'!F$32*Données!T545+'Résultat (Ln)'!F$33*Données!U545+'Résultat (Ln)'!F$34*Données!V545+'Résultat (Ln)'!F$35*Données!W545+'Résultat (Ln)'!F$36*Données!X545+'Résultat (Ln)'!F$37*Données!Y545</f>
        <v>24782.700956286775</v>
      </c>
      <c r="AA545">
        <f t="shared" si="35"/>
        <v>31217.299043713225</v>
      </c>
    </row>
    <row r="546" spans="1:27" x14ac:dyDescent="0.25">
      <c r="A546">
        <v>255000</v>
      </c>
      <c r="B546">
        <v>1</v>
      </c>
      <c r="C546">
        <v>26.79999923706055</v>
      </c>
      <c r="D546">
        <v>0</v>
      </c>
      <c r="E546">
        <v>283000</v>
      </c>
      <c r="F546">
        <v>4583</v>
      </c>
      <c r="G546">
        <v>1</v>
      </c>
      <c r="H546">
        <v>0</v>
      </c>
      <c r="I546">
        <v>1</v>
      </c>
      <c r="J546">
        <v>24.20000076293945</v>
      </c>
      <c r="K546">
        <v>1</v>
      </c>
      <c r="L546">
        <f>Résultats!G$32+Résultats!G$33*Données!C546+Résultats!G$34*Données!D546+Résultats!G$35*Données!E546+Résultats!G$36*Données!F546+Résultats!G$37*Données!G546+Résultats!G$38*Données!H546+Résultats!G$39*Données!I546</f>
        <v>185316.70114950242</v>
      </c>
      <c r="M546">
        <f t="shared" si="32"/>
        <v>69683.29885049758</v>
      </c>
      <c r="Q546">
        <v>176000</v>
      </c>
      <c r="R546">
        <v>1</v>
      </c>
      <c r="S546">
        <v>30</v>
      </c>
      <c r="T546">
        <v>0</v>
      </c>
      <c r="U546">
        <f t="shared" si="33"/>
        <v>12.134576627435427</v>
      </c>
      <c r="V546">
        <f t="shared" si="34"/>
        <v>8.9500140295342572</v>
      </c>
      <c r="W546">
        <v>1</v>
      </c>
      <c r="X546">
        <v>0</v>
      </c>
      <c r="Y546">
        <v>1</v>
      </c>
      <c r="Z546">
        <f>'Résultat (Ln)'!F$30+'Résultat (Ln)'!F$31*Données!S546+'Résultat (Ln)'!F$32*Données!T546+'Résultat (Ln)'!F$33*Données!U546+'Résultat (Ln)'!F$34*Données!V546+'Résultat (Ln)'!F$35*Données!W546+'Résultat (Ln)'!F$36*Données!X546+'Résultat (Ln)'!F$37*Données!Y546</f>
        <v>177215.21914035827</v>
      </c>
      <c r="AA546">
        <f t="shared" si="35"/>
        <v>-1215.2191403582692</v>
      </c>
    </row>
    <row r="547" spans="1:27" x14ac:dyDescent="0.25">
      <c r="A547">
        <v>106000</v>
      </c>
      <c r="B547">
        <v>1</v>
      </c>
      <c r="C547">
        <v>41.5</v>
      </c>
      <c r="D547">
        <v>0</v>
      </c>
      <c r="E547">
        <v>111500</v>
      </c>
      <c r="F547">
        <v>3817</v>
      </c>
      <c r="G547">
        <v>1</v>
      </c>
      <c r="H547">
        <v>0</v>
      </c>
      <c r="I547">
        <v>0</v>
      </c>
      <c r="J547">
        <v>30.879999160766602</v>
      </c>
      <c r="K547">
        <v>1</v>
      </c>
      <c r="L547">
        <f>Résultats!G$32+Résultats!G$33*Données!C547+Résultats!G$34*Données!D547+Résultats!G$35*Données!E547+Résultats!G$36*Données!F547+Résultats!G$37*Données!G547+Résultats!G$38*Données!H547+Résultats!G$39*Données!I547</f>
        <v>110709.86904240692</v>
      </c>
      <c r="M547">
        <f t="shared" si="32"/>
        <v>-4709.8690424069209</v>
      </c>
      <c r="Q547">
        <v>255000</v>
      </c>
      <c r="R547">
        <v>1</v>
      </c>
      <c r="S547">
        <v>26.79999923706055</v>
      </c>
      <c r="T547">
        <v>0</v>
      </c>
      <c r="U547">
        <f t="shared" si="33"/>
        <v>12.553202176625375</v>
      </c>
      <c r="V547">
        <f t="shared" si="34"/>
        <v>8.4301090845091249</v>
      </c>
      <c r="W547">
        <v>1</v>
      </c>
      <c r="X547">
        <v>0</v>
      </c>
      <c r="Y547">
        <v>1</v>
      </c>
      <c r="Z547">
        <f>'Résultat (Ln)'!F$30+'Résultat (Ln)'!F$31*Données!S547+'Résultat (Ln)'!F$32*Données!T547+'Résultat (Ln)'!F$33*Données!U547+'Résultat (Ln)'!F$34*Données!V547+'Résultat (Ln)'!F$35*Données!W547+'Résultat (Ln)'!F$36*Données!X547+'Résultat (Ln)'!F$37*Données!Y547</f>
        <v>203598.34354887824</v>
      </c>
      <c r="AA547">
        <f t="shared" si="35"/>
        <v>51401.656451121758</v>
      </c>
    </row>
    <row r="548" spans="1:27" x14ac:dyDescent="0.25">
      <c r="A548">
        <v>75000</v>
      </c>
      <c r="B548">
        <v>1</v>
      </c>
      <c r="C548">
        <v>21</v>
      </c>
      <c r="D548">
        <v>0</v>
      </c>
      <c r="E548">
        <v>135000</v>
      </c>
      <c r="F548">
        <v>2697</v>
      </c>
      <c r="G548">
        <v>0</v>
      </c>
      <c r="H548">
        <v>0</v>
      </c>
      <c r="I548">
        <v>0</v>
      </c>
      <c r="J548">
        <v>19</v>
      </c>
      <c r="K548">
        <v>1</v>
      </c>
      <c r="L548">
        <f>Résultats!G$32+Résultats!G$33*Données!C548+Résultats!G$34*Données!D548+Résultats!G$35*Données!E548+Résultats!G$36*Données!F548+Résultats!G$37*Données!G548+Résultats!G$38*Données!H548+Résultats!G$39*Données!I548</f>
        <v>88948.587753604806</v>
      </c>
      <c r="M548">
        <f t="shared" si="32"/>
        <v>-13948.587753604806</v>
      </c>
      <c r="Q548">
        <v>106000</v>
      </c>
      <c r="R548">
        <v>1</v>
      </c>
      <c r="S548">
        <v>41.5</v>
      </c>
      <c r="T548">
        <v>0</v>
      </c>
      <c r="U548">
        <f t="shared" si="33"/>
        <v>11.62177986988231</v>
      </c>
      <c r="V548">
        <f t="shared" si="34"/>
        <v>8.2472200527452291</v>
      </c>
      <c r="W548">
        <v>1</v>
      </c>
      <c r="X548">
        <v>0</v>
      </c>
      <c r="Y548">
        <v>0</v>
      </c>
      <c r="Z548">
        <f>'Résultat (Ln)'!F$30+'Résultat (Ln)'!F$31*Données!S548+'Résultat (Ln)'!F$32*Données!T548+'Résultat (Ln)'!F$33*Données!U548+'Résultat (Ln)'!F$34*Données!V548+'Résultat (Ln)'!F$35*Données!W548+'Résultat (Ln)'!F$36*Données!X548+'Résultat (Ln)'!F$37*Données!Y548</f>
        <v>102501.8061889785</v>
      </c>
      <c r="AA548">
        <f t="shared" si="35"/>
        <v>3498.1938110214978</v>
      </c>
    </row>
    <row r="549" spans="1:27" x14ac:dyDescent="0.25">
      <c r="A549">
        <v>70000</v>
      </c>
      <c r="B549">
        <v>1</v>
      </c>
      <c r="C549">
        <v>27</v>
      </c>
      <c r="D549">
        <v>0</v>
      </c>
      <c r="E549">
        <v>137000</v>
      </c>
      <c r="F549">
        <v>5026</v>
      </c>
      <c r="G549">
        <v>1</v>
      </c>
      <c r="H549">
        <v>0</v>
      </c>
      <c r="I549">
        <v>0</v>
      </c>
      <c r="J549">
        <v>20</v>
      </c>
      <c r="K549">
        <v>1</v>
      </c>
      <c r="L549">
        <f>Résultats!G$32+Résultats!G$33*Données!C549+Résultats!G$34*Données!D549+Résultats!G$35*Données!E549+Résultats!G$36*Données!F549+Résultats!G$37*Données!G549+Résultats!G$38*Données!H549+Résultats!G$39*Données!I549</f>
        <v>108304.24182155039</v>
      </c>
      <c r="M549">
        <f t="shared" si="32"/>
        <v>-38304.241821550386</v>
      </c>
      <c r="Q549">
        <v>75000</v>
      </c>
      <c r="R549">
        <v>1</v>
      </c>
      <c r="S549">
        <v>21</v>
      </c>
      <c r="T549">
        <v>0</v>
      </c>
      <c r="U549">
        <f t="shared" si="33"/>
        <v>11.813030057420567</v>
      </c>
      <c r="V549">
        <f t="shared" si="34"/>
        <v>7.89989532313973</v>
      </c>
      <c r="W549">
        <v>0</v>
      </c>
      <c r="X549">
        <v>0</v>
      </c>
      <c r="Y549">
        <v>0</v>
      </c>
      <c r="Z549">
        <f>'Résultat (Ln)'!F$30+'Résultat (Ln)'!F$31*Données!S549+'Résultat (Ln)'!F$32*Données!T549+'Résultat (Ln)'!F$33*Données!U549+'Résultat (Ln)'!F$34*Données!V549+'Résultat (Ln)'!F$35*Données!W549+'Résultat (Ln)'!F$36*Données!X549+'Résultat (Ln)'!F$37*Données!Y549</f>
        <v>83696.110196384863</v>
      </c>
      <c r="AA549">
        <f t="shared" si="35"/>
        <v>-8696.1101963848632</v>
      </c>
    </row>
    <row r="550" spans="1:27" x14ac:dyDescent="0.25">
      <c r="A550">
        <v>138000</v>
      </c>
      <c r="B550">
        <v>1</v>
      </c>
      <c r="C550">
        <v>32</v>
      </c>
      <c r="D550">
        <v>0</v>
      </c>
      <c r="E550">
        <v>149600.0061035156</v>
      </c>
      <c r="F550">
        <v>3921</v>
      </c>
      <c r="G550">
        <v>0</v>
      </c>
      <c r="H550">
        <v>0</v>
      </c>
      <c r="I550">
        <v>1</v>
      </c>
      <c r="J550">
        <v>22</v>
      </c>
      <c r="K550">
        <v>0</v>
      </c>
      <c r="L550">
        <f>Résultats!G$32+Résultats!G$33*Données!C550+Résultats!G$34*Données!D550+Résultats!G$35*Données!E550+Résultats!G$36*Données!F550+Résultats!G$37*Données!G550+Résultats!G$38*Données!H550+Résultats!G$39*Données!I550</f>
        <v>120698.79108923061</v>
      </c>
      <c r="M550">
        <f t="shared" si="32"/>
        <v>17301.20891076939</v>
      </c>
      <c r="Q550">
        <v>70000</v>
      </c>
      <c r="R550">
        <v>1</v>
      </c>
      <c r="S550">
        <v>27</v>
      </c>
      <c r="T550">
        <v>0</v>
      </c>
      <c r="U550">
        <f t="shared" si="33"/>
        <v>11.827736204810263</v>
      </c>
      <c r="V550">
        <f t="shared" si="34"/>
        <v>8.5223797181035383</v>
      </c>
      <c r="W550">
        <v>1</v>
      </c>
      <c r="X550">
        <v>0</v>
      </c>
      <c r="Y550">
        <v>0</v>
      </c>
      <c r="Z550">
        <f>'Résultat (Ln)'!F$30+'Résultat (Ln)'!F$31*Données!S550+'Résultat (Ln)'!F$32*Données!T550+'Résultat (Ln)'!F$33*Données!U550+'Résultat (Ln)'!F$34*Données!V550+'Résultat (Ln)'!F$35*Données!W550+'Résultat (Ln)'!F$36*Données!X550+'Résultat (Ln)'!F$37*Données!Y550</f>
        <v>114576.88908952884</v>
      </c>
      <c r="AA550">
        <f t="shared" si="35"/>
        <v>-44576.889089528835</v>
      </c>
    </row>
    <row r="551" spans="1:27" x14ac:dyDescent="0.25">
      <c r="A551">
        <v>103000</v>
      </c>
      <c r="B551">
        <v>1</v>
      </c>
      <c r="C551">
        <v>36.5</v>
      </c>
      <c r="D551">
        <v>0</v>
      </c>
      <c r="E551">
        <v>115000</v>
      </c>
      <c r="F551">
        <v>3332</v>
      </c>
      <c r="G551">
        <v>0</v>
      </c>
      <c r="H551">
        <v>0</v>
      </c>
      <c r="I551">
        <v>0</v>
      </c>
      <c r="J551">
        <v>32.880001068115227</v>
      </c>
      <c r="K551">
        <v>0</v>
      </c>
      <c r="L551">
        <f>Résultats!G$32+Résultats!G$33*Données!C551+Résultats!G$34*Données!D551+Résultats!G$35*Données!E551+Résultats!G$36*Données!F551+Résultats!G$37*Données!G551+Résultats!G$38*Données!H551+Résultats!G$39*Données!I551</f>
        <v>98644.408233732203</v>
      </c>
      <c r="M551">
        <f t="shared" si="32"/>
        <v>4355.5917662677966</v>
      </c>
      <c r="Q551">
        <v>138000</v>
      </c>
      <c r="R551">
        <v>1</v>
      </c>
      <c r="S551">
        <v>32</v>
      </c>
      <c r="T551">
        <v>0</v>
      </c>
      <c r="U551">
        <f t="shared" si="33"/>
        <v>11.915720385321414</v>
      </c>
      <c r="V551">
        <f t="shared" si="34"/>
        <v>8.2741020022923308</v>
      </c>
      <c r="W551">
        <v>0</v>
      </c>
      <c r="X551">
        <v>0</v>
      </c>
      <c r="Y551">
        <v>1</v>
      </c>
      <c r="Z551">
        <f>'Résultat (Ln)'!F$30+'Résultat (Ln)'!F$31*Données!S551+'Résultat (Ln)'!F$32*Données!T551+'Résultat (Ln)'!F$33*Données!U551+'Résultat (Ln)'!F$34*Données!V551+'Résultat (Ln)'!F$35*Données!W551+'Résultat (Ln)'!F$36*Données!X551+'Résultat (Ln)'!F$37*Données!Y551</f>
        <v>132728.36266184686</v>
      </c>
      <c r="AA551">
        <f t="shared" si="35"/>
        <v>5271.6373381531448</v>
      </c>
    </row>
    <row r="552" spans="1:27" x14ac:dyDescent="0.25">
      <c r="A552">
        <v>107000</v>
      </c>
      <c r="B552">
        <v>1</v>
      </c>
      <c r="C552">
        <v>39</v>
      </c>
      <c r="D552">
        <v>0</v>
      </c>
      <c r="E552">
        <v>113000</v>
      </c>
      <c r="F552">
        <v>2243</v>
      </c>
      <c r="G552">
        <v>0</v>
      </c>
      <c r="H552">
        <v>0</v>
      </c>
      <c r="I552">
        <v>0</v>
      </c>
      <c r="J552">
        <v>25</v>
      </c>
      <c r="K552">
        <v>1</v>
      </c>
      <c r="L552">
        <f>Résultats!G$32+Résultats!G$33*Données!C552+Résultats!G$34*Données!D552+Résultats!G$35*Données!E552+Résultats!G$36*Données!F552+Résultats!G$37*Données!G552+Résultats!G$38*Données!H552+Résultats!G$39*Données!I552</f>
        <v>98471.927202873208</v>
      </c>
      <c r="M552">
        <f t="shared" si="32"/>
        <v>8528.0727971267916</v>
      </c>
      <c r="Q552">
        <v>103000</v>
      </c>
      <c r="R552">
        <v>1</v>
      </c>
      <c r="S552">
        <v>36.5</v>
      </c>
      <c r="T552">
        <v>0</v>
      </c>
      <c r="U552">
        <f t="shared" si="33"/>
        <v>11.652687407345388</v>
      </c>
      <c r="V552">
        <f t="shared" si="34"/>
        <v>8.111328003286733</v>
      </c>
      <c r="W552">
        <v>0</v>
      </c>
      <c r="X552">
        <v>0</v>
      </c>
      <c r="Y552">
        <v>0</v>
      </c>
      <c r="Z552">
        <f>'Résultat (Ln)'!F$30+'Résultat (Ln)'!F$31*Données!S552+'Résultat (Ln)'!F$32*Données!T552+'Résultat (Ln)'!F$33*Données!U552+'Résultat (Ln)'!F$34*Données!V552+'Résultat (Ln)'!F$35*Données!W552+'Résultat (Ln)'!F$36*Données!X552+'Résultat (Ln)'!F$37*Données!Y552</f>
        <v>91379.521188476472</v>
      </c>
      <c r="AA552">
        <f t="shared" si="35"/>
        <v>11620.478811523528</v>
      </c>
    </row>
    <row r="553" spans="1:27" x14ac:dyDescent="0.25">
      <c r="A553">
        <v>128000</v>
      </c>
      <c r="B553">
        <v>1</v>
      </c>
      <c r="C553">
        <v>33</v>
      </c>
      <c r="D553">
        <v>0</v>
      </c>
      <c r="E553">
        <v>160000</v>
      </c>
      <c r="F553">
        <v>6000</v>
      </c>
      <c r="G553">
        <v>0</v>
      </c>
      <c r="H553">
        <v>0</v>
      </c>
      <c r="I553">
        <v>1</v>
      </c>
      <c r="J553">
        <v>16</v>
      </c>
      <c r="K553">
        <v>1</v>
      </c>
      <c r="L553">
        <f>Résultats!G$32+Résultats!G$33*Données!C553+Résultats!G$34*Données!D553+Résultats!G$35*Données!E553+Résultats!G$36*Données!F553+Résultats!G$37*Données!G553+Résultats!G$38*Données!H553+Résultats!G$39*Données!I553</f>
        <v>130732.43254589337</v>
      </c>
      <c r="M553">
        <f t="shared" si="32"/>
        <v>-2732.4325458933745</v>
      </c>
      <c r="Q553">
        <v>107000</v>
      </c>
      <c r="R553">
        <v>1</v>
      </c>
      <c r="S553">
        <v>39</v>
      </c>
      <c r="T553">
        <v>0</v>
      </c>
      <c r="U553">
        <f t="shared" si="33"/>
        <v>11.635143097694478</v>
      </c>
      <c r="V553">
        <f t="shared" si="34"/>
        <v>7.715569534520208</v>
      </c>
      <c r="W553">
        <v>0</v>
      </c>
      <c r="X553">
        <v>0</v>
      </c>
      <c r="Y553">
        <v>0</v>
      </c>
      <c r="Z553">
        <f>'Résultat (Ln)'!F$30+'Résultat (Ln)'!F$31*Données!S553+'Résultat (Ln)'!F$32*Données!T553+'Résultat (Ln)'!F$33*Données!U553+'Résultat (Ln)'!F$34*Données!V553+'Résultat (Ln)'!F$35*Données!W553+'Résultat (Ln)'!F$36*Données!X553+'Résultat (Ln)'!F$37*Données!Y553</f>
        <v>81454.591355718556</v>
      </c>
      <c r="AA553">
        <f t="shared" si="35"/>
        <v>25545.408644281444</v>
      </c>
    </row>
    <row r="554" spans="1:27" x14ac:dyDescent="0.25">
      <c r="A554">
        <v>98000</v>
      </c>
      <c r="B554">
        <v>1</v>
      </c>
      <c r="C554">
        <v>31.10000038146973</v>
      </c>
      <c r="D554">
        <v>0</v>
      </c>
      <c r="E554">
        <v>122000</v>
      </c>
      <c r="F554">
        <v>1863</v>
      </c>
      <c r="G554">
        <v>1</v>
      </c>
      <c r="H554">
        <v>0</v>
      </c>
      <c r="I554">
        <v>0</v>
      </c>
      <c r="J554">
        <v>29.89999961853027</v>
      </c>
      <c r="K554">
        <v>1</v>
      </c>
      <c r="L554">
        <f>Résultats!G$32+Résultats!G$33*Données!C554+Résultats!G$34*Données!D554+Résultats!G$35*Données!E554+Résultats!G$36*Données!F554+Résultats!G$37*Données!G554+Résultats!G$38*Données!H554+Résultats!G$39*Données!I554</f>
        <v>99880.270346141115</v>
      </c>
      <c r="M554">
        <f t="shared" si="32"/>
        <v>-1880.2703461411147</v>
      </c>
      <c r="Q554">
        <v>128000</v>
      </c>
      <c r="R554">
        <v>1</v>
      </c>
      <c r="S554">
        <v>33</v>
      </c>
      <c r="T554">
        <v>0</v>
      </c>
      <c r="U554">
        <f t="shared" si="33"/>
        <v>11.982929094215963</v>
      </c>
      <c r="V554">
        <f t="shared" si="34"/>
        <v>8.6995147482101913</v>
      </c>
      <c r="W554">
        <v>0</v>
      </c>
      <c r="X554">
        <v>0</v>
      </c>
      <c r="Y554">
        <v>1</v>
      </c>
      <c r="Z554">
        <f>'Résultat (Ln)'!F$30+'Résultat (Ln)'!F$31*Données!S554+'Résultat (Ln)'!F$32*Données!T554+'Résultat (Ln)'!F$33*Données!U554+'Résultat (Ln)'!F$34*Données!V554+'Résultat (Ln)'!F$35*Données!W554+'Résultat (Ln)'!F$36*Données!X554+'Résultat (Ln)'!F$37*Données!Y554</f>
        <v>153085.91700914677</v>
      </c>
      <c r="AA554">
        <f t="shared" si="35"/>
        <v>-25085.917009146768</v>
      </c>
    </row>
    <row r="555" spans="1:27" x14ac:dyDescent="0.25">
      <c r="A555">
        <v>200000</v>
      </c>
      <c r="B555">
        <v>1</v>
      </c>
      <c r="C555">
        <v>33</v>
      </c>
      <c r="D555">
        <v>0</v>
      </c>
      <c r="E555">
        <v>145000</v>
      </c>
      <c r="F555">
        <v>3417</v>
      </c>
      <c r="G555">
        <v>1</v>
      </c>
      <c r="H555">
        <v>0</v>
      </c>
      <c r="I555">
        <v>0</v>
      </c>
      <c r="J555">
        <v>27</v>
      </c>
      <c r="K555">
        <v>0</v>
      </c>
      <c r="L555">
        <f>Résultats!G$32+Résultats!G$33*Données!C555+Résultats!G$34*Données!D555+Résultats!G$35*Données!E555+Résultats!G$36*Données!F555+Résultats!G$37*Données!G555+Résultats!G$38*Données!H555+Résultats!G$39*Données!I555</f>
        <v>115813.99037413663</v>
      </c>
      <c r="M555">
        <f t="shared" si="32"/>
        <v>84186.009625863371</v>
      </c>
      <c r="Q555">
        <v>98000</v>
      </c>
      <c r="R555">
        <v>1</v>
      </c>
      <c r="S555">
        <v>31.10000038146973</v>
      </c>
      <c r="T555">
        <v>0</v>
      </c>
      <c r="U555">
        <f t="shared" si="33"/>
        <v>11.711776323715394</v>
      </c>
      <c r="V555">
        <f t="shared" si="34"/>
        <v>7.5299433706015888</v>
      </c>
      <c r="W555">
        <v>1</v>
      </c>
      <c r="X555">
        <v>0</v>
      </c>
      <c r="Y555">
        <v>0</v>
      </c>
      <c r="Z555">
        <f>'Résultat (Ln)'!F$30+'Résultat (Ln)'!F$31*Données!S555+'Résultat (Ln)'!F$32*Données!T555+'Résultat (Ln)'!F$33*Données!U555+'Résultat (Ln)'!F$34*Données!V555+'Résultat (Ln)'!F$35*Données!W555+'Résultat (Ln)'!F$36*Données!X555+'Résultat (Ln)'!F$37*Données!Y555</f>
        <v>79323.208147116893</v>
      </c>
      <c r="AA555">
        <f t="shared" si="35"/>
        <v>18676.791852883107</v>
      </c>
    </row>
    <row r="556" spans="1:27" x14ac:dyDescent="0.25">
      <c r="A556">
        <v>275000</v>
      </c>
      <c r="B556">
        <v>1</v>
      </c>
      <c r="C556">
        <v>32</v>
      </c>
      <c r="D556">
        <v>0</v>
      </c>
      <c r="E556">
        <v>371000</v>
      </c>
      <c r="F556">
        <v>7933</v>
      </c>
      <c r="G556">
        <v>1</v>
      </c>
      <c r="H556">
        <v>0</v>
      </c>
      <c r="I556">
        <v>1</v>
      </c>
      <c r="J556">
        <v>32</v>
      </c>
      <c r="K556">
        <v>1</v>
      </c>
      <c r="L556">
        <f>Résultats!G$32+Résultats!G$33*Données!C556+Résultats!G$34*Données!D556+Résultats!G$35*Données!E556+Résultats!G$36*Données!F556+Résultats!G$37*Données!G556+Résultats!G$38*Données!H556+Résultats!G$39*Données!I556</f>
        <v>238873.26331575314</v>
      </c>
      <c r="M556">
        <f t="shared" si="32"/>
        <v>36126.736684246862</v>
      </c>
      <c r="Q556">
        <v>200000</v>
      </c>
      <c r="R556">
        <v>1</v>
      </c>
      <c r="S556">
        <v>33</v>
      </c>
      <c r="T556">
        <v>0</v>
      </c>
      <c r="U556">
        <f t="shared" si="33"/>
        <v>11.884489021402711</v>
      </c>
      <c r="V556">
        <f t="shared" si="34"/>
        <v>8.136518252115291</v>
      </c>
      <c r="W556">
        <v>1</v>
      </c>
      <c r="X556">
        <v>0</v>
      </c>
      <c r="Y556">
        <v>0</v>
      </c>
      <c r="Z556">
        <f>'Résultat (Ln)'!F$30+'Résultat (Ln)'!F$31*Données!S556+'Résultat (Ln)'!F$32*Données!T556+'Résultat (Ln)'!F$33*Données!U556+'Résultat (Ln)'!F$34*Données!V556+'Résultat (Ln)'!F$35*Données!W556+'Résultat (Ln)'!F$36*Données!X556+'Résultat (Ln)'!F$37*Données!Y556</f>
        <v>117170.99446874596</v>
      </c>
      <c r="AA556">
        <f t="shared" si="35"/>
        <v>82829.005531254035</v>
      </c>
    </row>
    <row r="557" spans="1:27" x14ac:dyDescent="0.25">
      <c r="A557">
        <v>119000</v>
      </c>
      <c r="B557">
        <v>1</v>
      </c>
      <c r="C557">
        <v>35</v>
      </c>
      <c r="D557">
        <v>0</v>
      </c>
      <c r="E557">
        <v>125000</v>
      </c>
      <c r="F557">
        <v>1596</v>
      </c>
      <c r="G557">
        <v>0</v>
      </c>
      <c r="H557">
        <v>1</v>
      </c>
      <c r="I557">
        <v>0</v>
      </c>
      <c r="J557">
        <v>33</v>
      </c>
      <c r="K557">
        <v>1</v>
      </c>
      <c r="L557">
        <f>Résultats!G$32+Résultats!G$33*Données!C557+Résultats!G$34*Données!D557+Résultats!G$35*Données!E557+Résultats!G$36*Données!F557+Résultats!G$37*Données!G557+Résultats!G$38*Données!H557+Résultats!G$39*Données!I557</f>
        <v>96601.660005652331</v>
      </c>
      <c r="M557">
        <f t="shared" si="32"/>
        <v>22398.339994347669</v>
      </c>
      <c r="Q557">
        <v>275000</v>
      </c>
      <c r="R557">
        <v>1</v>
      </c>
      <c r="S557">
        <v>32</v>
      </c>
      <c r="T557">
        <v>0</v>
      </c>
      <c r="U557">
        <f t="shared" si="33"/>
        <v>12.823957341589573</v>
      </c>
      <c r="V557">
        <f t="shared" si="34"/>
        <v>8.9787865533020028</v>
      </c>
      <c r="W557">
        <v>1</v>
      </c>
      <c r="X557">
        <v>0</v>
      </c>
      <c r="Y557">
        <v>1</v>
      </c>
      <c r="Z557">
        <f>'Résultat (Ln)'!F$30+'Résultat (Ln)'!F$31*Données!S557+'Résultat (Ln)'!F$32*Données!T557+'Résultat (Ln)'!F$33*Données!U557+'Résultat (Ln)'!F$34*Données!V557+'Résultat (Ln)'!F$35*Données!W557+'Résultat (Ln)'!F$36*Données!X557+'Résultat (Ln)'!F$37*Données!Y557</f>
        <v>254364.80543258708</v>
      </c>
      <c r="AA557">
        <f t="shared" si="35"/>
        <v>20635.194567412924</v>
      </c>
    </row>
    <row r="558" spans="1:27" x14ac:dyDescent="0.25">
      <c r="A558">
        <v>128000</v>
      </c>
      <c r="B558">
        <v>1</v>
      </c>
      <c r="C558">
        <v>19</v>
      </c>
      <c r="D558">
        <v>0</v>
      </c>
      <c r="E558">
        <v>376000</v>
      </c>
      <c r="F558">
        <v>6994</v>
      </c>
      <c r="G558">
        <v>1</v>
      </c>
      <c r="H558">
        <v>0</v>
      </c>
      <c r="I558">
        <v>0</v>
      </c>
      <c r="J558">
        <v>17</v>
      </c>
      <c r="K558">
        <v>1</v>
      </c>
      <c r="L558">
        <f>Résultats!G$32+Résultats!G$33*Données!C558+Résultats!G$34*Données!D558+Résultats!G$35*Données!E558+Résultats!G$36*Données!F558+Résultats!G$37*Données!G558+Résultats!G$38*Données!H558+Résultats!G$39*Données!I558</f>
        <v>214530.27553717216</v>
      </c>
      <c r="M558">
        <f t="shared" si="32"/>
        <v>-86530.275537172158</v>
      </c>
      <c r="Q558">
        <v>119000</v>
      </c>
      <c r="R558">
        <v>1</v>
      </c>
      <c r="S558">
        <v>35</v>
      </c>
      <c r="T558">
        <v>0</v>
      </c>
      <c r="U558">
        <f t="shared" si="33"/>
        <v>11.736069016284437</v>
      </c>
      <c r="V558">
        <f t="shared" si="34"/>
        <v>7.3752557780097545</v>
      </c>
      <c r="W558">
        <v>0</v>
      </c>
      <c r="X558">
        <v>1</v>
      </c>
      <c r="Y558">
        <v>0</v>
      </c>
      <c r="Z558">
        <f>'Résultat (Ln)'!F$30+'Résultat (Ln)'!F$31*Données!S558+'Résultat (Ln)'!F$32*Données!T558+'Résultat (Ln)'!F$33*Données!U558+'Résultat (Ln)'!F$34*Données!V558+'Résultat (Ln)'!F$35*Données!W558+'Résultat (Ln)'!F$36*Données!X558+'Résultat (Ln)'!F$37*Données!Y558</f>
        <v>77663.330281500195</v>
      </c>
      <c r="AA558">
        <f t="shared" si="35"/>
        <v>41336.669718499805</v>
      </c>
    </row>
    <row r="559" spans="1:27" x14ac:dyDescent="0.25">
      <c r="A559">
        <v>121000</v>
      </c>
      <c r="B559">
        <v>1</v>
      </c>
      <c r="C559">
        <v>35.900001525878913</v>
      </c>
      <c r="D559">
        <v>0</v>
      </c>
      <c r="E559">
        <v>127000</v>
      </c>
      <c r="F559">
        <v>3089</v>
      </c>
      <c r="G559">
        <v>1</v>
      </c>
      <c r="H559">
        <v>0</v>
      </c>
      <c r="I559">
        <v>0</v>
      </c>
      <c r="J559">
        <v>28.89999961853027</v>
      </c>
      <c r="K559">
        <v>1</v>
      </c>
      <c r="L559">
        <f>Résultats!G$32+Résultats!G$33*Données!C559+Résultats!G$34*Données!D559+Résultats!G$35*Données!E559+Résultats!G$36*Données!F559+Résultats!G$37*Données!G559+Résultats!G$38*Données!H559+Résultats!G$39*Données!I559</f>
        <v>110104.3831342349</v>
      </c>
      <c r="M559">
        <f t="shared" si="32"/>
        <v>10895.6168657651</v>
      </c>
      <c r="Q559">
        <v>128000</v>
      </c>
      <c r="R559">
        <v>1</v>
      </c>
      <c r="S559">
        <v>19</v>
      </c>
      <c r="T559">
        <v>0</v>
      </c>
      <c r="U559">
        <f t="shared" si="33"/>
        <v>12.837344422372032</v>
      </c>
      <c r="V559">
        <f t="shared" si="34"/>
        <v>8.8528079176233216</v>
      </c>
      <c r="W559">
        <v>1</v>
      </c>
      <c r="X559">
        <v>0</v>
      </c>
      <c r="Y559">
        <v>0</v>
      </c>
      <c r="Z559">
        <f>'Résultat (Ln)'!F$30+'Résultat (Ln)'!F$31*Données!S559+'Résultat (Ln)'!F$32*Données!T559+'Résultat (Ln)'!F$33*Données!U559+'Résultat (Ln)'!F$34*Données!V559+'Résultat (Ln)'!F$35*Données!W559+'Résultat (Ln)'!F$36*Données!X559+'Résultat (Ln)'!F$37*Données!Y559</f>
        <v>222293.20689176556</v>
      </c>
      <c r="AA559">
        <f t="shared" si="35"/>
        <v>-94293.206891765556</v>
      </c>
    </row>
    <row r="560" spans="1:27" x14ac:dyDescent="0.25">
      <c r="A560">
        <v>400000</v>
      </c>
      <c r="B560">
        <v>1</v>
      </c>
      <c r="C560">
        <v>10</v>
      </c>
      <c r="D560">
        <v>0</v>
      </c>
      <c r="E560">
        <v>300000</v>
      </c>
      <c r="F560">
        <v>2762</v>
      </c>
      <c r="G560">
        <v>0</v>
      </c>
      <c r="H560">
        <v>0</v>
      </c>
      <c r="I560">
        <v>1</v>
      </c>
      <c r="J560">
        <v>8</v>
      </c>
      <c r="K560">
        <v>1</v>
      </c>
      <c r="L560">
        <f>Résultats!G$32+Résultats!G$33*Données!C560+Résultats!G$34*Données!D560+Résultats!G$35*Données!E560+Résultats!G$36*Données!F560+Résultats!G$37*Données!G560+Résultats!G$38*Données!H560+Résultats!G$39*Données!I560</f>
        <v>163411.91595003498</v>
      </c>
      <c r="M560">
        <f t="shared" si="32"/>
        <v>236588.08404996502</v>
      </c>
      <c r="Q560">
        <v>121000</v>
      </c>
      <c r="R560">
        <v>1</v>
      </c>
      <c r="S560">
        <v>35.900001525878913</v>
      </c>
      <c r="T560">
        <v>0</v>
      </c>
      <c r="U560">
        <f t="shared" si="33"/>
        <v>11.751942365440728</v>
      </c>
      <c r="V560">
        <f t="shared" si="34"/>
        <v>8.035602692918582</v>
      </c>
      <c r="W560">
        <v>1</v>
      </c>
      <c r="X560">
        <v>0</v>
      </c>
      <c r="Y560">
        <v>0</v>
      </c>
      <c r="Z560">
        <f>'Résultat (Ln)'!F$30+'Résultat (Ln)'!F$31*Données!S560+'Résultat (Ln)'!F$32*Données!T560+'Résultat (Ln)'!F$33*Données!U560+'Résultat (Ln)'!F$34*Données!V560+'Résultat (Ln)'!F$35*Données!W560+'Résultat (Ln)'!F$36*Données!X560+'Résultat (Ln)'!F$37*Données!Y560</f>
        <v>103676.24441436554</v>
      </c>
      <c r="AA560">
        <f t="shared" si="35"/>
        <v>17323.755585634455</v>
      </c>
    </row>
    <row r="561" spans="1:27" x14ac:dyDescent="0.25">
      <c r="A561">
        <v>120000</v>
      </c>
      <c r="B561">
        <v>1</v>
      </c>
      <c r="C561">
        <v>31.89999961853027</v>
      </c>
      <c r="D561">
        <v>0</v>
      </c>
      <c r="E561">
        <v>240000</v>
      </c>
      <c r="F561">
        <v>4513</v>
      </c>
      <c r="G561">
        <v>1</v>
      </c>
      <c r="H561">
        <v>0</v>
      </c>
      <c r="I561">
        <v>0</v>
      </c>
      <c r="J561">
        <v>28.20000076293945</v>
      </c>
      <c r="K561">
        <v>1</v>
      </c>
      <c r="L561">
        <f>Résultats!G$32+Résultats!G$33*Données!C561+Résultats!G$34*Données!D561+Résultats!G$35*Données!E561+Résultats!G$36*Données!F561+Résultats!G$37*Données!G561+Résultats!G$38*Données!H561+Résultats!G$39*Données!I561</f>
        <v>161034.82799569142</v>
      </c>
      <c r="M561">
        <f t="shared" si="32"/>
        <v>-41034.827995691419</v>
      </c>
      <c r="Q561">
        <v>400000</v>
      </c>
      <c r="R561">
        <v>1</v>
      </c>
      <c r="S561">
        <v>10</v>
      </c>
      <c r="T561">
        <v>0</v>
      </c>
      <c r="U561">
        <f t="shared" si="33"/>
        <v>12.611537753638338</v>
      </c>
      <c r="V561">
        <f t="shared" si="34"/>
        <v>7.9237103339692379</v>
      </c>
      <c r="W561">
        <v>0</v>
      </c>
      <c r="X561">
        <v>0</v>
      </c>
      <c r="Y561">
        <v>1</v>
      </c>
      <c r="Z561">
        <f>'Résultat (Ln)'!F$30+'Résultat (Ln)'!F$31*Données!S561+'Résultat (Ln)'!F$32*Données!T561+'Résultat (Ln)'!F$33*Données!U561+'Résultat (Ln)'!F$34*Données!V561+'Résultat (Ln)'!F$35*Données!W561+'Résultat (Ln)'!F$36*Données!X561+'Résultat (Ln)'!F$37*Données!Y561</f>
        <v>170604.98607506792</v>
      </c>
      <c r="AA561">
        <f t="shared" si="35"/>
        <v>229395.01392493208</v>
      </c>
    </row>
    <row r="562" spans="1:27" x14ac:dyDescent="0.25">
      <c r="A562">
        <v>140000</v>
      </c>
      <c r="B562">
        <v>1</v>
      </c>
      <c r="C562">
        <v>35</v>
      </c>
      <c r="D562">
        <v>0</v>
      </c>
      <c r="E562">
        <v>140000</v>
      </c>
      <c r="F562">
        <v>4500</v>
      </c>
      <c r="G562">
        <v>1</v>
      </c>
      <c r="H562">
        <v>0</v>
      </c>
      <c r="I562">
        <v>1</v>
      </c>
      <c r="J562">
        <v>27</v>
      </c>
      <c r="K562">
        <v>1</v>
      </c>
      <c r="L562">
        <f>Résultats!G$32+Résultats!G$33*Données!C562+Résultats!G$34*Données!D562+Résultats!G$35*Données!E562+Résultats!G$36*Données!F562+Résultats!G$37*Données!G562+Résultats!G$38*Données!H562+Résultats!G$39*Données!I562</f>
        <v>127800.64536309136</v>
      </c>
      <c r="M562">
        <f t="shared" si="32"/>
        <v>12199.35463690864</v>
      </c>
      <c r="Q562">
        <v>120000</v>
      </c>
      <c r="R562">
        <v>1</v>
      </c>
      <c r="S562">
        <v>31.89999961853027</v>
      </c>
      <c r="T562">
        <v>0</v>
      </c>
      <c r="U562">
        <f t="shared" si="33"/>
        <v>12.388394202324129</v>
      </c>
      <c r="V562">
        <f t="shared" si="34"/>
        <v>8.4147173998270013</v>
      </c>
      <c r="W562">
        <v>1</v>
      </c>
      <c r="X562">
        <v>0</v>
      </c>
      <c r="Y562">
        <v>0</v>
      </c>
      <c r="Z562">
        <f>'Résultat (Ln)'!F$30+'Résultat (Ln)'!F$31*Données!S562+'Résultat (Ln)'!F$32*Données!T562+'Résultat (Ln)'!F$33*Données!U562+'Résultat (Ln)'!F$34*Données!V562+'Résultat (Ln)'!F$35*Données!W562+'Résultat (Ln)'!F$36*Données!X562+'Résultat (Ln)'!F$37*Données!Y562</f>
        <v>177645.46588786237</v>
      </c>
      <c r="AA562">
        <f t="shared" si="35"/>
        <v>-57645.465887862374</v>
      </c>
    </row>
    <row r="563" spans="1:27" x14ac:dyDescent="0.25">
      <c r="A563">
        <v>352000</v>
      </c>
      <c r="B563">
        <v>1</v>
      </c>
      <c r="C563">
        <v>57</v>
      </c>
      <c r="D563">
        <v>0</v>
      </c>
      <c r="E563">
        <v>440000</v>
      </c>
      <c r="F563">
        <v>10141</v>
      </c>
      <c r="G563">
        <v>0</v>
      </c>
      <c r="H563">
        <v>0</v>
      </c>
      <c r="I563">
        <v>0</v>
      </c>
      <c r="J563">
        <v>38</v>
      </c>
      <c r="K563">
        <v>0</v>
      </c>
      <c r="L563">
        <f>Résultats!G$32+Résultats!G$33*Données!C563+Résultats!G$34*Données!D563+Résultats!G$35*Données!E563+Résultats!G$36*Données!F563+Résultats!G$37*Données!G563+Résultats!G$38*Données!H563+Résultats!G$39*Données!I563</f>
        <v>287146.35749767866</v>
      </c>
      <c r="M563">
        <f t="shared" si="32"/>
        <v>64853.642502321338</v>
      </c>
      <c r="Q563">
        <v>140000</v>
      </c>
      <c r="R563">
        <v>1</v>
      </c>
      <c r="S563">
        <v>35</v>
      </c>
      <c r="T563">
        <v>0</v>
      </c>
      <c r="U563">
        <f t="shared" si="33"/>
        <v>11.849397701591441</v>
      </c>
      <c r="V563">
        <f t="shared" si="34"/>
        <v>8.4118326757584114</v>
      </c>
      <c r="W563">
        <v>1</v>
      </c>
      <c r="X563">
        <v>0</v>
      </c>
      <c r="Y563">
        <v>1</v>
      </c>
      <c r="Z563">
        <f>'Résultat (Ln)'!F$30+'Résultat (Ln)'!F$31*Données!S563+'Résultat (Ln)'!F$32*Données!T563+'Résultat (Ln)'!F$33*Données!U563+'Résultat (Ln)'!F$34*Données!V563+'Résultat (Ln)'!F$35*Données!W563+'Résultat (Ln)'!F$36*Données!X563+'Résultat (Ln)'!F$37*Données!Y563</f>
        <v>137661.78472866921</v>
      </c>
      <c r="AA563">
        <f t="shared" si="35"/>
        <v>2338.2152713307878</v>
      </c>
    </row>
    <row r="564" spans="1:27" x14ac:dyDescent="0.25">
      <c r="A564">
        <v>158000</v>
      </c>
      <c r="B564">
        <v>1</v>
      </c>
      <c r="C564">
        <v>26</v>
      </c>
      <c r="D564">
        <v>0</v>
      </c>
      <c r="E564">
        <v>175000</v>
      </c>
      <c r="F564">
        <v>4167</v>
      </c>
      <c r="G564">
        <v>1</v>
      </c>
      <c r="H564">
        <v>0</v>
      </c>
      <c r="I564">
        <v>1</v>
      </c>
      <c r="J564">
        <v>26</v>
      </c>
      <c r="K564">
        <v>1</v>
      </c>
      <c r="L564">
        <f>Résultats!G$32+Résultats!G$33*Données!C564+Résultats!G$34*Données!D564+Résultats!G$35*Données!E564+Résultats!G$36*Données!F564+Résultats!G$37*Données!G564+Résultats!G$38*Données!H564+Résultats!G$39*Données!I564</f>
        <v>133160.69316177676</v>
      </c>
      <c r="M564">
        <f t="shared" si="32"/>
        <v>24839.306838223245</v>
      </c>
      <c r="Q564">
        <v>352000</v>
      </c>
      <c r="R564">
        <v>1</v>
      </c>
      <c r="S564">
        <v>57</v>
      </c>
      <c r="T564">
        <v>0</v>
      </c>
      <c r="U564">
        <f t="shared" si="33"/>
        <v>12.994530005894443</v>
      </c>
      <c r="V564">
        <f t="shared" si="34"/>
        <v>9.2243418916119957</v>
      </c>
      <c r="W564">
        <v>0</v>
      </c>
      <c r="X564">
        <v>0</v>
      </c>
      <c r="Y564">
        <v>0</v>
      </c>
      <c r="Z564">
        <f>'Résultat (Ln)'!F$30+'Résultat (Ln)'!F$31*Données!S564+'Résultat (Ln)'!F$32*Données!T564+'Résultat (Ln)'!F$33*Données!U564+'Résultat (Ln)'!F$34*Données!V564+'Résultat (Ln)'!F$35*Données!W564+'Résultat (Ln)'!F$36*Données!X564+'Résultat (Ln)'!F$37*Données!Y564</f>
        <v>291486.29540590674</v>
      </c>
      <c r="AA564">
        <f t="shared" si="35"/>
        <v>60513.704594093258</v>
      </c>
    </row>
    <row r="565" spans="1:27" x14ac:dyDescent="0.25">
      <c r="A565">
        <v>170000</v>
      </c>
      <c r="B565">
        <v>1</v>
      </c>
      <c r="C565">
        <v>37</v>
      </c>
      <c r="D565">
        <v>0</v>
      </c>
      <c r="E565">
        <v>239000</v>
      </c>
      <c r="F565">
        <v>5458</v>
      </c>
      <c r="G565">
        <v>0</v>
      </c>
      <c r="H565">
        <v>0</v>
      </c>
      <c r="I565">
        <v>0</v>
      </c>
      <c r="J565">
        <v>23</v>
      </c>
      <c r="K565">
        <v>1</v>
      </c>
      <c r="L565">
        <f>Résultats!G$32+Résultats!G$33*Données!C565+Résultats!G$34*Données!D565+Résultats!G$35*Données!E565+Résultats!G$36*Données!F565+Résultats!G$37*Données!G565+Résultats!G$38*Données!H565+Résultats!G$39*Données!I565</f>
        <v>161240.68467829283</v>
      </c>
      <c r="M565">
        <f t="shared" si="32"/>
        <v>8759.3153217071667</v>
      </c>
      <c r="Q565">
        <v>158000</v>
      </c>
      <c r="R565">
        <v>1</v>
      </c>
      <c r="S565">
        <v>26</v>
      </c>
      <c r="T565">
        <v>0</v>
      </c>
      <c r="U565">
        <f t="shared" si="33"/>
        <v>12.072541252905651</v>
      </c>
      <c r="V565">
        <f t="shared" si="34"/>
        <v>8.3349516314224541</v>
      </c>
      <c r="W565">
        <v>1</v>
      </c>
      <c r="X565">
        <v>0</v>
      </c>
      <c r="Y565">
        <v>1</v>
      </c>
      <c r="Z565">
        <f>'Résultat (Ln)'!F$30+'Résultat (Ln)'!F$31*Données!S565+'Résultat (Ln)'!F$32*Données!T565+'Résultat (Ln)'!F$33*Données!U565+'Résultat (Ln)'!F$34*Données!V565+'Résultat (Ln)'!F$35*Données!W565+'Résultat (Ln)'!F$36*Données!X565+'Résultat (Ln)'!F$37*Données!Y565</f>
        <v>148427.22552624892</v>
      </c>
      <c r="AA565">
        <f t="shared" si="35"/>
        <v>9572.7744737510802</v>
      </c>
    </row>
    <row r="566" spans="1:27" x14ac:dyDescent="0.25">
      <c r="A566">
        <v>75000</v>
      </c>
      <c r="B566">
        <v>1</v>
      </c>
      <c r="C566">
        <v>13</v>
      </c>
      <c r="D566">
        <v>0</v>
      </c>
      <c r="E566">
        <v>140000</v>
      </c>
      <c r="F566">
        <v>9323</v>
      </c>
      <c r="G566">
        <v>1</v>
      </c>
      <c r="H566">
        <v>0</v>
      </c>
      <c r="I566">
        <v>0</v>
      </c>
      <c r="J566">
        <v>10</v>
      </c>
      <c r="K566">
        <v>1</v>
      </c>
      <c r="L566">
        <f>Résultats!G$32+Résultats!G$33*Données!C566+Résultats!G$34*Données!D566+Résultats!G$35*Données!E566+Résultats!G$36*Données!F566+Résultats!G$37*Données!G566+Résultats!G$38*Données!H566+Résultats!G$39*Données!I566</f>
        <v>101950.38863057274</v>
      </c>
      <c r="M566">
        <f t="shared" si="32"/>
        <v>-26950.388630572736</v>
      </c>
      <c r="Q566">
        <v>170000</v>
      </c>
      <c r="R566">
        <v>1</v>
      </c>
      <c r="S566">
        <v>37</v>
      </c>
      <c r="T566">
        <v>0</v>
      </c>
      <c r="U566">
        <f t="shared" si="33"/>
        <v>12.384218830913648</v>
      </c>
      <c r="V566">
        <f t="shared" si="34"/>
        <v>8.6048377012682842</v>
      </c>
      <c r="W566">
        <v>0</v>
      </c>
      <c r="X566">
        <v>0</v>
      </c>
      <c r="Y566">
        <v>0</v>
      </c>
      <c r="Z566">
        <f>'Résultat (Ln)'!F$30+'Résultat (Ln)'!F$31*Données!S566+'Résultat (Ln)'!F$32*Données!T566+'Résultat (Ln)'!F$33*Données!U566+'Résultat (Ln)'!F$34*Données!V566+'Résultat (Ln)'!F$35*Données!W566+'Résultat (Ln)'!F$36*Données!X566+'Résultat (Ln)'!F$37*Données!Y566</f>
        <v>184248.3377286318</v>
      </c>
      <c r="AA566">
        <f t="shared" si="35"/>
        <v>-14248.337728631799</v>
      </c>
    </row>
    <row r="567" spans="1:27" x14ac:dyDescent="0.25">
      <c r="A567">
        <v>165000</v>
      </c>
      <c r="B567">
        <v>1</v>
      </c>
      <c r="C567">
        <v>53</v>
      </c>
      <c r="D567">
        <v>0</v>
      </c>
      <c r="E567">
        <v>245000</v>
      </c>
      <c r="F567">
        <v>4523</v>
      </c>
      <c r="G567">
        <v>1</v>
      </c>
      <c r="H567">
        <v>0</v>
      </c>
      <c r="I567">
        <v>0</v>
      </c>
      <c r="J567">
        <v>30</v>
      </c>
      <c r="K567">
        <v>1</v>
      </c>
      <c r="L567">
        <f>Résultats!G$32+Résultats!G$33*Données!C567+Résultats!G$34*Données!D567+Résultats!G$35*Données!E567+Résultats!G$36*Données!F567+Résultats!G$37*Données!G567+Résultats!G$38*Données!H567+Résultats!G$39*Données!I567</f>
        <v>187625.91765027924</v>
      </c>
      <c r="M567">
        <f t="shared" si="32"/>
        <v>-22625.91765027924</v>
      </c>
      <c r="Q567">
        <v>75000</v>
      </c>
      <c r="R567">
        <v>1</v>
      </c>
      <c r="S567">
        <v>13</v>
      </c>
      <c r="T567">
        <v>0</v>
      </c>
      <c r="U567">
        <f t="shared" si="33"/>
        <v>11.849397701591441</v>
      </c>
      <c r="V567">
        <f t="shared" si="34"/>
        <v>9.1402397442966929</v>
      </c>
      <c r="W567">
        <v>1</v>
      </c>
      <c r="X567">
        <v>0</v>
      </c>
      <c r="Y567">
        <v>0</v>
      </c>
      <c r="Z567">
        <f>'Résultat (Ln)'!F$30+'Résultat (Ln)'!F$31*Données!S567+'Résultat (Ln)'!F$32*Données!T567+'Résultat (Ln)'!F$33*Données!U567+'Résultat (Ln)'!F$34*Données!V567+'Résultat (Ln)'!F$35*Données!W567+'Résultat (Ln)'!F$36*Données!X567+'Résultat (Ln)'!F$37*Données!Y567</f>
        <v>117118.70625800015</v>
      </c>
      <c r="AA567">
        <f t="shared" si="35"/>
        <v>-42118.706258000151</v>
      </c>
    </row>
    <row r="568" spans="1:27" x14ac:dyDescent="0.25">
      <c r="A568">
        <v>182000</v>
      </c>
      <c r="B568">
        <v>1</v>
      </c>
      <c r="C568">
        <v>38.599998474121087</v>
      </c>
      <c r="D568">
        <v>0</v>
      </c>
      <c r="E568">
        <v>227000</v>
      </c>
      <c r="F568">
        <v>3707</v>
      </c>
      <c r="G568">
        <v>1</v>
      </c>
      <c r="H568">
        <v>0</v>
      </c>
      <c r="I568">
        <v>0</v>
      </c>
      <c r="J568">
        <v>28</v>
      </c>
      <c r="K568">
        <v>1</v>
      </c>
      <c r="L568">
        <f>Résultats!G$32+Résultats!G$33*Données!C568+Résultats!G$34*Données!D568+Résultats!G$35*Données!E568+Résultats!G$36*Données!F568+Résultats!G$37*Données!G568+Résultats!G$38*Données!H568+Résultats!G$39*Données!I568</f>
        <v>161098.66911168807</v>
      </c>
      <c r="M568">
        <f t="shared" si="32"/>
        <v>20901.330888311932</v>
      </c>
      <c r="Q568">
        <v>165000</v>
      </c>
      <c r="R568">
        <v>1</v>
      </c>
      <c r="S568">
        <v>53</v>
      </c>
      <c r="T568">
        <v>0</v>
      </c>
      <c r="U568">
        <f t="shared" si="33"/>
        <v>12.409013489526863</v>
      </c>
      <c r="V568">
        <f t="shared" si="34"/>
        <v>8.4169307694778439</v>
      </c>
      <c r="W568">
        <v>1</v>
      </c>
      <c r="X568">
        <v>0</v>
      </c>
      <c r="Y568">
        <v>0</v>
      </c>
      <c r="Z568">
        <f>'Résultat (Ln)'!F$30+'Résultat (Ln)'!F$31*Données!S568+'Résultat (Ln)'!F$32*Données!T568+'Résultat (Ln)'!F$33*Données!U568+'Résultat (Ln)'!F$34*Données!V568+'Résultat (Ln)'!F$35*Données!W568+'Résultat (Ln)'!F$36*Données!X568+'Résultat (Ln)'!F$37*Données!Y568</f>
        <v>205702.90268728937</v>
      </c>
      <c r="AA568">
        <f t="shared" si="35"/>
        <v>-40702.902687289374</v>
      </c>
    </row>
    <row r="569" spans="1:27" x14ac:dyDescent="0.25">
      <c r="A569">
        <v>100000</v>
      </c>
      <c r="B569">
        <v>1</v>
      </c>
      <c r="C569">
        <v>20</v>
      </c>
      <c r="D569">
        <v>0</v>
      </c>
      <c r="E569">
        <v>125000</v>
      </c>
      <c r="F569">
        <v>5000</v>
      </c>
      <c r="G569">
        <v>1</v>
      </c>
      <c r="H569">
        <v>0</v>
      </c>
      <c r="I569">
        <v>0</v>
      </c>
      <c r="J569">
        <v>19</v>
      </c>
      <c r="K569">
        <v>1</v>
      </c>
      <c r="L569">
        <f>Résultats!G$32+Résultats!G$33*Données!C569+Résultats!G$34*Données!D569+Résultats!G$35*Données!E569+Résultats!G$36*Données!F569+Résultats!G$37*Données!G569+Résultats!G$38*Données!H569+Résultats!G$39*Données!I569</f>
        <v>94609.727472145169</v>
      </c>
      <c r="M569">
        <f t="shared" si="32"/>
        <v>5390.2725278548314</v>
      </c>
      <c r="Q569">
        <v>182000</v>
      </c>
      <c r="R569">
        <v>1</v>
      </c>
      <c r="S569">
        <v>38.599998474121087</v>
      </c>
      <c r="T569">
        <v>0</v>
      </c>
      <c r="U569">
        <f t="shared" si="33"/>
        <v>12.332705296463539</v>
      </c>
      <c r="V569">
        <f t="shared" si="34"/>
        <v>8.2179782031507322</v>
      </c>
      <c r="W569">
        <v>1</v>
      </c>
      <c r="X569">
        <v>0</v>
      </c>
      <c r="Y569">
        <v>0</v>
      </c>
      <c r="Z569">
        <f>'Résultat (Ln)'!F$30+'Résultat (Ln)'!F$31*Données!S569+'Résultat (Ln)'!F$32*Données!T569+'Résultat (Ln)'!F$33*Données!U569+'Résultat (Ln)'!F$34*Données!V569+'Résultat (Ln)'!F$35*Données!W569+'Résultat (Ln)'!F$36*Données!X569+'Résultat (Ln)'!F$37*Données!Y569</f>
        <v>174345.82841778451</v>
      </c>
      <c r="AA569">
        <f t="shared" si="35"/>
        <v>7654.1715822154947</v>
      </c>
    </row>
    <row r="570" spans="1:27" x14ac:dyDescent="0.25">
      <c r="A570">
        <v>171000</v>
      </c>
      <c r="B570">
        <v>1</v>
      </c>
      <c r="C570">
        <v>33</v>
      </c>
      <c r="D570">
        <v>0</v>
      </c>
      <c r="E570">
        <v>190000</v>
      </c>
      <c r="F570">
        <v>5076</v>
      </c>
      <c r="G570">
        <v>1</v>
      </c>
      <c r="H570">
        <v>0</v>
      </c>
      <c r="I570">
        <v>0</v>
      </c>
      <c r="J570">
        <v>22</v>
      </c>
      <c r="K570">
        <v>1</v>
      </c>
      <c r="L570">
        <f>Résultats!G$32+Résultats!G$33*Données!C570+Résultats!G$34*Données!D570+Résultats!G$35*Données!E570+Résultats!G$36*Données!F570+Résultats!G$37*Données!G570+Résultats!G$38*Données!H570+Résultats!G$39*Données!I570</f>
        <v>140041.67670419344</v>
      </c>
      <c r="M570">
        <f t="shared" si="32"/>
        <v>30958.323295806564</v>
      </c>
      <c r="Q570">
        <v>100000</v>
      </c>
      <c r="R570">
        <v>1</v>
      </c>
      <c r="S570">
        <v>20</v>
      </c>
      <c r="T570">
        <v>0</v>
      </c>
      <c r="U570">
        <f t="shared" si="33"/>
        <v>11.736069016284437</v>
      </c>
      <c r="V570">
        <f t="shared" si="34"/>
        <v>8.5171931914162382</v>
      </c>
      <c r="W570">
        <v>1</v>
      </c>
      <c r="X570">
        <v>0</v>
      </c>
      <c r="Y570">
        <v>0</v>
      </c>
      <c r="Z570">
        <f>'Résultat (Ln)'!F$30+'Résultat (Ln)'!F$31*Données!S570+'Résultat (Ln)'!F$32*Données!T570+'Résultat (Ln)'!F$33*Données!U570+'Résultat (Ln)'!F$34*Données!V570+'Résultat (Ln)'!F$35*Données!W570+'Résultat (Ln)'!F$36*Données!X570+'Résultat (Ln)'!F$37*Données!Y570</f>
        <v>96050.825856596217</v>
      </c>
      <c r="AA570">
        <f t="shared" si="35"/>
        <v>3949.1741434037831</v>
      </c>
    </row>
    <row r="571" spans="1:27" x14ac:dyDescent="0.25">
      <c r="A571">
        <v>112000</v>
      </c>
      <c r="B571">
        <v>1</v>
      </c>
      <c r="C571">
        <v>38</v>
      </c>
      <c r="D571">
        <v>0</v>
      </c>
      <c r="E571">
        <v>140000</v>
      </c>
      <c r="F571">
        <v>4583</v>
      </c>
      <c r="G571">
        <v>1</v>
      </c>
      <c r="H571">
        <v>0</v>
      </c>
      <c r="I571">
        <v>0</v>
      </c>
      <c r="J571">
        <v>27</v>
      </c>
      <c r="K571">
        <v>0</v>
      </c>
      <c r="L571">
        <f>Résultats!G$32+Résultats!G$33*Données!C571+Résultats!G$34*Données!D571+Résultats!G$35*Données!E571+Résultats!G$36*Données!F571+Résultats!G$37*Données!G571+Résultats!G$38*Données!H571+Résultats!G$39*Données!I571</f>
        <v>121482.03599483348</v>
      </c>
      <c r="M571">
        <f t="shared" si="32"/>
        <v>-9482.0359948334808</v>
      </c>
      <c r="Q571">
        <v>171000</v>
      </c>
      <c r="R571">
        <v>1</v>
      </c>
      <c r="S571">
        <v>33</v>
      </c>
      <c r="T571">
        <v>0</v>
      </c>
      <c r="U571">
        <f t="shared" si="33"/>
        <v>12.154779351142624</v>
      </c>
      <c r="V571">
        <f t="shared" si="34"/>
        <v>8.5322788288342775</v>
      </c>
      <c r="W571">
        <v>1</v>
      </c>
      <c r="X571">
        <v>0</v>
      </c>
      <c r="Y571">
        <v>0</v>
      </c>
      <c r="Z571">
        <f>'Résultat (Ln)'!F$30+'Résultat (Ln)'!F$31*Données!S571+'Résultat (Ln)'!F$32*Données!T571+'Résultat (Ln)'!F$33*Données!U571+'Résultat (Ln)'!F$34*Données!V571+'Résultat (Ln)'!F$35*Données!W571+'Résultat (Ln)'!F$36*Données!X571+'Résultat (Ln)'!F$37*Données!Y571</f>
        <v>157244.3386202649</v>
      </c>
      <c r="AA571">
        <f t="shared" si="35"/>
        <v>13755.661379735102</v>
      </c>
    </row>
    <row r="572" spans="1:27" x14ac:dyDescent="0.25">
      <c r="A572">
        <v>129000</v>
      </c>
      <c r="B572">
        <v>1</v>
      </c>
      <c r="C572">
        <v>38</v>
      </c>
      <c r="D572">
        <v>0</v>
      </c>
      <c r="E572">
        <v>161000</v>
      </c>
      <c r="F572">
        <v>2439</v>
      </c>
      <c r="G572">
        <v>1</v>
      </c>
      <c r="H572">
        <v>6</v>
      </c>
      <c r="I572">
        <v>0</v>
      </c>
      <c r="J572">
        <v>25</v>
      </c>
      <c r="K572">
        <v>1</v>
      </c>
      <c r="L572">
        <f>Résultats!G$32+Résultats!G$33*Données!C572+Résultats!G$34*Données!D572+Résultats!G$35*Données!E572+Résultats!G$36*Données!F572+Résultats!G$37*Données!G572+Résultats!G$38*Données!H572+Résultats!G$39*Données!I572</f>
        <v>117381.77964971382</v>
      </c>
      <c r="M572">
        <f t="shared" si="32"/>
        <v>11618.220350286181</v>
      </c>
      <c r="Q572">
        <v>112000</v>
      </c>
      <c r="R572">
        <v>1</v>
      </c>
      <c r="S572">
        <v>38</v>
      </c>
      <c r="T572">
        <v>0</v>
      </c>
      <c r="U572">
        <f t="shared" si="33"/>
        <v>11.849397701591441</v>
      </c>
      <c r="V572">
        <f t="shared" si="34"/>
        <v>8.4301090845091249</v>
      </c>
      <c r="W572">
        <v>1</v>
      </c>
      <c r="X572">
        <v>0</v>
      </c>
      <c r="Y572">
        <v>0</v>
      </c>
      <c r="Z572">
        <f>'Résultat (Ln)'!F$30+'Résultat (Ln)'!F$31*Données!S572+'Résultat (Ln)'!F$32*Données!T572+'Résultat (Ln)'!F$33*Données!U572+'Résultat (Ln)'!F$34*Données!V572+'Résultat (Ln)'!F$35*Données!W572+'Résultat (Ln)'!F$36*Données!X572+'Résultat (Ln)'!F$37*Données!Y572</f>
        <v>127753.55309125876</v>
      </c>
      <c r="AA572">
        <f t="shared" si="35"/>
        <v>-15753.553091258756</v>
      </c>
    </row>
    <row r="573" spans="1:27" x14ac:dyDescent="0.25">
      <c r="A573">
        <v>63000</v>
      </c>
      <c r="B573">
        <v>1</v>
      </c>
      <c r="C573">
        <v>37</v>
      </c>
      <c r="D573">
        <v>1</v>
      </c>
      <c r="E573">
        <v>125000</v>
      </c>
      <c r="F573">
        <v>2237</v>
      </c>
      <c r="G573">
        <v>0</v>
      </c>
      <c r="H573">
        <v>0</v>
      </c>
      <c r="I573">
        <v>1</v>
      </c>
      <c r="J573">
        <v>29</v>
      </c>
      <c r="K573">
        <v>1</v>
      </c>
      <c r="L573">
        <f>Résultats!G$32+Résultats!G$33*Données!C573+Résultats!G$34*Données!D573+Résultats!G$35*Données!E573+Résultats!G$36*Données!F573+Résultats!G$37*Données!G573+Résultats!G$38*Données!H573+Résultats!G$39*Données!I573</f>
        <v>116540.10451677401</v>
      </c>
      <c r="M573">
        <f t="shared" si="32"/>
        <v>-53540.104516774009</v>
      </c>
      <c r="Q573">
        <v>129000</v>
      </c>
      <c r="R573">
        <v>1</v>
      </c>
      <c r="S573">
        <v>38</v>
      </c>
      <c r="T573">
        <v>0</v>
      </c>
      <c r="U573">
        <f t="shared" si="33"/>
        <v>11.9891596439666</v>
      </c>
      <c r="V573">
        <f t="shared" si="34"/>
        <v>7.7993433982159202</v>
      </c>
      <c r="W573">
        <v>1</v>
      </c>
      <c r="X573">
        <v>6</v>
      </c>
      <c r="Y573">
        <v>0</v>
      </c>
      <c r="Z573">
        <f>'Résultat (Ln)'!F$30+'Résultat (Ln)'!F$31*Données!S573+'Résultat (Ln)'!F$32*Données!T573+'Résultat (Ln)'!F$33*Données!U573+'Résultat (Ln)'!F$34*Données!V573+'Résultat (Ln)'!F$35*Données!W573+'Résultat (Ln)'!F$36*Données!X573+'Résultat (Ln)'!F$37*Données!Y573</f>
        <v>123979.85543297871</v>
      </c>
      <c r="AA573">
        <f t="shared" si="35"/>
        <v>5020.1445670212852</v>
      </c>
    </row>
    <row r="574" spans="1:27" x14ac:dyDescent="0.25">
      <c r="A574">
        <v>200000</v>
      </c>
      <c r="B574">
        <v>1</v>
      </c>
      <c r="C574">
        <v>31</v>
      </c>
      <c r="D574">
        <v>0</v>
      </c>
      <c r="E574">
        <v>335000</v>
      </c>
      <c r="F574">
        <v>8000</v>
      </c>
      <c r="G574">
        <v>1</v>
      </c>
      <c r="H574">
        <v>0</v>
      </c>
      <c r="I574">
        <v>1</v>
      </c>
      <c r="J574">
        <v>25</v>
      </c>
      <c r="K574">
        <v>1</v>
      </c>
      <c r="L574">
        <f>Résultats!G$32+Résultats!G$33*Données!C574+Résultats!G$34*Données!D574+Résultats!G$35*Données!E574+Résultats!G$36*Données!F574+Résultats!G$37*Données!G574+Résultats!G$38*Données!H574+Résultats!G$39*Données!I574</f>
        <v>221044.1070179267</v>
      </c>
      <c r="M574">
        <f t="shared" si="32"/>
        <v>-21044.107017926697</v>
      </c>
      <c r="Q574">
        <v>63000</v>
      </c>
      <c r="R574">
        <v>1</v>
      </c>
      <c r="S574">
        <v>37</v>
      </c>
      <c r="T574">
        <v>1</v>
      </c>
      <c r="U574">
        <f t="shared" si="33"/>
        <v>11.736069016284437</v>
      </c>
      <c r="V574">
        <f t="shared" si="34"/>
        <v>7.71289096149013</v>
      </c>
      <c r="W574">
        <v>0</v>
      </c>
      <c r="X574">
        <v>0</v>
      </c>
      <c r="Y574">
        <v>1</v>
      </c>
      <c r="Z574">
        <f>'Résultat (Ln)'!F$30+'Résultat (Ln)'!F$31*Données!S574+'Résultat (Ln)'!F$32*Données!T574+'Résultat (Ln)'!F$33*Données!U574+'Résultat (Ln)'!F$34*Données!V574+'Résultat (Ln)'!F$35*Données!W574+'Résultat (Ln)'!F$36*Données!X574+'Résultat (Ln)'!F$37*Données!Y574</f>
        <v>108189.94063592315</v>
      </c>
      <c r="AA574">
        <f t="shared" si="35"/>
        <v>-45189.940635923151</v>
      </c>
    </row>
    <row r="575" spans="1:27" x14ac:dyDescent="0.25">
      <c r="A575">
        <v>95000</v>
      </c>
      <c r="B575">
        <v>1</v>
      </c>
      <c r="C575">
        <v>33.099998474121087</v>
      </c>
      <c r="D575">
        <v>0</v>
      </c>
      <c r="E575">
        <v>106000</v>
      </c>
      <c r="F575">
        <v>1820</v>
      </c>
      <c r="G575">
        <v>1</v>
      </c>
      <c r="H575">
        <v>0</v>
      </c>
      <c r="I575">
        <v>0</v>
      </c>
      <c r="J575">
        <v>25.39999961853027</v>
      </c>
      <c r="K575">
        <v>1</v>
      </c>
      <c r="L575">
        <f>Résultats!G$32+Résultats!G$33*Données!C575+Résultats!G$34*Données!D575+Résultats!G$35*Données!E575+Résultats!G$36*Données!F575+Résultats!G$37*Données!G575+Résultats!G$38*Données!H575+Résultats!G$39*Données!I575</f>
        <v>94623.031757972276</v>
      </c>
      <c r="M575">
        <f t="shared" si="32"/>
        <v>376.96824202772405</v>
      </c>
      <c r="Q575">
        <v>200000</v>
      </c>
      <c r="R575">
        <v>1</v>
      </c>
      <c r="S575">
        <v>31</v>
      </c>
      <c r="T575">
        <v>0</v>
      </c>
      <c r="U575">
        <f t="shared" si="33"/>
        <v>12.721885810807203</v>
      </c>
      <c r="V575">
        <f t="shared" si="34"/>
        <v>8.987196820661973</v>
      </c>
      <c r="W575">
        <v>1</v>
      </c>
      <c r="X575">
        <v>0</v>
      </c>
      <c r="Y575">
        <v>1</v>
      </c>
      <c r="Z575">
        <f>'Résultat (Ln)'!F$30+'Résultat (Ln)'!F$31*Données!S575+'Résultat (Ln)'!F$32*Données!T575+'Résultat (Ln)'!F$33*Données!U575+'Résultat (Ln)'!F$34*Données!V575+'Résultat (Ln)'!F$35*Données!W575+'Résultat (Ln)'!F$36*Données!X575+'Résultat (Ln)'!F$37*Données!Y575</f>
        <v>242437.02152522159</v>
      </c>
      <c r="AA575">
        <f t="shared" si="35"/>
        <v>-42437.021525221586</v>
      </c>
    </row>
    <row r="576" spans="1:27" x14ac:dyDescent="0.25">
      <c r="A576">
        <v>300000</v>
      </c>
      <c r="B576">
        <v>1</v>
      </c>
      <c r="C576">
        <v>28.89999961853027</v>
      </c>
      <c r="D576">
        <v>0</v>
      </c>
      <c r="E576">
        <v>425000</v>
      </c>
      <c r="F576">
        <v>6250</v>
      </c>
      <c r="G576">
        <v>1</v>
      </c>
      <c r="H576">
        <v>0</v>
      </c>
      <c r="I576">
        <v>0</v>
      </c>
      <c r="J576">
        <v>28.45999908447266</v>
      </c>
      <c r="K576">
        <v>1</v>
      </c>
      <c r="L576">
        <f>Résultats!G$32+Résultats!G$33*Données!C576+Résultats!G$34*Données!D576+Résultats!G$35*Données!E576+Résultats!G$36*Données!F576+Résultats!G$37*Données!G576+Résultats!G$38*Données!H576+Résultats!G$39*Données!I576</f>
        <v>247341.1082170908</v>
      </c>
      <c r="M576">
        <f t="shared" si="32"/>
        <v>52658.891782909195</v>
      </c>
      <c r="Q576">
        <v>95000</v>
      </c>
      <c r="R576">
        <v>1</v>
      </c>
      <c r="S576">
        <v>33.099998474121087</v>
      </c>
      <c r="T576">
        <v>0</v>
      </c>
      <c r="U576">
        <f t="shared" si="33"/>
        <v>11.571194373094205</v>
      </c>
      <c r="V576">
        <f t="shared" si="34"/>
        <v>7.506591780070841</v>
      </c>
      <c r="W576">
        <v>1</v>
      </c>
      <c r="X576">
        <v>0</v>
      </c>
      <c r="Y576">
        <v>0</v>
      </c>
      <c r="Z576">
        <f>'Résultat (Ln)'!F$30+'Résultat (Ln)'!F$31*Données!S576+'Résultat (Ln)'!F$32*Données!T576+'Résultat (Ln)'!F$33*Données!U576+'Résultat (Ln)'!F$34*Données!V576+'Résultat (Ln)'!F$35*Données!W576+'Résultat (Ln)'!F$36*Données!X576+'Résultat (Ln)'!F$37*Données!Y576</f>
        <v>66042.612062918182</v>
      </c>
      <c r="AA576">
        <f t="shared" si="35"/>
        <v>28957.387937081818</v>
      </c>
    </row>
    <row r="577" spans="1:27" x14ac:dyDescent="0.25">
      <c r="A577">
        <v>112000</v>
      </c>
      <c r="B577">
        <v>1</v>
      </c>
      <c r="C577">
        <v>27</v>
      </c>
      <c r="D577">
        <v>0</v>
      </c>
      <c r="E577">
        <v>140000</v>
      </c>
      <c r="F577">
        <v>4120</v>
      </c>
      <c r="G577">
        <v>0</v>
      </c>
      <c r="H577">
        <v>0</v>
      </c>
      <c r="I577">
        <v>0</v>
      </c>
      <c r="J577">
        <v>17</v>
      </c>
      <c r="K577">
        <v>1</v>
      </c>
      <c r="L577">
        <f>Résultats!G$32+Résultats!G$33*Données!C577+Résultats!G$34*Données!D577+Résultats!G$35*Données!E577+Résultats!G$36*Données!F577+Résultats!G$37*Données!G577+Résultats!G$38*Données!H577+Résultats!G$39*Données!I577</f>
        <v>100932.84779314483</v>
      </c>
      <c r="M577">
        <f t="shared" si="32"/>
        <v>11067.152206855171</v>
      </c>
      <c r="Q577">
        <v>300000</v>
      </c>
      <c r="R577">
        <v>1</v>
      </c>
      <c r="S577">
        <v>28.89999961853027</v>
      </c>
      <c r="T577">
        <v>0</v>
      </c>
      <c r="U577">
        <f t="shared" si="33"/>
        <v>12.959844447906553</v>
      </c>
      <c r="V577">
        <f t="shared" si="34"/>
        <v>8.740336742730447</v>
      </c>
      <c r="W577">
        <v>1</v>
      </c>
      <c r="X577">
        <v>0</v>
      </c>
      <c r="Y577">
        <v>0</v>
      </c>
      <c r="Z577">
        <f>'Résultat (Ln)'!F$30+'Résultat (Ln)'!F$31*Données!S577+'Résultat (Ln)'!F$32*Données!T577+'Résultat (Ln)'!F$33*Données!U577+'Résultat (Ln)'!F$34*Données!V577+'Résultat (Ln)'!F$35*Données!W577+'Résultat (Ln)'!F$36*Données!X577+'Résultat (Ln)'!F$37*Données!Y577</f>
        <v>244368.52836699312</v>
      </c>
      <c r="AA577">
        <f t="shared" si="35"/>
        <v>55631.471633006877</v>
      </c>
    </row>
    <row r="578" spans="1:27" x14ac:dyDescent="0.25">
      <c r="A578">
        <v>108000</v>
      </c>
      <c r="B578">
        <v>1</v>
      </c>
      <c r="C578">
        <v>28</v>
      </c>
      <c r="D578">
        <v>0</v>
      </c>
      <c r="E578">
        <v>120000</v>
      </c>
      <c r="F578">
        <v>4742</v>
      </c>
      <c r="G578">
        <v>0</v>
      </c>
      <c r="H578">
        <v>0</v>
      </c>
      <c r="I578">
        <v>0</v>
      </c>
      <c r="J578">
        <v>23</v>
      </c>
      <c r="K578">
        <v>0</v>
      </c>
      <c r="L578">
        <f>Résultats!G$32+Résultats!G$33*Données!C578+Résultats!G$34*Données!D578+Résultats!G$35*Données!E578+Résultats!G$36*Données!F578+Résultats!G$37*Données!G578+Résultats!G$38*Données!H578+Résultats!G$39*Données!I578</f>
        <v>93947.756540310278</v>
      </c>
      <c r="M578">
        <f t="shared" si="32"/>
        <v>14052.243459689722</v>
      </c>
      <c r="Q578">
        <v>112000</v>
      </c>
      <c r="R578">
        <v>1</v>
      </c>
      <c r="S578">
        <v>27</v>
      </c>
      <c r="T578">
        <v>0</v>
      </c>
      <c r="U578">
        <f t="shared" si="33"/>
        <v>11.849397701591441</v>
      </c>
      <c r="V578">
        <f t="shared" si="34"/>
        <v>8.3236084423435717</v>
      </c>
      <c r="W578">
        <v>0</v>
      </c>
      <c r="X578">
        <v>0</v>
      </c>
      <c r="Y578">
        <v>0</v>
      </c>
      <c r="Z578">
        <f>'Résultat (Ln)'!F$30+'Résultat (Ln)'!F$31*Données!S578+'Résultat (Ln)'!F$32*Données!T578+'Résultat (Ln)'!F$33*Données!U578+'Résultat (Ln)'!F$34*Données!V578+'Résultat (Ln)'!F$35*Données!W578+'Résultat (Ln)'!F$36*Données!X578+'Résultat (Ln)'!F$37*Données!Y578</f>
        <v>106810.17661126069</v>
      </c>
      <c r="AA578">
        <f t="shared" si="35"/>
        <v>5189.8233887393144</v>
      </c>
    </row>
    <row r="579" spans="1:27" x14ac:dyDescent="0.25">
      <c r="A579">
        <v>700000</v>
      </c>
      <c r="B579">
        <v>1</v>
      </c>
      <c r="C579">
        <v>21.60000038146973</v>
      </c>
      <c r="D579">
        <v>0</v>
      </c>
      <c r="E579">
        <v>1345000</v>
      </c>
      <c r="F579">
        <v>51763</v>
      </c>
      <c r="G579">
        <v>1</v>
      </c>
      <c r="H579">
        <v>0</v>
      </c>
      <c r="I579">
        <v>1</v>
      </c>
      <c r="J579">
        <v>13.30000019073486</v>
      </c>
      <c r="K579">
        <v>1</v>
      </c>
      <c r="L579">
        <f>Résultats!G$32+Résultats!G$33*Données!C579+Résultats!G$34*Données!D579+Résultats!G$35*Données!E579+Résultats!G$36*Données!F579+Résultats!G$37*Données!G579+Résultats!G$38*Données!H579+Résultats!G$39*Données!I579</f>
        <v>766672.79573932127</v>
      </c>
      <c r="M579">
        <f t="shared" ref="M579:M642" si="36">A579-L579</f>
        <v>-66672.795739321271</v>
      </c>
      <c r="Q579">
        <v>108000</v>
      </c>
      <c r="R579">
        <v>1</v>
      </c>
      <c r="S579">
        <v>28</v>
      </c>
      <c r="T579">
        <v>0</v>
      </c>
      <c r="U579">
        <f t="shared" si="33"/>
        <v>11.695247021764184</v>
      </c>
      <c r="V579">
        <f t="shared" si="34"/>
        <v>8.4642142666253513</v>
      </c>
      <c r="W579">
        <v>0</v>
      </c>
      <c r="X579">
        <v>0</v>
      </c>
      <c r="Y579">
        <v>0</v>
      </c>
      <c r="Z579">
        <f>'Résultat (Ln)'!F$30+'Résultat (Ln)'!F$31*Données!S579+'Résultat (Ln)'!F$32*Données!T579+'Résultat (Ln)'!F$33*Données!U579+'Résultat (Ln)'!F$34*Données!V579+'Résultat (Ln)'!F$35*Données!W579+'Résultat (Ln)'!F$36*Données!X579+'Résultat (Ln)'!F$37*Données!Y579</f>
        <v>95451.349973414559</v>
      </c>
      <c r="AA579">
        <f t="shared" si="35"/>
        <v>12548.650026585441</v>
      </c>
    </row>
    <row r="580" spans="1:27" x14ac:dyDescent="0.25">
      <c r="A580">
        <v>81000</v>
      </c>
      <c r="B580">
        <v>1</v>
      </c>
      <c r="C580">
        <v>26</v>
      </c>
      <c r="D580">
        <v>0</v>
      </c>
      <c r="E580">
        <v>90000</v>
      </c>
      <c r="F580">
        <v>3522</v>
      </c>
      <c r="G580">
        <v>1</v>
      </c>
      <c r="H580">
        <v>0</v>
      </c>
      <c r="I580">
        <v>0</v>
      </c>
      <c r="J580">
        <v>26</v>
      </c>
      <c r="K580">
        <v>1</v>
      </c>
      <c r="L580">
        <f>Résultats!G$32+Résultats!G$33*Données!C580+Résultats!G$34*Données!D580+Résultats!G$35*Données!E580+Résultats!G$36*Données!F580+Résultats!G$37*Données!G580+Résultats!G$38*Données!H580+Résultats!G$39*Données!I580</f>
        <v>82294.335616722747</v>
      </c>
      <c r="M580">
        <f t="shared" si="36"/>
        <v>-1294.3356167227466</v>
      </c>
      <c r="Q580">
        <v>700000</v>
      </c>
      <c r="R580">
        <v>1</v>
      </c>
      <c r="S580">
        <v>21.60000038146973</v>
      </c>
      <c r="T580">
        <v>0</v>
      </c>
      <c r="U580">
        <f t="shared" ref="U580:U643" si="37">LN(E579)</f>
        <v>14.111904571018076</v>
      </c>
      <c r="V580">
        <f t="shared" ref="V580:V643" si="38">LN(F579)</f>
        <v>10.854430887309706</v>
      </c>
      <c r="W580">
        <v>1</v>
      </c>
      <c r="X580">
        <v>0</v>
      </c>
      <c r="Y580">
        <v>1</v>
      </c>
      <c r="Z580">
        <f>'Résultat (Ln)'!F$30+'Résultat (Ln)'!F$31*Données!S580+'Résultat (Ln)'!F$32*Données!T580+'Résultat (Ln)'!F$33*Données!U580+'Résultat (Ln)'!F$34*Données!V580+'Résultat (Ln)'!F$35*Données!W580+'Résultat (Ln)'!F$36*Données!X580+'Résultat (Ln)'!F$37*Données!Y580</f>
        <v>432321.74506594299</v>
      </c>
      <c r="AA580">
        <f t="shared" ref="AA580:AA643" si="39">Q580-Z580</f>
        <v>267678.25493405701</v>
      </c>
    </row>
    <row r="581" spans="1:27" x14ac:dyDescent="0.25">
      <c r="A581">
        <v>93000</v>
      </c>
      <c r="B581">
        <v>1</v>
      </c>
      <c r="C581">
        <v>39</v>
      </c>
      <c r="D581">
        <v>0</v>
      </c>
      <c r="E581">
        <v>183000</v>
      </c>
      <c r="F581">
        <v>4082</v>
      </c>
      <c r="G581">
        <v>1</v>
      </c>
      <c r="H581">
        <v>0</v>
      </c>
      <c r="I581">
        <v>0</v>
      </c>
      <c r="J581">
        <v>23</v>
      </c>
      <c r="K581">
        <v>1</v>
      </c>
      <c r="L581">
        <f>Résultats!G$32+Résultats!G$33*Données!C581+Résultats!G$34*Données!D581+Résultats!G$35*Données!E581+Résultats!G$36*Données!F581+Résultats!G$37*Données!G581+Résultats!G$38*Données!H581+Résultats!G$39*Données!I581</f>
        <v>141738.86545663021</v>
      </c>
      <c r="M581">
        <f t="shared" si="36"/>
        <v>-48738.865456630214</v>
      </c>
      <c r="Q581">
        <v>81000</v>
      </c>
      <c r="R581">
        <v>1</v>
      </c>
      <c r="S581">
        <v>26</v>
      </c>
      <c r="T581">
        <v>0</v>
      </c>
      <c r="U581">
        <f t="shared" si="37"/>
        <v>11.407564949312402</v>
      </c>
      <c r="V581">
        <f t="shared" si="38"/>
        <v>8.1667842890561513</v>
      </c>
      <c r="W581">
        <v>1</v>
      </c>
      <c r="X581">
        <v>0</v>
      </c>
      <c r="Y581">
        <v>0</v>
      </c>
      <c r="Z581">
        <f>'Résultat (Ln)'!F$30+'Résultat (Ln)'!F$31*Données!S581+'Résultat (Ln)'!F$32*Données!T581+'Résultat (Ln)'!F$33*Données!U581+'Résultat (Ln)'!F$34*Données!V581+'Résultat (Ln)'!F$35*Données!W581+'Résultat (Ln)'!F$36*Données!X581+'Résultat (Ln)'!F$37*Données!Y581</f>
        <v>58341.396653785567</v>
      </c>
      <c r="AA581">
        <f t="shared" si="39"/>
        <v>22658.603346214433</v>
      </c>
    </row>
    <row r="582" spans="1:27" x14ac:dyDescent="0.25">
      <c r="A582">
        <v>90000</v>
      </c>
      <c r="B582">
        <v>1</v>
      </c>
      <c r="C582">
        <v>24.10000038146973</v>
      </c>
      <c r="D582">
        <v>0</v>
      </c>
      <c r="E582">
        <v>124000</v>
      </c>
      <c r="F582">
        <v>4063</v>
      </c>
      <c r="G582">
        <v>0</v>
      </c>
      <c r="H582">
        <v>0</v>
      </c>
      <c r="I582">
        <v>0</v>
      </c>
      <c r="J582">
        <v>23.60000038146973</v>
      </c>
      <c r="K582">
        <v>0</v>
      </c>
      <c r="L582">
        <f>Résultats!G$32+Résultats!G$33*Données!C582+Résultats!G$34*Données!D582+Résultats!G$35*Données!E582+Résultats!G$36*Données!F582+Résultats!G$37*Données!G582+Résultats!G$38*Données!H582+Résultats!G$39*Données!I582</f>
        <v>90019.997953276383</v>
      </c>
      <c r="M582">
        <f t="shared" si="36"/>
        <v>-19.997953276382759</v>
      </c>
      <c r="Q582">
        <v>93000</v>
      </c>
      <c r="R582">
        <v>1</v>
      </c>
      <c r="S582">
        <v>39</v>
      </c>
      <c r="T582">
        <v>0</v>
      </c>
      <c r="U582">
        <f t="shared" si="37"/>
        <v>12.117241431823558</v>
      </c>
      <c r="V582">
        <f t="shared" si="38"/>
        <v>8.3143423433697894</v>
      </c>
      <c r="W582">
        <v>1</v>
      </c>
      <c r="X582">
        <v>0</v>
      </c>
      <c r="Y582">
        <v>0</v>
      </c>
      <c r="Z582">
        <f>'Résultat (Ln)'!F$30+'Résultat (Ln)'!F$31*Données!S582+'Résultat (Ln)'!F$32*Données!T582+'Résultat (Ln)'!F$33*Données!U582+'Résultat (Ln)'!F$34*Données!V582+'Résultat (Ln)'!F$35*Données!W582+'Résultat (Ln)'!F$36*Données!X582+'Résultat (Ln)'!F$37*Données!Y582</f>
        <v>154440.48438185794</v>
      </c>
      <c r="AA582">
        <f t="shared" si="39"/>
        <v>-61440.484381857939</v>
      </c>
    </row>
    <row r="583" spans="1:27" x14ac:dyDescent="0.25">
      <c r="A583">
        <v>102000</v>
      </c>
      <c r="B583">
        <v>1</v>
      </c>
      <c r="C583">
        <v>37</v>
      </c>
      <c r="D583">
        <v>0</v>
      </c>
      <c r="E583">
        <v>113000</v>
      </c>
      <c r="F583">
        <v>3417</v>
      </c>
      <c r="G583">
        <v>0</v>
      </c>
      <c r="H583">
        <v>0</v>
      </c>
      <c r="I583">
        <v>1</v>
      </c>
      <c r="J583">
        <v>28</v>
      </c>
      <c r="K583">
        <v>0</v>
      </c>
      <c r="L583">
        <f>Résultats!G$32+Résultats!G$33*Données!C583+Résultats!G$34*Données!D583+Résultats!G$35*Données!E583+Résultats!G$36*Données!F583+Résultats!G$37*Données!G583+Résultats!G$38*Données!H583+Résultats!G$39*Données!I583</f>
        <v>108375.00566900388</v>
      </c>
      <c r="M583">
        <f t="shared" si="36"/>
        <v>-6375.0056690038764</v>
      </c>
      <c r="Q583">
        <v>90000</v>
      </c>
      <c r="R583">
        <v>1</v>
      </c>
      <c r="S583">
        <v>24.10000038146973</v>
      </c>
      <c r="T583">
        <v>0</v>
      </c>
      <c r="U583">
        <f t="shared" si="37"/>
        <v>11.728036844587175</v>
      </c>
      <c r="V583">
        <f t="shared" si="38"/>
        <v>8.3096768959877263</v>
      </c>
      <c r="W583">
        <v>0</v>
      </c>
      <c r="X583">
        <v>0</v>
      </c>
      <c r="Y583">
        <v>0</v>
      </c>
      <c r="Z583">
        <f>'Résultat (Ln)'!F$30+'Résultat (Ln)'!F$31*Données!S583+'Résultat (Ln)'!F$32*Données!T583+'Résultat (Ln)'!F$33*Données!U583+'Résultat (Ln)'!F$34*Données!V583+'Résultat (Ln)'!F$35*Données!W583+'Résultat (Ln)'!F$36*Données!X583+'Résultat (Ln)'!F$37*Données!Y583</f>
        <v>89866.191198335611</v>
      </c>
      <c r="AA583">
        <f t="shared" si="39"/>
        <v>133.80880166438874</v>
      </c>
    </row>
    <row r="584" spans="1:27" x14ac:dyDescent="0.25">
      <c r="A584">
        <v>110000</v>
      </c>
      <c r="B584">
        <v>1</v>
      </c>
      <c r="C584">
        <v>38.400001525878913</v>
      </c>
      <c r="D584">
        <v>0</v>
      </c>
      <c r="E584">
        <v>110000</v>
      </c>
      <c r="F584">
        <v>3640</v>
      </c>
      <c r="G584">
        <v>1</v>
      </c>
      <c r="H584">
        <v>0</v>
      </c>
      <c r="I584">
        <v>1</v>
      </c>
      <c r="J584">
        <v>30.29999923706055</v>
      </c>
      <c r="K584">
        <v>1</v>
      </c>
      <c r="L584">
        <f>Résultats!G$32+Résultats!G$33*Données!C584+Résultats!G$34*Données!D584+Résultats!G$35*Données!E584+Résultats!G$36*Données!F584+Résultats!G$37*Données!G584+Résultats!G$38*Données!H584+Résultats!G$39*Données!I584</f>
        <v>116031.03121009495</v>
      </c>
      <c r="M584">
        <f t="shared" si="36"/>
        <v>-6031.0312100949523</v>
      </c>
      <c r="Q584">
        <v>102000</v>
      </c>
      <c r="R584">
        <v>1</v>
      </c>
      <c r="S584">
        <v>37</v>
      </c>
      <c r="T584">
        <v>0</v>
      </c>
      <c r="U584">
        <f t="shared" si="37"/>
        <v>11.635143097694478</v>
      </c>
      <c r="V584">
        <f t="shared" si="38"/>
        <v>8.136518252115291</v>
      </c>
      <c r="W584">
        <v>0</v>
      </c>
      <c r="X584">
        <v>0</v>
      </c>
      <c r="Y584">
        <v>1</v>
      </c>
      <c r="Z584">
        <f>'Résultat (Ln)'!F$30+'Résultat (Ln)'!F$31*Données!S584+'Résultat (Ln)'!F$32*Données!T584+'Résultat (Ln)'!F$33*Données!U584+'Résultat (Ln)'!F$34*Données!V584+'Résultat (Ln)'!F$35*Données!W584+'Résultat (Ln)'!F$36*Données!X584+'Résultat (Ln)'!F$37*Données!Y584</f>
        <v>104903.28088494664</v>
      </c>
      <c r="AA584">
        <f t="shared" si="39"/>
        <v>-2903.2808849466383</v>
      </c>
    </row>
    <row r="585" spans="1:27" x14ac:dyDescent="0.25">
      <c r="A585">
        <v>122000</v>
      </c>
      <c r="B585">
        <v>1</v>
      </c>
      <c r="C585">
        <v>24</v>
      </c>
      <c r="D585">
        <v>0</v>
      </c>
      <c r="E585">
        <v>136000</v>
      </c>
      <c r="F585">
        <v>2922</v>
      </c>
      <c r="G585">
        <v>1</v>
      </c>
      <c r="H585">
        <v>0</v>
      </c>
      <c r="I585">
        <v>0</v>
      </c>
      <c r="J585">
        <v>20</v>
      </c>
      <c r="K585">
        <v>0</v>
      </c>
      <c r="L585">
        <f>Résultats!G$32+Résultats!G$33*Données!C585+Résultats!G$34*Données!D585+Résultats!G$35*Données!E585+Résultats!G$36*Données!F585+Résultats!G$37*Données!G585+Résultats!G$38*Données!H585+Résultats!G$39*Données!I585</f>
        <v>100314.17279797432</v>
      </c>
      <c r="M585">
        <f t="shared" si="36"/>
        <v>21685.827202025685</v>
      </c>
      <c r="Q585">
        <v>110000</v>
      </c>
      <c r="R585">
        <v>1</v>
      </c>
      <c r="S585">
        <v>38.400001525878913</v>
      </c>
      <c r="T585">
        <v>0</v>
      </c>
      <c r="U585">
        <f t="shared" si="37"/>
        <v>11.608235644774552</v>
      </c>
      <c r="V585">
        <f t="shared" si="38"/>
        <v>8.1997389606307856</v>
      </c>
      <c r="W585">
        <v>1</v>
      </c>
      <c r="X585">
        <v>0</v>
      </c>
      <c r="Y585">
        <v>1</v>
      </c>
      <c r="Z585">
        <f>'Résultat (Ln)'!F$30+'Résultat (Ln)'!F$31*Données!S585+'Résultat (Ln)'!F$32*Données!T585+'Résultat (Ln)'!F$33*Données!U585+'Résultat (Ln)'!F$34*Données!V585+'Résultat (Ln)'!F$35*Données!W585+'Résultat (Ln)'!F$36*Données!X585+'Résultat (Ln)'!F$37*Données!Y585</f>
        <v>110016.88621158812</v>
      </c>
      <c r="AA585">
        <f t="shared" si="39"/>
        <v>-16.886211588120204</v>
      </c>
    </row>
    <row r="586" spans="1:27" x14ac:dyDescent="0.25">
      <c r="A586">
        <v>137000</v>
      </c>
      <c r="B586">
        <v>1</v>
      </c>
      <c r="C586">
        <v>30</v>
      </c>
      <c r="D586">
        <v>0</v>
      </c>
      <c r="E586">
        <v>227000</v>
      </c>
      <c r="F586">
        <v>5167</v>
      </c>
      <c r="G586">
        <v>1</v>
      </c>
      <c r="H586">
        <v>0</v>
      </c>
      <c r="I586">
        <v>1</v>
      </c>
      <c r="J586">
        <v>23</v>
      </c>
      <c r="K586">
        <v>1</v>
      </c>
      <c r="L586">
        <f>Résultats!G$32+Résultats!G$33*Données!C586+Résultats!G$34*Données!D586+Résultats!G$35*Données!E586+Résultats!G$36*Données!F586+Résultats!G$37*Données!G586+Résultats!G$38*Données!H586+Résultats!G$39*Données!I586</f>
        <v>163974.73201497979</v>
      </c>
      <c r="M586">
        <f t="shared" si="36"/>
        <v>-26974.732014979789</v>
      </c>
      <c r="Q586">
        <v>122000</v>
      </c>
      <c r="R586">
        <v>1</v>
      </c>
      <c r="S586">
        <v>24</v>
      </c>
      <c r="T586">
        <v>0</v>
      </c>
      <c r="U586">
        <f t="shared" si="37"/>
        <v>11.820410164718188</v>
      </c>
      <c r="V586">
        <f t="shared" si="38"/>
        <v>7.9800235923106451</v>
      </c>
      <c r="W586">
        <v>1</v>
      </c>
      <c r="X586">
        <v>0</v>
      </c>
      <c r="Y586">
        <v>0</v>
      </c>
      <c r="Z586">
        <f>'Résultat (Ln)'!F$30+'Résultat (Ln)'!F$31*Données!S586+'Résultat (Ln)'!F$32*Données!T586+'Résultat (Ln)'!F$33*Données!U586+'Résultat (Ln)'!F$34*Données!V586+'Résultat (Ln)'!F$35*Données!W586+'Résultat (Ln)'!F$36*Données!X586+'Résultat (Ln)'!F$37*Données!Y586</f>
        <v>94914.639591409461</v>
      </c>
      <c r="AA586">
        <f t="shared" si="39"/>
        <v>27085.360408590539</v>
      </c>
    </row>
    <row r="587" spans="1:27" x14ac:dyDescent="0.25">
      <c r="A587">
        <v>88000</v>
      </c>
      <c r="B587">
        <v>1</v>
      </c>
      <c r="C587">
        <v>29.29999923706055</v>
      </c>
      <c r="D587">
        <v>0</v>
      </c>
      <c r="E587">
        <v>110000</v>
      </c>
      <c r="F587">
        <v>3170</v>
      </c>
      <c r="G587">
        <v>1</v>
      </c>
      <c r="H587">
        <v>0</v>
      </c>
      <c r="I587">
        <v>0</v>
      </c>
      <c r="J587">
        <v>28.79999923706055</v>
      </c>
      <c r="K587">
        <v>1</v>
      </c>
      <c r="L587">
        <f>Résultats!G$32+Résultats!G$33*Données!C587+Résultats!G$34*Données!D587+Résultats!G$35*Données!E587+Résultats!G$36*Données!F587+Résultats!G$37*Données!G587+Résultats!G$38*Données!H587+Résultats!G$39*Données!I587</f>
        <v>94741.911212151681</v>
      </c>
      <c r="M587">
        <f t="shared" si="36"/>
        <v>-6741.911212151681</v>
      </c>
      <c r="Q587">
        <v>137000</v>
      </c>
      <c r="R587">
        <v>1</v>
      </c>
      <c r="S587">
        <v>30</v>
      </c>
      <c r="T587">
        <v>0</v>
      </c>
      <c r="U587">
        <f t="shared" si="37"/>
        <v>12.332705296463539</v>
      </c>
      <c r="V587">
        <f t="shared" si="38"/>
        <v>8.550047528287184</v>
      </c>
      <c r="W587">
        <v>1</v>
      </c>
      <c r="X587">
        <v>0</v>
      </c>
      <c r="Y587">
        <v>1</v>
      </c>
      <c r="Z587">
        <f>'Résultat (Ln)'!F$30+'Résultat (Ln)'!F$31*Données!S587+'Résultat (Ln)'!F$32*Données!T587+'Résultat (Ln)'!F$33*Données!U587+'Résultat (Ln)'!F$34*Données!V587+'Résultat (Ln)'!F$35*Données!W587+'Résultat (Ln)'!F$36*Données!X587+'Résultat (Ln)'!F$37*Données!Y587</f>
        <v>187236.35638064056</v>
      </c>
      <c r="AA587">
        <f t="shared" si="39"/>
        <v>-50236.356380640558</v>
      </c>
    </row>
    <row r="588" spans="1:27" x14ac:dyDescent="0.25">
      <c r="A588">
        <v>187000</v>
      </c>
      <c r="B588">
        <v>1</v>
      </c>
      <c r="C588">
        <v>26</v>
      </c>
      <c r="D588">
        <v>0</v>
      </c>
      <c r="E588">
        <v>212000</v>
      </c>
      <c r="F588">
        <v>5708</v>
      </c>
      <c r="G588">
        <v>1</v>
      </c>
      <c r="H588">
        <v>0</v>
      </c>
      <c r="I588">
        <v>0</v>
      </c>
      <c r="J588">
        <v>18</v>
      </c>
      <c r="K588">
        <v>1</v>
      </c>
      <c r="L588">
        <f>Résultats!G$32+Résultats!G$33*Données!C588+Résultats!G$34*Données!D588+Résultats!G$35*Données!E588+Résultats!G$36*Données!F588+Résultats!G$37*Données!G588+Résultats!G$38*Données!H588+Résultats!G$39*Données!I588</f>
        <v>143498.63757632463</v>
      </c>
      <c r="M588">
        <f t="shared" si="36"/>
        <v>43501.362423675368</v>
      </c>
      <c r="Q588">
        <v>88000</v>
      </c>
      <c r="R588">
        <v>1</v>
      </c>
      <c r="S588">
        <v>29.29999923706055</v>
      </c>
      <c r="T588">
        <v>0</v>
      </c>
      <c r="U588">
        <f t="shared" si="37"/>
        <v>11.608235644774552</v>
      </c>
      <c r="V588">
        <f t="shared" si="38"/>
        <v>8.0614868668713271</v>
      </c>
      <c r="W588">
        <v>1</v>
      </c>
      <c r="X588">
        <v>0</v>
      </c>
      <c r="Y588">
        <v>0</v>
      </c>
      <c r="Z588">
        <f>'Résultat (Ln)'!F$30+'Résultat (Ln)'!F$31*Données!S588+'Résultat (Ln)'!F$32*Données!T588+'Résultat (Ln)'!F$33*Données!U588+'Résultat (Ln)'!F$34*Données!V588+'Résultat (Ln)'!F$35*Données!W588+'Résultat (Ln)'!F$36*Données!X588+'Résultat (Ln)'!F$37*Données!Y588</f>
        <v>80931.990084697914</v>
      </c>
      <c r="AA588">
        <f t="shared" si="39"/>
        <v>7068.0099153020856</v>
      </c>
    </row>
    <row r="589" spans="1:27" x14ac:dyDescent="0.25">
      <c r="A589">
        <v>114000</v>
      </c>
      <c r="B589">
        <v>1</v>
      </c>
      <c r="C589">
        <v>25.39999961853027</v>
      </c>
      <c r="D589">
        <v>0</v>
      </c>
      <c r="E589">
        <v>120000</v>
      </c>
      <c r="F589">
        <v>3178</v>
      </c>
      <c r="G589">
        <v>1</v>
      </c>
      <c r="H589">
        <v>0</v>
      </c>
      <c r="I589">
        <v>1</v>
      </c>
      <c r="J589">
        <v>24</v>
      </c>
      <c r="K589">
        <v>1</v>
      </c>
      <c r="L589">
        <f>Résultats!G$32+Résultats!G$33*Données!C589+Résultats!G$34*Données!D589+Résultats!G$35*Données!E589+Résultats!G$36*Données!F589+Résultats!G$37*Données!G589+Résultats!G$38*Données!H589+Résultats!G$39*Données!I589</f>
        <v>104872.58901439655</v>
      </c>
      <c r="M589">
        <f t="shared" si="36"/>
        <v>9127.4109856034484</v>
      </c>
      <c r="Q589">
        <v>187000</v>
      </c>
      <c r="R589">
        <v>1</v>
      </c>
      <c r="S589">
        <v>26</v>
      </c>
      <c r="T589">
        <v>0</v>
      </c>
      <c r="U589">
        <f t="shared" si="37"/>
        <v>12.26434155365415</v>
      </c>
      <c r="V589">
        <f t="shared" si="38"/>
        <v>8.6496239785967273</v>
      </c>
      <c r="W589">
        <v>1</v>
      </c>
      <c r="X589">
        <v>0</v>
      </c>
      <c r="Y589">
        <v>0</v>
      </c>
      <c r="Z589">
        <f>'Résultat (Ln)'!F$30+'Résultat (Ln)'!F$31*Données!S589+'Résultat (Ln)'!F$32*Données!T589+'Résultat (Ln)'!F$33*Données!U589+'Résultat (Ln)'!F$34*Données!V589+'Résultat (Ln)'!F$35*Données!W589+'Résultat (Ln)'!F$36*Données!X589+'Résultat (Ln)'!F$37*Données!Y589</f>
        <v>163725.67195282853</v>
      </c>
      <c r="AA589">
        <f t="shared" si="39"/>
        <v>23274.328047171468</v>
      </c>
    </row>
    <row r="590" spans="1:27" x14ac:dyDescent="0.25">
      <c r="A590">
        <v>123000</v>
      </c>
      <c r="B590">
        <v>1</v>
      </c>
      <c r="C590">
        <v>33.700000762939453</v>
      </c>
      <c r="D590">
        <v>0</v>
      </c>
      <c r="E590">
        <v>129000</v>
      </c>
      <c r="F590">
        <v>2600</v>
      </c>
      <c r="G590">
        <v>1</v>
      </c>
      <c r="H590">
        <v>0</v>
      </c>
      <c r="I590">
        <v>0</v>
      </c>
      <c r="J590">
        <v>26.79999923706055</v>
      </c>
      <c r="K590">
        <v>1</v>
      </c>
      <c r="L590">
        <f>Résultats!G$32+Résultats!G$33*Données!C590+Résultats!G$34*Données!D590+Résultats!G$35*Données!E590+Résultats!G$36*Données!F590+Résultats!G$37*Données!G590+Résultats!G$38*Données!H590+Résultats!G$39*Données!I590</f>
        <v>107563.63593930057</v>
      </c>
      <c r="M590">
        <f t="shared" si="36"/>
        <v>15436.36406069943</v>
      </c>
      <c r="Q590">
        <v>114000</v>
      </c>
      <c r="R590">
        <v>1</v>
      </c>
      <c r="S590">
        <v>25.39999961853027</v>
      </c>
      <c r="T590">
        <v>0</v>
      </c>
      <c r="U590">
        <f t="shared" si="37"/>
        <v>11.695247021764184</v>
      </c>
      <c r="V590">
        <f t="shared" si="38"/>
        <v>8.0640073470966609</v>
      </c>
      <c r="W590">
        <v>1</v>
      </c>
      <c r="X590">
        <v>0</v>
      </c>
      <c r="Y590">
        <v>1</v>
      </c>
      <c r="Z590">
        <f>'Résultat (Ln)'!F$30+'Résultat (Ln)'!F$31*Données!S590+'Résultat (Ln)'!F$32*Données!T590+'Résultat (Ln)'!F$33*Données!U590+'Résultat (Ln)'!F$34*Données!V590+'Résultat (Ln)'!F$35*Données!W590+'Résultat (Ln)'!F$36*Données!X590+'Résultat (Ln)'!F$37*Données!Y590</f>
        <v>99650.884395196263</v>
      </c>
      <c r="AA590">
        <f t="shared" si="39"/>
        <v>14349.115604803737</v>
      </c>
    </row>
    <row r="591" spans="1:27" x14ac:dyDescent="0.25">
      <c r="A591">
        <v>75000</v>
      </c>
      <c r="B591">
        <v>1</v>
      </c>
      <c r="C591">
        <v>26</v>
      </c>
      <c r="D591">
        <v>0</v>
      </c>
      <c r="E591">
        <v>128000</v>
      </c>
      <c r="F591">
        <v>3292</v>
      </c>
      <c r="G591">
        <v>0</v>
      </c>
      <c r="H591">
        <v>0</v>
      </c>
      <c r="I591">
        <v>0</v>
      </c>
      <c r="J591">
        <v>24</v>
      </c>
      <c r="K591">
        <v>1</v>
      </c>
      <c r="L591">
        <f>Résultats!G$32+Résultats!G$33*Données!C591+Résultats!G$34*Données!D591+Résultats!G$35*Données!E591+Résultats!G$36*Données!F591+Résultats!G$37*Données!G591+Résultats!G$38*Données!H591+Résultats!G$39*Données!I591</f>
        <v>92576.250251109828</v>
      </c>
      <c r="M591">
        <f t="shared" si="36"/>
        <v>-17576.250251109828</v>
      </c>
      <c r="Q591">
        <v>123000</v>
      </c>
      <c r="R591">
        <v>1</v>
      </c>
      <c r="S591">
        <v>33.700000762939453</v>
      </c>
      <c r="T591">
        <v>0</v>
      </c>
      <c r="U591">
        <f t="shared" si="37"/>
        <v>11.76756768334381</v>
      </c>
      <c r="V591">
        <f t="shared" si="38"/>
        <v>7.8632667240095735</v>
      </c>
      <c r="W591">
        <v>1</v>
      </c>
      <c r="X591">
        <v>0</v>
      </c>
      <c r="Y591">
        <v>0</v>
      </c>
      <c r="Z591">
        <f>'Résultat (Ln)'!F$30+'Résultat (Ln)'!F$31*Données!S591+'Résultat (Ln)'!F$32*Données!T591+'Résultat (Ln)'!F$33*Données!U591+'Résultat (Ln)'!F$34*Données!V591+'Résultat (Ln)'!F$35*Données!W591+'Résultat (Ln)'!F$36*Données!X591+'Résultat (Ln)'!F$37*Données!Y591</f>
        <v>97829.419261519346</v>
      </c>
      <c r="AA591">
        <f t="shared" si="39"/>
        <v>25170.580738480654</v>
      </c>
    </row>
    <row r="592" spans="1:27" x14ac:dyDescent="0.25">
      <c r="A592">
        <v>103000</v>
      </c>
      <c r="B592">
        <v>1</v>
      </c>
      <c r="C592">
        <v>37</v>
      </c>
      <c r="D592">
        <v>0</v>
      </c>
      <c r="E592">
        <v>108000</v>
      </c>
      <c r="F592">
        <v>1687</v>
      </c>
      <c r="G592">
        <v>1</v>
      </c>
      <c r="H592">
        <v>1</v>
      </c>
      <c r="I592">
        <v>1</v>
      </c>
      <c r="J592">
        <v>28</v>
      </c>
      <c r="K592">
        <v>1</v>
      </c>
      <c r="L592">
        <f>Résultats!G$32+Résultats!G$33*Données!C592+Résultats!G$34*Données!D592+Résultats!G$35*Données!E592+Résultats!G$36*Données!F592+Résultats!G$37*Données!G592+Résultats!G$38*Données!H592+Résultats!G$39*Données!I592</f>
        <v>108079.20918475449</v>
      </c>
      <c r="M592">
        <f t="shared" si="36"/>
        <v>-5079.2091847544943</v>
      </c>
      <c r="Q592">
        <v>75000</v>
      </c>
      <c r="R592">
        <v>1</v>
      </c>
      <c r="S592">
        <v>26</v>
      </c>
      <c r="T592">
        <v>0</v>
      </c>
      <c r="U592">
        <f t="shared" si="37"/>
        <v>11.759785542901755</v>
      </c>
      <c r="V592">
        <f t="shared" si="38"/>
        <v>8.0992505617969606</v>
      </c>
      <c r="W592">
        <v>0</v>
      </c>
      <c r="X592">
        <v>0</v>
      </c>
      <c r="Y592">
        <v>0</v>
      </c>
      <c r="Z592">
        <f>'Résultat (Ln)'!F$30+'Résultat (Ln)'!F$31*Données!S592+'Résultat (Ln)'!F$32*Données!T592+'Résultat (Ln)'!F$33*Données!U592+'Résultat (Ln)'!F$34*Données!V592+'Résultat (Ln)'!F$35*Données!W592+'Résultat (Ln)'!F$36*Données!X592+'Résultat (Ln)'!F$37*Données!Y592</f>
        <v>89689.814886359556</v>
      </c>
      <c r="AA592">
        <f t="shared" si="39"/>
        <v>-14689.814886359556</v>
      </c>
    </row>
    <row r="593" spans="1:27" x14ac:dyDescent="0.25">
      <c r="A593">
        <v>160000</v>
      </c>
      <c r="B593">
        <v>1</v>
      </c>
      <c r="C593">
        <v>21.89999961853027</v>
      </c>
      <c r="D593">
        <v>0</v>
      </c>
      <c r="E593">
        <v>275000</v>
      </c>
      <c r="F593">
        <v>4167</v>
      </c>
      <c r="G593">
        <v>1</v>
      </c>
      <c r="H593">
        <v>0</v>
      </c>
      <c r="I593">
        <v>0</v>
      </c>
      <c r="J593">
        <v>16.89999961853027</v>
      </c>
      <c r="K593">
        <v>1</v>
      </c>
      <c r="L593">
        <f>Résultats!G$32+Résultats!G$33*Données!C593+Résultats!G$34*Données!D593+Résultats!G$35*Données!E593+Résultats!G$36*Données!F593+Résultats!G$37*Données!G593+Résultats!G$38*Données!H593+Résultats!G$39*Données!I593</f>
        <v>165221.0141795043</v>
      </c>
      <c r="M593">
        <f t="shared" si="36"/>
        <v>-5221.0141795043019</v>
      </c>
      <c r="Q593">
        <v>103000</v>
      </c>
      <c r="R593">
        <v>1</v>
      </c>
      <c r="S593">
        <v>37</v>
      </c>
      <c r="T593">
        <v>0</v>
      </c>
      <c r="U593">
        <f t="shared" si="37"/>
        <v>11.589886506106357</v>
      </c>
      <c r="V593">
        <f t="shared" si="38"/>
        <v>7.4307070825459682</v>
      </c>
      <c r="W593">
        <v>1</v>
      </c>
      <c r="X593">
        <v>1</v>
      </c>
      <c r="Y593">
        <v>1</v>
      </c>
      <c r="Z593">
        <f>'Résultat (Ln)'!F$30+'Résultat (Ln)'!F$31*Données!S593+'Résultat (Ln)'!F$32*Données!T593+'Résultat (Ln)'!F$33*Données!U593+'Résultat (Ln)'!F$34*Données!V593+'Résultat (Ln)'!F$35*Données!W593+'Résultat (Ln)'!F$36*Données!X593+'Résultat (Ln)'!F$37*Données!Y593</f>
        <v>84593.432831876009</v>
      </c>
      <c r="AA593">
        <f t="shared" si="39"/>
        <v>18406.567168123991</v>
      </c>
    </row>
    <row r="594" spans="1:27" x14ac:dyDescent="0.25">
      <c r="A594">
        <v>232000</v>
      </c>
      <c r="B594">
        <v>1</v>
      </c>
      <c r="C594">
        <v>27</v>
      </c>
      <c r="D594">
        <v>0</v>
      </c>
      <c r="E594">
        <v>290000</v>
      </c>
      <c r="F594">
        <v>10417</v>
      </c>
      <c r="G594">
        <v>1</v>
      </c>
      <c r="H594">
        <v>0</v>
      </c>
      <c r="I594">
        <v>0</v>
      </c>
      <c r="J594">
        <v>24</v>
      </c>
      <c r="K594">
        <v>1</v>
      </c>
      <c r="L594">
        <f>Résultats!G$32+Résultats!G$33*Données!C594+Résultats!G$34*Données!D594+Résultats!G$35*Données!E594+Résultats!G$36*Données!F594+Résultats!G$37*Données!G594+Résultats!G$38*Données!H594+Résultats!G$39*Données!I594</f>
        <v>190194.70361725087</v>
      </c>
      <c r="M594">
        <f t="shared" si="36"/>
        <v>41805.296382749133</v>
      </c>
      <c r="Q594">
        <v>160000</v>
      </c>
      <c r="R594">
        <v>1</v>
      </c>
      <c r="S594">
        <v>21.89999961853027</v>
      </c>
      <c r="T594">
        <v>0</v>
      </c>
      <c r="U594">
        <f t="shared" si="37"/>
        <v>12.524526376648708</v>
      </c>
      <c r="V594">
        <f t="shared" si="38"/>
        <v>8.3349516314224541</v>
      </c>
      <c r="W594">
        <v>1</v>
      </c>
      <c r="X594">
        <v>0</v>
      </c>
      <c r="Y594">
        <v>0</v>
      </c>
      <c r="Z594">
        <f>'Résultat (Ln)'!F$30+'Résultat (Ln)'!F$31*Données!S594+'Résultat (Ln)'!F$32*Données!T594+'Résultat (Ln)'!F$33*Données!U594+'Résultat (Ln)'!F$34*Données!V594+'Résultat (Ln)'!F$35*Données!W594+'Résultat (Ln)'!F$36*Données!X594+'Résultat (Ln)'!F$37*Données!Y594</f>
        <v>177780.7275035684</v>
      </c>
      <c r="AA594">
        <f t="shared" si="39"/>
        <v>-17780.7275035684</v>
      </c>
    </row>
    <row r="595" spans="1:27" x14ac:dyDescent="0.25">
      <c r="A595">
        <v>157000</v>
      </c>
      <c r="B595">
        <v>1</v>
      </c>
      <c r="C595">
        <v>34</v>
      </c>
      <c r="D595">
        <v>0</v>
      </c>
      <c r="E595">
        <v>165000</v>
      </c>
      <c r="F595">
        <v>4243</v>
      </c>
      <c r="G595">
        <v>0</v>
      </c>
      <c r="H595">
        <v>0</v>
      </c>
      <c r="I595">
        <v>0</v>
      </c>
      <c r="J595">
        <v>21</v>
      </c>
      <c r="K595">
        <v>1</v>
      </c>
      <c r="L595">
        <f>Résultats!G$32+Résultats!G$33*Données!C595+Résultats!G$34*Données!D595+Résultats!G$35*Données!E595+Résultats!G$36*Données!F595+Résultats!G$37*Données!G595+Résultats!G$38*Données!H595+Résultats!G$39*Données!I595</f>
        <v>120885.72000977243</v>
      </c>
      <c r="M595">
        <f t="shared" si="36"/>
        <v>36114.279990227573</v>
      </c>
      <c r="Q595">
        <v>232000</v>
      </c>
      <c r="R595">
        <v>1</v>
      </c>
      <c r="S595">
        <v>27</v>
      </c>
      <c r="T595">
        <v>0</v>
      </c>
      <c r="U595">
        <f t="shared" si="37"/>
        <v>12.577636201962656</v>
      </c>
      <c r="V595">
        <f t="shared" si="38"/>
        <v>9.251194365984448</v>
      </c>
      <c r="W595">
        <v>1</v>
      </c>
      <c r="X595">
        <v>0</v>
      </c>
      <c r="Y595">
        <v>0</v>
      </c>
      <c r="Z595">
        <f>'Résultat (Ln)'!F$30+'Résultat (Ln)'!F$31*Données!S595+'Résultat (Ln)'!F$32*Données!T595+'Résultat (Ln)'!F$33*Données!U595+'Résultat (Ln)'!F$34*Données!V595+'Résultat (Ln)'!F$35*Données!W595+'Résultat (Ln)'!F$36*Données!X595+'Résultat (Ln)'!F$37*Données!Y595</f>
        <v>215403.02868316422</v>
      </c>
      <c r="AA595">
        <f t="shared" si="39"/>
        <v>16596.971316835785</v>
      </c>
    </row>
    <row r="596" spans="1:27" x14ac:dyDescent="0.25">
      <c r="A596">
        <v>171000</v>
      </c>
      <c r="B596">
        <v>1</v>
      </c>
      <c r="C596">
        <v>35</v>
      </c>
      <c r="D596">
        <v>0</v>
      </c>
      <c r="E596">
        <v>214000</v>
      </c>
      <c r="F596">
        <v>3169</v>
      </c>
      <c r="G596">
        <v>1</v>
      </c>
      <c r="H596">
        <v>0</v>
      </c>
      <c r="I596">
        <v>0</v>
      </c>
      <c r="J596">
        <v>30</v>
      </c>
      <c r="K596">
        <v>1</v>
      </c>
      <c r="L596">
        <f>Résultats!G$32+Résultats!G$33*Données!C596+Résultats!G$34*Données!D596+Résultats!G$35*Données!E596+Résultats!G$36*Données!F596+Résultats!G$37*Données!G596+Résultats!G$38*Données!H596+Résultats!G$39*Données!I596</f>
        <v>149850.53540407543</v>
      </c>
      <c r="M596">
        <f t="shared" si="36"/>
        <v>21149.464595924568</v>
      </c>
      <c r="Q596">
        <v>157000</v>
      </c>
      <c r="R596">
        <v>1</v>
      </c>
      <c r="S596">
        <v>34</v>
      </c>
      <c r="T596">
        <v>0</v>
      </c>
      <c r="U596">
        <f t="shared" si="37"/>
        <v>12.013700752882718</v>
      </c>
      <c r="V596">
        <f t="shared" si="38"/>
        <v>8.3530258452023247</v>
      </c>
      <c r="W596">
        <v>0</v>
      </c>
      <c r="X596">
        <v>0</v>
      </c>
      <c r="Y596">
        <v>0</v>
      </c>
      <c r="Z596">
        <f>'Résultat (Ln)'!F$30+'Résultat (Ln)'!F$31*Données!S596+'Résultat (Ln)'!F$32*Données!T596+'Résultat (Ln)'!F$33*Données!U596+'Résultat (Ln)'!F$34*Données!V596+'Résultat (Ln)'!F$35*Données!W596+'Résultat (Ln)'!F$36*Données!X596+'Résultat (Ln)'!F$37*Données!Y596</f>
        <v>133802.05642790999</v>
      </c>
      <c r="AA596">
        <f t="shared" si="39"/>
        <v>23197.943572090007</v>
      </c>
    </row>
    <row r="597" spans="1:27" x14ac:dyDescent="0.25">
      <c r="A597">
        <v>87000</v>
      </c>
      <c r="B597">
        <v>1</v>
      </c>
      <c r="C597">
        <v>40</v>
      </c>
      <c r="D597">
        <v>0</v>
      </c>
      <c r="E597">
        <v>217000</v>
      </c>
      <c r="F597">
        <v>4344</v>
      </c>
      <c r="G597">
        <v>1</v>
      </c>
      <c r="H597">
        <v>0</v>
      </c>
      <c r="I597">
        <v>1</v>
      </c>
      <c r="J597">
        <v>32</v>
      </c>
      <c r="K597">
        <v>1</v>
      </c>
      <c r="L597">
        <f>Résultats!G$32+Résultats!G$33*Données!C597+Résultats!G$34*Données!D597+Résultats!G$35*Données!E597+Résultats!G$36*Données!F597+Résultats!G$37*Données!G597+Résultats!G$38*Données!H597+Résultats!G$39*Données!I597</f>
        <v>169197.1041174139</v>
      </c>
      <c r="M597">
        <f t="shared" si="36"/>
        <v>-82197.104117413895</v>
      </c>
      <c r="Q597">
        <v>171000</v>
      </c>
      <c r="R597">
        <v>1</v>
      </c>
      <c r="S597">
        <v>35</v>
      </c>
      <c r="T597">
        <v>0</v>
      </c>
      <c r="U597">
        <f t="shared" si="37"/>
        <v>12.273731294003989</v>
      </c>
      <c r="V597">
        <f t="shared" si="38"/>
        <v>8.0611713596909205</v>
      </c>
      <c r="W597">
        <v>1</v>
      </c>
      <c r="X597">
        <v>0</v>
      </c>
      <c r="Y597">
        <v>0</v>
      </c>
      <c r="Z597">
        <f>'Résultat (Ln)'!F$30+'Résultat (Ln)'!F$31*Données!S597+'Résultat (Ln)'!F$32*Données!T597+'Résultat (Ln)'!F$33*Données!U597+'Résultat (Ln)'!F$34*Données!V597+'Résultat (Ln)'!F$35*Données!W597+'Résultat (Ln)'!F$36*Données!X597+'Résultat (Ln)'!F$37*Données!Y597</f>
        <v>159226.95894222127</v>
      </c>
      <c r="AA597">
        <f t="shared" si="39"/>
        <v>11773.041057778726</v>
      </c>
    </row>
    <row r="598" spans="1:27" x14ac:dyDescent="0.25">
      <c r="A598">
        <v>183000</v>
      </c>
      <c r="B598">
        <v>1</v>
      </c>
      <c r="C598">
        <v>44</v>
      </c>
      <c r="D598">
        <v>0</v>
      </c>
      <c r="E598">
        <v>266000</v>
      </c>
      <c r="F598">
        <v>4984</v>
      </c>
      <c r="G598">
        <v>1</v>
      </c>
      <c r="H598">
        <v>0</v>
      </c>
      <c r="I598">
        <v>1</v>
      </c>
      <c r="J598">
        <v>31</v>
      </c>
      <c r="K598">
        <v>1</v>
      </c>
      <c r="L598">
        <f>Résultats!G$32+Résultats!G$33*Données!C598+Résultats!G$34*Données!D598+Résultats!G$35*Données!E598+Résultats!G$36*Données!F598+Résultats!G$37*Données!G598+Résultats!G$38*Données!H598+Résultats!G$39*Données!I598</f>
        <v>197912.67971292688</v>
      </c>
      <c r="M598">
        <f t="shared" si="36"/>
        <v>-14912.679712926882</v>
      </c>
      <c r="Q598">
        <v>87000</v>
      </c>
      <c r="R598">
        <v>1</v>
      </c>
      <c r="S598">
        <v>40</v>
      </c>
      <c r="T598">
        <v>0</v>
      </c>
      <c r="U598">
        <f t="shared" si="37"/>
        <v>12.287652632522597</v>
      </c>
      <c r="V598">
        <f t="shared" si="38"/>
        <v>8.3765508616137705</v>
      </c>
      <c r="W598">
        <v>1</v>
      </c>
      <c r="X598">
        <v>0</v>
      </c>
      <c r="Y598">
        <v>1</v>
      </c>
      <c r="Z598">
        <f>'Résultat (Ln)'!F$30+'Résultat (Ln)'!F$31*Données!S598+'Résultat (Ln)'!F$32*Données!T598+'Résultat (Ln)'!F$33*Données!U598+'Résultat (Ln)'!F$34*Données!V598+'Résultat (Ln)'!F$35*Données!W598+'Résultat (Ln)'!F$36*Données!X598+'Résultat (Ln)'!F$37*Données!Y598</f>
        <v>189761.46866774186</v>
      </c>
      <c r="AA598">
        <f t="shared" si="39"/>
        <v>-102761.46866774186</v>
      </c>
    </row>
    <row r="599" spans="1:27" x14ac:dyDescent="0.25">
      <c r="A599">
        <v>130000</v>
      </c>
      <c r="B599">
        <v>1</v>
      </c>
      <c r="C599">
        <v>37</v>
      </c>
      <c r="D599">
        <v>0</v>
      </c>
      <c r="E599">
        <v>163000</v>
      </c>
      <c r="F599">
        <v>4497</v>
      </c>
      <c r="G599">
        <v>1</v>
      </c>
      <c r="H599">
        <v>6</v>
      </c>
      <c r="I599">
        <v>1</v>
      </c>
      <c r="J599">
        <v>30</v>
      </c>
      <c r="K599">
        <v>0</v>
      </c>
      <c r="L599">
        <f>Résultats!G$32+Résultats!G$33*Données!C599+Résultats!G$34*Données!D599+Résultats!G$35*Données!E599+Résultats!G$36*Données!F599+Résultats!G$37*Données!G599+Résultats!G$38*Données!H599+Résultats!G$39*Données!I599</f>
        <v>131080.4390636356</v>
      </c>
      <c r="M599">
        <f t="shared" si="36"/>
        <v>-1080.4390636355965</v>
      </c>
      <c r="Q599">
        <v>183000</v>
      </c>
      <c r="R599">
        <v>1</v>
      </c>
      <c r="S599">
        <v>44</v>
      </c>
      <c r="T599">
        <v>0</v>
      </c>
      <c r="U599">
        <f t="shared" si="37"/>
        <v>12.491251587763836</v>
      </c>
      <c r="V599">
        <f t="shared" si="38"/>
        <v>8.5139880604672893</v>
      </c>
      <c r="W599">
        <v>1</v>
      </c>
      <c r="X599">
        <v>0</v>
      </c>
      <c r="Y599">
        <v>1</v>
      </c>
      <c r="Z599">
        <f>'Résultat (Ln)'!F$30+'Résultat (Ln)'!F$31*Données!S599+'Résultat (Ln)'!F$32*Données!T599+'Résultat (Ln)'!F$33*Données!U599+'Résultat (Ln)'!F$34*Données!V599+'Résultat (Ln)'!F$35*Données!W599+'Résultat (Ln)'!F$36*Données!X599+'Résultat (Ln)'!F$37*Données!Y599</f>
        <v>220329.07308226943</v>
      </c>
      <c r="AA599">
        <f t="shared" si="39"/>
        <v>-37329.073082269431</v>
      </c>
    </row>
    <row r="600" spans="1:27" x14ac:dyDescent="0.25">
      <c r="A600">
        <v>116000</v>
      </c>
      <c r="B600">
        <v>1</v>
      </c>
      <c r="C600">
        <v>34.799999237060547</v>
      </c>
      <c r="D600">
        <v>0</v>
      </c>
      <c r="E600">
        <v>145000</v>
      </c>
      <c r="F600">
        <v>3497</v>
      </c>
      <c r="G600">
        <v>1</v>
      </c>
      <c r="H600">
        <v>0</v>
      </c>
      <c r="I600">
        <v>0</v>
      </c>
      <c r="J600">
        <v>22.090000152587891</v>
      </c>
      <c r="K600">
        <v>1</v>
      </c>
      <c r="L600">
        <f>Résultats!G$32+Résultats!G$33*Données!C600+Résultats!G$34*Données!D600+Résultats!G$35*Données!E600+Résultats!G$36*Données!F600+Résultats!G$37*Données!G600+Résultats!G$38*Données!H600+Résultats!G$39*Données!I600</f>
        <v>118036.61916944306</v>
      </c>
      <c r="M600">
        <f t="shared" si="36"/>
        <v>-2036.6191694430599</v>
      </c>
      <c r="Q600">
        <v>130000</v>
      </c>
      <c r="R600">
        <v>1</v>
      </c>
      <c r="S600">
        <v>37</v>
      </c>
      <c r="T600">
        <v>0</v>
      </c>
      <c r="U600">
        <f t="shared" si="37"/>
        <v>12.0015054797889</v>
      </c>
      <c r="V600">
        <f t="shared" si="38"/>
        <v>8.4111657867707077</v>
      </c>
      <c r="W600">
        <v>1</v>
      </c>
      <c r="X600">
        <v>6</v>
      </c>
      <c r="Y600">
        <v>1</v>
      </c>
      <c r="Z600">
        <f>'Résultat (Ln)'!F$30+'Résultat (Ln)'!F$31*Données!S600+'Résultat (Ln)'!F$32*Données!T600+'Résultat (Ln)'!F$33*Données!U600+'Résultat (Ln)'!F$34*Données!V600+'Résultat (Ln)'!F$35*Données!W600+'Résultat (Ln)'!F$36*Données!X600+'Résultat (Ln)'!F$37*Données!Y600</f>
        <v>155327.20823768282</v>
      </c>
      <c r="AA600">
        <f t="shared" si="39"/>
        <v>-25327.208237682818</v>
      </c>
    </row>
    <row r="601" spans="1:27" x14ac:dyDescent="0.25">
      <c r="A601">
        <v>101000</v>
      </c>
      <c r="B601">
        <v>1</v>
      </c>
      <c r="C601">
        <v>45</v>
      </c>
      <c r="D601">
        <v>0</v>
      </c>
      <c r="E601">
        <v>145000</v>
      </c>
      <c r="F601">
        <v>2045</v>
      </c>
      <c r="G601">
        <v>1</v>
      </c>
      <c r="H601">
        <v>0</v>
      </c>
      <c r="I601">
        <v>1</v>
      </c>
      <c r="J601">
        <v>21</v>
      </c>
      <c r="K601">
        <v>1</v>
      </c>
      <c r="L601">
        <f>Résultats!G$32+Résultats!G$33*Données!C601+Résultats!G$34*Données!D601+Résultats!G$35*Données!E601+Résultats!G$36*Données!F601+Résultats!G$37*Données!G601+Résultats!G$38*Données!H601+Résultats!G$39*Données!I601</f>
        <v>136864.84751470125</v>
      </c>
      <c r="M601">
        <f t="shared" si="36"/>
        <v>-35864.84751470125</v>
      </c>
      <c r="Q601">
        <v>116000</v>
      </c>
      <c r="R601">
        <v>1</v>
      </c>
      <c r="S601">
        <v>34.799999237060547</v>
      </c>
      <c r="T601">
        <v>0</v>
      </c>
      <c r="U601">
        <f t="shared" si="37"/>
        <v>11.884489021402711</v>
      </c>
      <c r="V601">
        <f t="shared" si="38"/>
        <v>8.1596607370633762</v>
      </c>
      <c r="W601">
        <v>1</v>
      </c>
      <c r="X601">
        <v>0</v>
      </c>
      <c r="Y601">
        <v>0</v>
      </c>
      <c r="Z601">
        <f>'Résultat (Ln)'!F$30+'Résultat (Ln)'!F$31*Données!S601+'Résultat (Ln)'!F$32*Données!T601+'Résultat (Ln)'!F$33*Données!U601+'Résultat (Ln)'!F$34*Données!V601+'Résultat (Ln)'!F$35*Données!W601+'Résultat (Ln)'!F$36*Données!X601+'Résultat (Ln)'!F$37*Données!Y601</f>
        <v>120019.71662112688</v>
      </c>
      <c r="AA601">
        <f t="shared" si="39"/>
        <v>-4019.7166211268777</v>
      </c>
    </row>
    <row r="602" spans="1:27" x14ac:dyDescent="0.25">
      <c r="A602">
        <v>92000</v>
      </c>
      <c r="B602">
        <v>1</v>
      </c>
      <c r="C602">
        <v>34</v>
      </c>
      <c r="D602">
        <v>0</v>
      </c>
      <c r="E602">
        <v>102000</v>
      </c>
      <c r="F602">
        <v>3120</v>
      </c>
      <c r="G602">
        <v>1</v>
      </c>
      <c r="H602">
        <v>0</v>
      </c>
      <c r="I602">
        <v>0</v>
      </c>
      <c r="J602">
        <v>25</v>
      </c>
      <c r="K602">
        <v>1</v>
      </c>
      <c r="L602">
        <f>Résultats!G$32+Résultats!G$33*Données!C602+Résultats!G$34*Données!D602+Résultats!G$35*Données!E602+Résultats!G$36*Données!F602+Résultats!G$37*Données!G602+Résultats!G$38*Données!H602+Résultats!G$39*Données!I602</f>
        <v>96308.147352702217</v>
      </c>
      <c r="M602">
        <f t="shared" si="36"/>
        <v>-4308.1473527022172</v>
      </c>
      <c r="Q602">
        <v>101000</v>
      </c>
      <c r="R602">
        <v>1</v>
      </c>
      <c r="S602">
        <v>45</v>
      </c>
      <c r="T602">
        <v>0</v>
      </c>
      <c r="U602">
        <f t="shared" si="37"/>
        <v>11.884489021402711</v>
      </c>
      <c r="V602">
        <f t="shared" si="38"/>
        <v>7.6231530684769018</v>
      </c>
      <c r="W602">
        <v>1</v>
      </c>
      <c r="X602">
        <v>0</v>
      </c>
      <c r="Y602">
        <v>1</v>
      </c>
      <c r="Z602">
        <f>'Résultat (Ln)'!F$30+'Résultat (Ln)'!F$31*Données!S602+'Résultat (Ln)'!F$32*Données!T602+'Résultat (Ln)'!F$33*Données!U602+'Résultat (Ln)'!F$34*Données!V602+'Résultat (Ln)'!F$35*Données!W602+'Résultat (Ln)'!F$36*Données!X602+'Résultat (Ln)'!F$37*Données!Y602</f>
        <v>131524.68340950325</v>
      </c>
      <c r="AA602">
        <f t="shared" si="39"/>
        <v>-30524.683409503254</v>
      </c>
    </row>
    <row r="603" spans="1:27" x14ac:dyDescent="0.25">
      <c r="A603">
        <v>495000</v>
      </c>
      <c r="B603">
        <v>1</v>
      </c>
      <c r="C603">
        <v>37</v>
      </c>
      <c r="D603">
        <v>0</v>
      </c>
      <c r="E603">
        <v>594000</v>
      </c>
      <c r="F603">
        <v>5516</v>
      </c>
      <c r="G603">
        <v>1</v>
      </c>
      <c r="H603">
        <v>0</v>
      </c>
      <c r="I603">
        <v>1</v>
      </c>
      <c r="J603">
        <v>28.420000076293949</v>
      </c>
      <c r="K603">
        <v>1</v>
      </c>
      <c r="L603">
        <f>Résultats!G$32+Résultats!G$33*Données!C603+Résultats!G$34*Données!D603+Résultats!G$35*Données!E603+Résultats!G$36*Données!F603+Résultats!G$37*Données!G603+Résultats!G$38*Données!H603+Résultats!G$39*Données!I603</f>
        <v>344063.56206230423</v>
      </c>
      <c r="M603">
        <f t="shared" si="36"/>
        <v>150936.43793769577</v>
      </c>
      <c r="Q603">
        <v>92000</v>
      </c>
      <c r="R603">
        <v>1</v>
      </c>
      <c r="S603">
        <v>34</v>
      </c>
      <c r="T603">
        <v>0</v>
      </c>
      <c r="U603">
        <f t="shared" si="37"/>
        <v>11.532728092266408</v>
      </c>
      <c r="V603">
        <f t="shared" si="38"/>
        <v>8.0455882808035284</v>
      </c>
      <c r="W603">
        <v>1</v>
      </c>
      <c r="X603">
        <v>0</v>
      </c>
      <c r="Y603">
        <v>0</v>
      </c>
      <c r="Z603">
        <f>'Résultat (Ln)'!F$30+'Résultat (Ln)'!F$31*Données!S603+'Résultat (Ln)'!F$32*Données!T603+'Résultat (Ln)'!F$33*Données!U603+'Résultat (Ln)'!F$34*Données!V603+'Résultat (Ln)'!F$35*Données!W603+'Résultat (Ln)'!F$36*Données!X603+'Résultat (Ln)'!F$37*Données!Y603</f>
        <v>78135.620263951787</v>
      </c>
      <c r="AA603">
        <f t="shared" si="39"/>
        <v>13864.379736048213</v>
      </c>
    </row>
    <row r="604" spans="1:27" x14ac:dyDescent="0.25">
      <c r="A604">
        <v>80000</v>
      </c>
      <c r="B604">
        <v>1</v>
      </c>
      <c r="C604">
        <v>25.79999923706055</v>
      </c>
      <c r="D604">
        <v>0</v>
      </c>
      <c r="E604">
        <v>100000</v>
      </c>
      <c r="F604">
        <v>1516</v>
      </c>
      <c r="G604">
        <v>1</v>
      </c>
      <c r="H604">
        <v>0</v>
      </c>
      <c r="I604">
        <v>1</v>
      </c>
      <c r="J604">
        <v>19.39999961853027</v>
      </c>
      <c r="K604">
        <v>1</v>
      </c>
      <c r="L604">
        <f>Résultats!G$32+Résultats!G$33*Données!C604+Résultats!G$34*Données!D604+Résultats!G$35*Données!E604+Résultats!G$36*Données!F604+Résultats!G$37*Données!G604+Résultats!G$38*Données!H604+Résultats!G$39*Données!I604</f>
        <v>92772.388752522107</v>
      </c>
      <c r="M604">
        <f t="shared" si="36"/>
        <v>-12772.388752522107</v>
      </c>
      <c r="Q604">
        <v>495000</v>
      </c>
      <c r="R604">
        <v>1</v>
      </c>
      <c r="S604">
        <v>37</v>
      </c>
      <c r="T604">
        <v>0</v>
      </c>
      <c r="U604">
        <f t="shared" si="37"/>
        <v>13.294634598344782</v>
      </c>
      <c r="V604">
        <f t="shared" si="38"/>
        <v>8.6154082389131919</v>
      </c>
      <c r="W604">
        <v>1</v>
      </c>
      <c r="X604">
        <v>0</v>
      </c>
      <c r="Y604">
        <v>1</v>
      </c>
      <c r="Z604">
        <f>'Résultat (Ln)'!F$30+'Résultat (Ln)'!F$31*Données!S604+'Résultat (Ln)'!F$32*Données!T604+'Résultat (Ln)'!F$33*Données!U604+'Résultat (Ln)'!F$34*Données!V604+'Résultat (Ln)'!F$35*Données!W604+'Résultat (Ln)'!F$36*Données!X604+'Résultat (Ln)'!F$37*Données!Y604</f>
        <v>300738.29246064223</v>
      </c>
      <c r="AA604">
        <f t="shared" si="39"/>
        <v>194261.70753935777</v>
      </c>
    </row>
    <row r="605" spans="1:27" x14ac:dyDescent="0.25">
      <c r="A605">
        <v>114000</v>
      </c>
      <c r="B605">
        <v>1</v>
      </c>
      <c r="C605">
        <v>27</v>
      </c>
      <c r="D605">
        <v>0</v>
      </c>
      <c r="E605">
        <v>142000</v>
      </c>
      <c r="F605">
        <v>3180</v>
      </c>
      <c r="G605">
        <v>1</v>
      </c>
      <c r="H605">
        <v>0</v>
      </c>
      <c r="I605">
        <v>1</v>
      </c>
      <c r="J605">
        <v>20</v>
      </c>
      <c r="K605">
        <v>1</v>
      </c>
      <c r="L605">
        <f>Résultats!G$32+Résultats!G$33*Données!C605+Résultats!G$34*Données!D605+Résultats!G$35*Données!E605+Résultats!G$36*Données!F605+Résultats!G$37*Données!G605+Résultats!G$38*Données!H605+Résultats!G$39*Données!I605</f>
        <v>116987.30954469704</v>
      </c>
      <c r="M605">
        <f t="shared" si="36"/>
        <v>-2987.3095446970401</v>
      </c>
      <c r="Q605">
        <v>80000</v>
      </c>
      <c r="R605">
        <v>1</v>
      </c>
      <c r="S605">
        <v>25.79999923706055</v>
      </c>
      <c r="T605">
        <v>0</v>
      </c>
      <c r="U605">
        <f t="shared" si="37"/>
        <v>11.512925464970229</v>
      </c>
      <c r="V605">
        <f t="shared" si="38"/>
        <v>7.3238305662023171</v>
      </c>
      <c r="W605">
        <v>1</v>
      </c>
      <c r="X605">
        <v>0</v>
      </c>
      <c r="Y605">
        <v>1</v>
      </c>
      <c r="Z605">
        <f>'Résultat (Ln)'!F$30+'Résultat (Ln)'!F$31*Données!S605+'Résultat (Ln)'!F$32*Données!T605+'Résultat (Ln)'!F$33*Données!U605+'Résultat (Ln)'!F$34*Données!V605+'Résultat (Ln)'!F$35*Données!W605+'Résultat (Ln)'!F$36*Données!X605+'Résultat (Ln)'!F$37*Données!Y605</f>
        <v>59836.793078017559</v>
      </c>
      <c r="AA605">
        <f t="shared" si="39"/>
        <v>20163.206921982441</v>
      </c>
    </row>
    <row r="606" spans="1:27" x14ac:dyDescent="0.25">
      <c r="A606">
        <v>104000</v>
      </c>
      <c r="B606">
        <v>1</v>
      </c>
      <c r="C606">
        <v>53</v>
      </c>
      <c r="D606">
        <v>0</v>
      </c>
      <c r="E606">
        <v>135000</v>
      </c>
      <c r="F606">
        <v>1762</v>
      </c>
      <c r="G606">
        <v>0</v>
      </c>
      <c r="H606">
        <v>0</v>
      </c>
      <c r="I606">
        <v>0</v>
      </c>
      <c r="J606">
        <v>26</v>
      </c>
      <c r="K606">
        <v>0</v>
      </c>
      <c r="L606">
        <f>Résultats!G$32+Résultats!G$33*Données!C606+Résultats!G$34*Données!D606+Résultats!G$35*Données!E606+Résultats!G$36*Données!F606+Résultats!G$37*Données!G606+Résultats!G$38*Données!H606+Résultats!G$39*Données!I606</f>
        <v>123894.20869839056</v>
      </c>
      <c r="M606">
        <f t="shared" si="36"/>
        <v>-19894.208698390561</v>
      </c>
      <c r="Q606">
        <v>114000</v>
      </c>
      <c r="R606">
        <v>1</v>
      </c>
      <c r="S606">
        <v>27</v>
      </c>
      <c r="T606">
        <v>0</v>
      </c>
      <c r="U606">
        <f t="shared" si="37"/>
        <v>11.863582336583399</v>
      </c>
      <c r="V606">
        <f t="shared" si="38"/>
        <v>8.0646364757742219</v>
      </c>
      <c r="W606">
        <v>1</v>
      </c>
      <c r="X606">
        <v>0</v>
      </c>
      <c r="Y606">
        <v>1</v>
      </c>
      <c r="Z606">
        <f>'Résultat (Ln)'!F$30+'Résultat (Ln)'!F$31*Données!S606+'Résultat (Ln)'!F$32*Données!T606+'Résultat (Ln)'!F$33*Données!U606+'Résultat (Ln)'!F$34*Données!V606+'Résultat (Ln)'!F$35*Données!W606+'Résultat (Ln)'!F$36*Données!X606+'Résultat (Ln)'!F$37*Données!Y606</f>
        <v>119668.59424034356</v>
      </c>
      <c r="AA606">
        <f t="shared" si="39"/>
        <v>-5668.594240343562</v>
      </c>
    </row>
    <row r="607" spans="1:27" x14ac:dyDescent="0.25">
      <c r="A607">
        <v>221000</v>
      </c>
      <c r="B607">
        <v>1</v>
      </c>
      <c r="C607">
        <v>24</v>
      </c>
      <c r="D607">
        <v>0</v>
      </c>
      <c r="E607">
        <v>246000</v>
      </c>
      <c r="F607">
        <v>6167</v>
      </c>
      <c r="G607">
        <v>1</v>
      </c>
      <c r="H607">
        <v>0</v>
      </c>
      <c r="I607">
        <v>0</v>
      </c>
      <c r="J607">
        <v>22</v>
      </c>
      <c r="K607">
        <v>1</v>
      </c>
      <c r="L607">
        <f>Résultats!G$32+Résultats!G$33*Données!C607+Résultats!G$34*Données!D607+Résultats!G$35*Données!E607+Résultats!G$36*Données!F607+Résultats!G$37*Données!G607+Résultats!G$38*Données!H607+Résultats!G$39*Données!I607</f>
        <v>157967.15235384015</v>
      </c>
      <c r="M607">
        <f t="shared" si="36"/>
        <v>63032.847646159847</v>
      </c>
      <c r="Q607">
        <v>104000</v>
      </c>
      <c r="R607">
        <v>1</v>
      </c>
      <c r="S607">
        <v>53</v>
      </c>
      <c r="T607">
        <v>0</v>
      </c>
      <c r="U607">
        <f t="shared" si="37"/>
        <v>11.813030057420567</v>
      </c>
      <c r="V607">
        <f t="shared" si="38"/>
        <v>7.4742048064961244</v>
      </c>
      <c r="W607">
        <v>0</v>
      </c>
      <c r="X607">
        <v>0</v>
      </c>
      <c r="Y607">
        <v>0</v>
      </c>
      <c r="Z607">
        <f>'Résultat (Ln)'!F$30+'Résultat (Ln)'!F$31*Données!S607+'Résultat (Ln)'!F$32*Données!T607+'Résultat (Ln)'!F$33*Données!U607+'Résultat (Ln)'!F$34*Données!V607+'Résultat (Ln)'!F$35*Données!W607+'Résultat (Ln)'!F$36*Données!X607+'Résultat (Ln)'!F$37*Données!Y607</f>
        <v>110862.59315818438</v>
      </c>
      <c r="AA607">
        <f t="shared" si="39"/>
        <v>-6862.5931581843761</v>
      </c>
    </row>
    <row r="608" spans="1:27" x14ac:dyDescent="0.25">
      <c r="A608">
        <v>119000</v>
      </c>
      <c r="B608">
        <v>1</v>
      </c>
      <c r="C608">
        <v>41.400001525878913</v>
      </c>
      <c r="D608">
        <v>0</v>
      </c>
      <c r="E608">
        <v>149000</v>
      </c>
      <c r="F608">
        <v>3066</v>
      </c>
      <c r="G608">
        <v>0</v>
      </c>
      <c r="H608">
        <v>0</v>
      </c>
      <c r="I608">
        <v>0</v>
      </c>
      <c r="J608">
        <v>40.200000762939453</v>
      </c>
      <c r="K608">
        <v>0</v>
      </c>
      <c r="L608">
        <f>Résultats!G$32+Résultats!G$33*Données!C608+Résultats!G$34*Données!D608+Résultats!G$35*Données!E608+Résultats!G$36*Données!F608+Résultats!G$37*Données!G608+Résultats!G$38*Données!H608+Résultats!G$39*Données!I608</f>
        <v>119633.85453971903</v>
      </c>
      <c r="M608">
        <f t="shared" si="36"/>
        <v>-633.85453971903189</v>
      </c>
      <c r="Q608">
        <v>221000</v>
      </c>
      <c r="R608">
        <v>1</v>
      </c>
      <c r="S608">
        <v>24</v>
      </c>
      <c r="T608">
        <v>0</v>
      </c>
      <c r="U608">
        <f t="shared" si="37"/>
        <v>12.4130868149145</v>
      </c>
      <c r="V608">
        <f t="shared" si="38"/>
        <v>8.7269677749914933</v>
      </c>
      <c r="W608">
        <v>1</v>
      </c>
      <c r="X608">
        <v>0</v>
      </c>
      <c r="Y608">
        <v>0</v>
      </c>
      <c r="Z608">
        <f>'Résultat (Ln)'!F$30+'Résultat (Ln)'!F$31*Données!S608+'Résultat (Ln)'!F$32*Données!T608+'Résultat (Ln)'!F$33*Données!U608+'Résultat (Ln)'!F$34*Données!V608+'Résultat (Ln)'!F$35*Données!W608+'Résultat (Ln)'!F$36*Données!X608+'Résultat (Ln)'!F$37*Données!Y608</f>
        <v>179395.59063667458</v>
      </c>
      <c r="AA608">
        <f t="shared" si="39"/>
        <v>41604.409363325423</v>
      </c>
    </row>
    <row r="609" spans="1:27" x14ac:dyDescent="0.25">
      <c r="A609">
        <v>116000</v>
      </c>
      <c r="B609">
        <v>1</v>
      </c>
      <c r="C609">
        <v>32.200000762939453</v>
      </c>
      <c r="D609">
        <v>0</v>
      </c>
      <c r="E609">
        <v>145000</v>
      </c>
      <c r="F609">
        <v>3750</v>
      </c>
      <c r="G609">
        <v>1</v>
      </c>
      <c r="H609">
        <v>0</v>
      </c>
      <c r="I609">
        <v>1</v>
      </c>
      <c r="J609">
        <v>27.54999923706055</v>
      </c>
      <c r="K609">
        <v>1</v>
      </c>
      <c r="L609">
        <f>Résultats!G$32+Résultats!G$33*Données!C609+Résultats!G$34*Données!D609+Résultats!G$35*Données!E609+Résultats!G$36*Données!F609+Résultats!G$37*Données!G609+Résultats!G$38*Données!H609+Résultats!G$39*Données!I609</f>
        <v>125465.79499697388</v>
      </c>
      <c r="M609">
        <f t="shared" si="36"/>
        <v>-9465.7949969738838</v>
      </c>
      <c r="Q609">
        <v>119000</v>
      </c>
      <c r="R609">
        <v>1</v>
      </c>
      <c r="S609">
        <v>41.400001525878913</v>
      </c>
      <c r="T609">
        <v>0</v>
      </c>
      <c r="U609">
        <f t="shared" si="37"/>
        <v>11.911701584927597</v>
      </c>
      <c r="V609">
        <f t="shared" si="38"/>
        <v>8.0281290594317589</v>
      </c>
      <c r="W609">
        <v>0</v>
      </c>
      <c r="X609">
        <v>0</v>
      </c>
      <c r="Y609">
        <v>0</v>
      </c>
      <c r="Z609">
        <f>'Résultat (Ln)'!F$30+'Résultat (Ln)'!F$31*Données!S609+'Résultat (Ln)'!F$32*Données!T609+'Résultat (Ln)'!F$33*Données!U609+'Résultat (Ln)'!F$34*Données!V609+'Résultat (Ln)'!F$35*Données!W609+'Résultat (Ln)'!F$36*Données!X609+'Résultat (Ln)'!F$37*Données!Y609</f>
        <v>122799.31492478907</v>
      </c>
      <c r="AA609">
        <f t="shared" si="39"/>
        <v>-3799.3149247890688</v>
      </c>
    </row>
    <row r="610" spans="1:27" x14ac:dyDescent="0.25">
      <c r="A610">
        <v>124000</v>
      </c>
      <c r="B610">
        <v>1</v>
      </c>
      <c r="C610">
        <v>33.299999237060547</v>
      </c>
      <c r="D610">
        <v>0</v>
      </c>
      <c r="E610">
        <v>155000</v>
      </c>
      <c r="F610">
        <v>4890</v>
      </c>
      <c r="G610">
        <v>1</v>
      </c>
      <c r="H610">
        <v>0</v>
      </c>
      <c r="I610">
        <v>0</v>
      </c>
      <c r="J610">
        <v>26.79999923706055</v>
      </c>
      <c r="K610">
        <v>1</v>
      </c>
      <c r="L610">
        <f>Résultats!G$32+Résultats!G$33*Données!C610+Résultats!G$34*Données!D610+Résultats!G$35*Données!E610+Résultats!G$36*Données!F610+Résultats!G$37*Données!G610+Résultats!G$38*Données!H610+Résultats!G$39*Données!I610</f>
        <v>123682.48408799052</v>
      </c>
      <c r="M610">
        <f t="shared" si="36"/>
        <v>317.51591200947587</v>
      </c>
      <c r="Q610">
        <v>116000</v>
      </c>
      <c r="R610">
        <v>1</v>
      </c>
      <c r="S610">
        <v>32.200000762939453</v>
      </c>
      <c r="T610">
        <v>0</v>
      </c>
      <c r="U610">
        <f t="shared" si="37"/>
        <v>11.884489021402711</v>
      </c>
      <c r="V610">
        <f t="shared" si="38"/>
        <v>8.2295111189644565</v>
      </c>
      <c r="W610">
        <v>1</v>
      </c>
      <c r="X610">
        <v>0</v>
      </c>
      <c r="Y610">
        <v>1</v>
      </c>
      <c r="Z610">
        <f>'Résultat (Ln)'!F$30+'Résultat (Ln)'!F$31*Données!S610+'Résultat (Ln)'!F$32*Données!T610+'Résultat (Ln)'!F$33*Données!U610+'Résultat (Ln)'!F$34*Données!V610+'Résultat (Ln)'!F$35*Données!W610+'Résultat (Ln)'!F$36*Données!X610+'Résultat (Ln)'!F$37*Données!Y610</f>
        <v>132888.35222904821</v>
      </c>
      <c r="AA610">
        <f t="shared" si="39"/>
        <v>-16888.352229048207</v>
      </c>
    </row>
    <row r="611" spans="1:27" x14ac:dyDescent="0.25">
      <c r="A611">
        <v>101000</v>
      </c>
      <c r="B611">
        <v>1</v>
      </c>
      <c r="C611">
        <v>36</v>
      </c>
      <c r="D611">
        <v>0</v>
      </c>
      <c r="E611">
        <v>126000</v>
      </c>
      <c r="F611">
        <v>3003</v>
      </c>
      <c r="G611">
        <v>1</v>
      </c>
      <c r="H611">
        <v>0</v>
      </c>
      <c r="I611">
        <v>0</v>
      </c>
      <c r="J611">
        <v>25</v>
      </c>
      <c r="K611">
        <v>1</v>
      </c>
      <c r="L611">
        <f>Résultats!G$32+Résultats!G$33*Données!C611+Résultats!G$34*Données!D611+Résultats!G$35*Données!E611+Résultats!G$36*Données!F611+Résultats!G$37*Données!G611+Résultats!G$38*Données!H611+Résultats!G$39*Données!I611</f>
        <v>109585.64543728714</v>
      </c>
      <c r="M611">
        <f t="shared" si="36"/>
        <v>-8585.6454372871376</v>
      </c>
      <c r="Q611">
        <v>124000</v>
      </c>
      <c r="R611">
        <v>1</v>
      </c>
      <c r="S611">
        <v>33.299999237060547</v>
      </c>
      <c r="T611">
        <v>0</v>
      </c>
      <c r="U611">
        <f t="shared" si="37"/>
        <v>11.951180395901384</v>
      </c>
      <c r="V611">
        <f t="shared" si="38"/>
        <v>8.4949475824689173</v>
      </c>
      <c r="W611">
        <v>1</v>
      </c>
      <c r="X611">
        <v>0</v>
      </c>
      <c r="Y611">
        <v>0</v>
      </c>
      <c r="Z611">
        <f>'Résultat (Ln)'!F$30+'Résultat (Ln)'!F$31*Données!S611+'Résultat (Ln)'!F$32*Données!T611+'Résultat (Ln)'!F$33*Données!U611+'Résultat (Ln)'!F$34*Données!V611+'Résultat (Ln)'!F$35*Données!W611+'Résultat (Ln)'!F$36*Données!X611+'Résultat (Ln)'!F$37*Données!Y611</f>
        <v>134739.06025199805</v>
      </c>
      <c r="AA611">
        <f t="shared" si="39"/>
        <v>-10739.060251998046</v>
      </c>
    </row>
    <row r="612" spans="1:27" x14ac:dyDescent="0.25">
      <c r="A612">
        <v>112000</v>
      </c>
      <c r="B612">
        <v>1</v>
      </c>
      <c r="C612">
        <v>34.700000762939453</v>
      </c>
      <c r="D612">
        <v>0</v>
      </c>
      <c r="E612">
        <v>159899.9938964844</v>
      </c>
      <c r="F612">
        <v>5800</v>
      </c>
      <c r="G612">
        <v>1</v>
      </c>
      <c r="H612">
        <v>0</v>
      </c>
      <c r="I612">
        <v>1</v>
      </c>
      <c r="J612">
        <v>20.20000076293945</v>
      </c>
      <c r="K612">
        <v>1</v>
      </c>
      <c r="L612">
        <f>Résultats!G$32+Résultats!G$33*Données!C612+Résultats!G$34*Données!D612+Résultats!G$35*Données!E612+Résultats!G$36*Données!F612+Résultats!G$37*Données!G612+Résultats!G$38*Données!H612+Résultats!G$39*Données!I612</f>
        <v>139267.53589773312</v>
      </c>
      <c r="M612">
        <f t="shared" si="36"/>
        <v>-27267.53589773312</v>
      </c>
      <c r="Q612">
        <v>101000</v>
      </c>
      <c r="R612">
        <v>1</v>
      </c>
      <c r="S612">
        <v>36</v>
      </c>
      <c r="T612">
        <v>0</v>
      </c>
      <c r="U612">
        <f t="shared" si="37"/>
        <v>11.744037185933616</v>
      </c>
      <c r="V612">
        <f t="shared" si="38"/>
        <v>8.0073670679833295</v>
      </c>
      <c r="W612">
        <v>1</v>
      </c>
      <c r="X612">
        <v>0</v>
      </c>
      <c r="Y612">
        <v>0</v>
      </c>
      <c r="Z612">
        <f>'Résultat (Ln)'!F$30+'Résultat (Ln)'!F$31*Données!S612+'Résultat (Ln)'!F$32*Données!T612+'Résultat (Ln)'!F$33*Données!U612+'Résultat (Ln)'!F$34*Données!V612+'Résultat (Ln)'!F$35*Données!W612+'Résultat (Ln)'!F$36*Données!X612+'Résultat (Ln)'!F$37*Données!Y612</f>
        <v>102159.15596311672</v>
      </c>
      <c r="AA612">
        <f t="shared" si="39"/>
        <v>-1159.1559631167183</v>
      </c>
    </row>
    <row r="613" spans="1:27" x14ac:dyDescent="0.25">
      <c r="A613">
        <v>105000</v>
      </c>
      <c r="B613">
        <v>1</v>
      </c>
      <c r="C613">
        <v>33</v>
      </c>
      <c r="D613">
        <v>0</v>
      </c>
      <c r="E613">
        <v>135000</v>
      </c>
      <c r="F613">
        <v>3004</v>
      </c>
      <c r="G613">
        <v>0</v>
      </c>
      <c r="H613">
        <v>0</v>
      </c>
      <c r="I613">
        <v>1</v>
      </c>
      <c r="J613">
        <v>31</v>
      </c>
      <c r="K613">
        <v>1</v>
      </c>
      <c r="L613">
        <f>Résultats!G$32+Résultats!G$33*Données!C613+Résultats!G$34*Données!D613+Résultats!G$35*Données!E613+Résultats!G$36*Données!F613+Résultats!G$37*Données!G613+Résultats!G$38*Données!H613+Résultats!G$39*Données!I613</f>
        <v>113252.98988127345</v>
      </c>
      <c r="M613">
        <f t="shared" si="36"/>
        <v>-8252.9898812734464</v>
      </c>
      <c r="Q613">
        <v>112000</v>
      </c>
      <c r="R613">
        <v>1</v>
      </c>
      <c r="S613">
        <v>34.700000762939453</v>
      </c>
      <c r="T613">
        <v>0</v>
      </c>
      <c r="U613">
        <f t="shared" si="37"/>
        <v>11.982303860651216</v>
      </c>
      <c r="V613">
        <f t="shared" si="38"/>
        <v>8.66561319653451</v>
      </c>
      <c r="W613">
        <v>1</v>
      </c>
      <c r="X613">
        <v>0</v>
      </c>
      <c r="Y613">
        <v>1</v>
      </c>
      <c r="Z613">
        <f>'Résultat (Ln)'!F$30+'Résultat (Ln)'!F$31*Données!S613+'Résultat (Ln)'!F$32*Données!T613+'Résultat (Ln)'!F$33*Données!U613+'Résultat (Ln)'!F$34*Données!V613+'Résultat (Ln)'!F$35*Données!W613+'Résultat (Ln)'!F$36*Données!X613+'Résultat (Ln)'!F$37*Données!Y613</f>
        <v>158659.60029040126</v>
      </c>
      <c r="AA613">
        <f t="shared" si="39"/>
        <v>-46659.600290401257</v>
      </c>
    </row>
    <row r="614" spans="1:27" x14ac:dyDescent="0.25">
      <c r="A614">
        <v>213000</v>
      </c>
      <c r="B614">
        <v>1</v>
      </c>
      <c r="C614">
        <v>44.799999237060547</v>
      </c>
      <c r="D614">
        <v>0</v>
      </c>
      <c r="E614">
        <v>232000</v>
      </c>
      <c r="F614">
        <v>724</v>
      </c>
      <c r="G614">
        <v>1</v>
      </c>
      <c r="H614">
        <v>0</v>
      </c>
      <c r="I614">
        <v>0</v>
      </c>
      <c r="J614">
        <v>44.830001831054688</v>
      </c>
      <c r="K614">
        <v>1</v>
      </c>
      <c r="L614">
        <f>Résultats!G$32+Résultats!G$33*Données!C614+Résultats!G$34*Données!D614+Résultats!G$35*Données!E614+Résultats!G$36*Données!F614+Résultats!G$37*Données!G614+Résultats!G$38*Données!H614+Résultats!G$39*Données!I614</f>
        <v>164774.77296989746</v>
      </c>
      <c r="M614">
        <f t="shared" si="36"/>
        <v>48225.227030102542</v>
      </c>
      <c r="Q614">
        <v>105000</v>
      </c>
      <c r="R614">
        <v>1</v>
      </c>
      <c r="S614">
        <v>33</v>
      </c>
      <c r="T614">
        <v>0</v>
      </c>
      <c r="U614">
        <f t="shared" si="37"/>
        <v>11.813030057420567</v>
      </c>
      <c r="V614">
        <f t="shared" si="38"/>
        <v>8.0077000128840261</v>
      </c>
      <c r="W614">
        <v>0</v>
      </c>
      <c r="X614">
        <v>0</v>
      </c>
      <c r="Y614">
        <v>1</v>
      </c>
      <c r="Z614">
        <f>'Résultat (Ln)'!F$30+'Résultat (Ln)'!F$31*Données!S614+'Résultat (Ln)'!F$32*Données!T614+'Résultat (Ln)'!F$33*Données!U614+'Résultat (Ln)'!F$34*Données!V614+'Résultat (Ln)'!F$35*Données!W614+'Résultat (Ln)'!F$36*Données!X614+'Résultat (Ln)'!F$37*Données!Y614</f>
        <v>115471.0007509437</v>
      </c>
      <c r="AA614">
        <f t="shared" si="39"/>
        <v>-10471.000750943698</v>
      </c>
    </row>
    <row r="615" spans="1:27" x14ac:dyDescent="0.25">
      <c r="A615">
        <v>105000</v>
      </c>
      <c r="B615">
        <v>1</v>
      </c>
      <c r="C615">
        <v>34.900001525878913</v>
      </c>
      <c r="D615">
        <v>0</v>
      </c>
      <c r="E615">
        <v>115480.00335693359</v>
      </c>
      <c r="F615">
        <v>2928</v>
      </c>
      <c r="G615">
        <v>0</v>
      </c>
      <c r="H615">
        <v>1</v>
      </c>
      <c r="I615">
        <v>0</v>
      </c>
      <c r="J615">
        <v>20.20000076293945</v>
      </c>
      <c r="K615">
        <v>0</v>
      </c>
      <c r="L615">
        <f>Résultats!G$32+Résultats!G$33*Données!C615+Résultats!G$34*Données!D615+Résultats!G$35*Données!E615+Résultats!G$36*Données!F615+Résultats!G$37*Données!G615+Résultats!G$38*Données!H615+Résultats!G$39*Données!I615</f>
        <v>94622.533941427013</v>
      </c>
      <c r="M615">
        <f t="shared" si="36"/>
        <v>10377.466058572987</v>
      </c>
      <c r="Q615">
        <v>213000</v>
      </c>
      <c r="R615">
        <v>1</v>
      </c>
      <c r="S615">
        <v>44.799999237060547</v>
      </c>
      <c r="T615">
        <v>0</v>
      </c>
      <c r="U615">
        <f t="shared" si="37"/>
        <v>12.354492650648448</v>
      </c>
      <c r="V615">
        <f t="shared" si="38"/>
        <v>6.584791392385716</v>
      </c>
      <c r="W615">
        <v>1</v>
      </c>
      <c r="X615">
        <v>0</v>
      </c>
      <c r="Y615">
        <v>0</v>
      </c>
      <c r="Z615">
        <f>'Résultat (Ln)'!F$30+'Résultat (Ln)'!F$31*Données!S615+'Résultat (Ln)'!F$32*Données!T615+'Résultat (Ln)'!F$33*Données!U615+'Résultat (Ln)'!F$34*Données!V615+'Résultat (Ln)'!F$35*Données!W615+'Résultat (Ln)'!F$36*Données!X615+'Résultat (Ln)'!F$37*Données!Y615</f>
        <v>138453.97209961023</v>
      </c>
      <c r="AA615">
        <f t="shared" si="39"/>
        <v>74546.027900389774</v>
      </c>
    </row>
    <row r="616" spans="1:27" x14ac:dyDescent="0.25">
      <c r="A616">
        <v>125000</v>
      </c>
      <c r="B616">
        <v>1</v>
      </c>
      <c r="C616">
        <v>27</v>
      </c>
      <c r="D616">
        <v>0</v>
      </c>
      <c r="E616">
        <v>170000</v>
      </c>
      <c r="F616">
        <v>5231</v>
      </c>
      <c r="G616">
        <v>1</v>
      </c>
      <c r="H616">
        <v>0</v>
      </c>
      <c r="I616">
        <v>0</v>
      </c>
      <c r="J616">
        <v>25</v>
      </c>
      <c r="K616">
        <v>1</v>
      </c>
      <c r="L616">
        <f>Résultats!G$32+Résultats!G$33*Données!C616+Résultats!G$34*Données!D616+Résultats!G$35*Données!E616+Résultats!G$36*Données!F616+Résultats!G$37*Données!G616+Résultats!G$38*Données!H616+Résultats!G$39*Données!I616</f>
        <v>124110.94609772679</v>
      </c>
      <c r="M616">
        <f t="shared" si="36"/>
        <v>889.05390227321186</v>
      </c>
      <c r="Q616">
        <v>105000</v>
      </c>
      <c r="R616">
        <v>1</v>
      </c>
      <c r="S616">
        <v>34.900001525878913</v>
      </c>
      <c r="T616">
        <v>0</v>
      </c>
      <c r="U616">
        <f t="shared" si="37"/>
        <v>11.656852662846264</v>
      </c>
      <c r="V616">
        <f t="shared" si="38"/>
        <v>7.9820748750812021</v>
      </c>
      <c r="W616">
        <v>0</v>
      </c>
      <c r="X616">
        <v>1</v>
      </c>
      <c r="Y616">
        <v>0</v>
      </c>
      <c r="Z616">
        <f>'Résultat (Ln)'!F$30+'Résultat (Ln)'!F$31*Données!S616+'Résultat (Ln)'!F$32*Données!T616+'Résultat (Ln)'!F$33*Données!U616+'Résultat (Ln)'!F$34*Données!V616+'Résultat (Ln)'!F$35*Données!W616+'Résultat (Ln)'!F$36*Données!X616+'Résultat (Ln)'!F$37*Données!Y616</f>
        <v>86068.208888885929</v>
      </c>
      <c r="AA616">
        <f t="shared" si="39"/>
        <v>18931.791111114071</v>
      </c>
    </row>
    <row r="617" spans="1:27" x14ac:dyDescent="0.25">
      <c r="A617">
        <v>70000</v>
      </c>
      <c r="B617">
        <v>1</v>
      </c>
      <c r="C617">
        <v>32</v>
      </c>
      <c r="D617">
        <v>0</v>
      </c>
      <c r="E617">
        <v>160000</v>
      </c>
      <c r="F617">
        <v>2917</v>
      </c>
      <c r="G617">
        <v>1</v>
      </c>
      <c r="H617">
        <v>0</v>
      </c>
      <c r="I617">
        <v>0</v>
      </c>
      <c r="J617">
        <v>27</v>
      </c>
      <c r="K617">
        <v>0</v>
      </c>
      <c r="L617">
        <f>Résultats!G$32+Résultats!G$33*Données!C617+Résultats!G$34*Données!D617+Résultats!G$35*Données!E617+Résultats!G$36*Données!F617+Résultats!G$37*Données!G617+Résultats!G$38*Données!H617+Résultats!G$39*Données!I617</f>
        <v>120700.72534223029</v>
      </c>
      <c r="M617">
        <f t="shared" si="36"/>
        <v>-50700.725342230289</v>
      </c>
      <c r="Q617">
        <v>125000</v>
      </c>
      <c r="R617">
        <v>1</v>
      </c>
      <c r="S617">
        <v>27</v>
      </c>
      <c r="T617">
        <v>0</v>
      </c>
      <c r="U617">
        <f t="shared" si="37"/>
        <v>12.043553716032399</v>
      </c>
      <c r="V617">
        <f t="shared" si="38"/>
        <v>8.5623577433706117</v>
      </c>
      <c r="W617">
        <v>1</v>
      </c>
      <c r="X617">
        <v>0</v>
      </c>
      <c r="Y617">
        <v>0</v>
      </c>
      <c r="Z617">
        <f>'Résultat (Ln)'!F$30+'Résultat (Ln)'!F$31*Données!S617+'Résultat (Ln)'!F$32*Données!T617+'Résultat (Ln)'!F$33*Données!U617+'Résultat (Ln)'!F$34*Données!V617+'Résultat (Ln)'!F$35*Données!W617+'Résultat (Ln)'!F$36*Données!X617+'Résultat (Ln)'!F$37*Données!Y617</f>
        <v>138832.78485800268</v>
      </c>
      <c r="AA617">
        <f t="shared" si="39"/>
        <v>-13832.784858002677</v>
      </c>
    </row>
    <row r="618" spans="1:27" x14ac:dyDescent="0.25">
      <c r="A618">
        <v>50000</v>
      </c>
      <c r="B618">
        <v>1</v>
      </c>
      <c r="C618">
        <v>22.79999923706055</v>
      </c>
      <c r="D618">
        <v>0</v>
      </c>
      <c r="E618">
        <v>171000</v>
      </c>
      <c r="F618">
        <v>2080</v>
      </c>
      <c r="G618">
        <v>1</v>
      </c>
      <c r="H618">
        <v>0</v>
      </c>
      <c r="I618">
        <v>0</v>
      </c>
      <c r="J618">
        <v>22.79999923706055</v>
      </c>
      <c r="K618">
        <v>1</v>
      </c>
      <c r="L618">
        <f>Résultats!G$32+Résultats!G$33*Données!C618+Résultats!G$34*Données!D618+Résultats!G$35*Données!E618+Résultats!G$36*Données!F618+Résultats!G$37*Données!G618+Résultats!G$38*Données!H618+Résultats!G$39*Données!I618</f>
        <v>113647.51490824239</v>
      </c>
      <c r="M618">
        <f t="shared" si="36"/>
        <v>-63647.514908242389</v>
      </c>
      <c r="Q618">
        <v>70000</v>
      </c>
      <c r="R618">
        <v>1</v>
      </c>
      <c r="S618">
        <v>32</v>
      </c>
      <c r="T618">
        <v>0</v>
      </c>
      <c r="U618">
        <f t="shared" si="37"/>
        <v>11.982929094215963</v>
      </c>
      <c r="V618">
        <f t="shared" si="38"/>
        <v>7.9783109698677217</v>
      </c>
      <c r="W618">
        <v>1</v>
      </c>
      <c r="X618">
        <v>0</v>
      </c>
      <c r="Y618">
        <v>0</v>
      </c>
      <c r="Z618">
        <f>'Résultat (Ln)'!F$30+'Résultat (Ln)'!F$31*Données!S618+'Résultat (Ln)'!F$32*Données!T618+'Résultat (Ln)'!F$33*Données!U618+'Résultat (Ln)'!F$34*Données!V618+'Résultat (Ln)'!F$35*Données!W618+'Résultat (Ln)'!F$36*Données!X618+'Résultat (Ln)'!F$37*Données!Y618</f>
        <v>122064.24418934745</v>
      </c>
      <c r="AA618">
        <f t="shared" si="39"/>
        <v>-52064.244189347446</v>
      </c>
    </row>
    <row r="619" spans="1:27" x14ac:dyDescent="0.25">
      <c r="A619">
        <v>65000</v>
      </c>
      <c r="B619">
        <v>1</v>
      </c>
      <c r="C619">
        <v>32</v>
      </c>
      <c r="D619">
        <v>0</v>
      </c>
      <c r="E619">
        <v>81000</v>
      </c>
      <c r="F619">
        <v>3125</v>
      </c>
      <c r="G619">
        <v>0</v>
      </c>
      <c r="H619">
        <v>0</v>
      </c>
      <c r="I619">
        <v>1</v>
      </c>
      <c r="J619">
        <v>28</v>
      </c>
      <c r="K619">
        <v>1</v>
      </c>
      <c r="L619">
        <f>Résultats!G$32+Résultats!G$33*Données!C619+Résultats!G$34*Données!D619+Résultats!G$35*Données!E619+Résultats!G$36*Données!F619+Résultats!G$37*Données!G619+Résultats!G$38*Données!H619+Résultats!G$39*Données!I619</f>
        <v>87123.315265090685</v>
      </c>
      <c r="M619">
        <f t="shared" si="36"/>
        <v>-22123.315265090685</v>
      </c>
      <c r="Q619">
        <v>50000</v>
      </c>
      <c r="R619">
        <v>1</v>
      </c>
      <c r="S619">
        <v>22.79999923706055</v>
      </c>
      <c r="T619">
        <v>0</v>
      </c>
      <c r="U619">
        <f t="shared" si="37"/>
        <v>12.049418835484797</v>
      </c>
      <c r="V619">
        <f t="shared" si="38"/>
        <v>7.6401231726953638</v>
      </c>
      <c r="W619">
        <v>1</v>
      </c>
      <c r="X619">
        <v>0</v>
      </c>
      <c r="Y619">
        <v>0</v>
      </c>
      <c r="Z619">
        <f>'Résultat (Ln)'!F$30+'Résultat (Ln)'!F$31*Données!S619+'Résultat (Ln)'!F$32*Données!T619+'Résultat (Ln)'!F$33*Données!U619+'Résultat (Ln)'!F$34*Données!V619+'Résultat (Ln)'!F$35*Données!W619+'Résultat (Ln)'!F$36*Données!X619+'Résultat (Ln)'!F$37*Données!Y619</f>
        <v>108464.12689710646</v>
      </c>
      <c r="AA619">
        <f t="shared" si="39"/>
        <v>-58464.126897106456</v>
      </c>
    </row>
    <row r="620" spans="1:27" x14ac:dyDescent="0.25">
      <c r="A620">
        <v>80000</v>
      </c>
      <c r="B620">
        <v>1</v>
      </c>
      <c r="C620">
        <v>21</v>
      </c>
      <c r="D620">
        <v>0</v>
      </c>
      <c r="E620">
        <v>210000</v>
      </c>
      <c r="F620">
        <v>4136</v>
      </c>
      <c r="G620">
        <v>1</v>
      </c>
      <c r="H620">
        <v>0</v>
      </c>
      <c r="I620">
        <v>0</v>
      </c>
      <c r="J620">
        <v>21</v>
      </c>
      <c r="K620">
        <v>1</v>
      </c>
      <c r="L620">
        <f>Résultats!G$32+Résultats!G$33*Données!C620+Résultats!G$34*Données!D620+Résultats!G$35*Données!E620+Résultats!G$36*Données!F620+Résultats!G$37*Données!G620+Résultats!G$38*Données!H620+Résultats!G$39*Données!I620</f>
        <v>133775.17740442257</v>
      </c>
      <c r="M620">
        <f t="shared" si="36"/>
        <v>-53775.177404422575</v>
      </c>
      <c r="Q620">
        <v>65000</v>
      </c>
      <c r="R620">
        <v>1</v>
      </c>
      <c r="S620">
        <v>32</v>
      </c>
      <c r="T620">
        <v>0</v>
      </c>
      <c r="U620">
        <f t="shared" si="37"/>
        <v>11.302204433654575</v>
      </c>
      <c r="V620">
        <f t="shared" si="38"/>
        <v>8.0471895621705016</v>
      </c>
      <c r="W620">
        <v>0</v>
      </c>
      <c r="X620">
        <v>0</v>
      </c>
      <c r="Y620">
        <v>1</v>
      </c>
      <c r="Z620">
        <f>'Résultat (Ln)'!F$30+'Résultat (Ln)'!F$31*Données!S620+'Résultat (Ln)'!F$32*Données!T620+'Résultat (Ln)'!F$33*Données!U620+'Résultat (Ln)'!F$34*Données!V620+'Résultat (Ln)'!F$35*Données!W620+'Résultat (Ln)'!F$36*Données!X620+'Résultat (Ln)'!F$37*Données!Y620</f>
        <v>60598.233436498878</v>
      </c>
      <c r="AA620">
        <f t="shared" si="39"/>
        <v>4401.7665635011217</v>
      </c>
    </row>
    <row r="621" spans="1:27" x14ac:dyDescent="0.25">
      <c r="A621">
        <v>59000</v>
      </c>
      <c r="B621">
        <v>1</v>
      </c>
      <c r="C621">
        <v>26.20000076293945</v>
      </c>
      <c r="D621">
        <v>0</v>
      </c>
      <c r="E621">
        <v>65000</v>
      </c>
      <c r="F621">
        <v>3427</v>
      </c>
      <c r="G621">
        <v>1</v>
      </c>
      <c r="H621">
        <v>0</v>
      </c>
      <c r="I621">
        <v>0</v>
      </c>
      <c r="J621">
        <v>12.32999992370606</v>
      </c>
      <c r="K621">
        <v>1</v>
      </c>
      <c r="L621">
        <f>Résultats!G$32+Résultats!G$33*Données!C621+Résultats!G$34*Données!D621+Résultats!G$35*Données!E621+Résultats!G$36*Données!F621+Résultats!G$37*Données!G621+Résultats!G$38*Données!H621+Résultats!G$39*Données!I621</f>
        <v>70666.149052349938</v>
      </c>
      <c r="M621">
        <f t="shared" si="36"/>
        <v>-11666.149052349938</v>
      </c>
      <c r="Q621">
        <v>80000</v>
      </c>
      <c r="R621">
        <v>1</v>
      </c>
      <c r="S621">
        <v>21</v>
      </c>
      <c r="T621">
        <v>0</v>
      </c>
      <c r="U621">
        <f t="shared" si="37"/>
        <v>12.254862809699606</v>
      </c>
      <c r="V621">
        <f t="shared" si="38"/>
        <v>8.3274844161882644</v>
      </c>
      <c r="W621">
        <v>1</v>
      </c>
      <c r="X621">
        <v>0</v>
      </c>
      <c r="Y621">
        <v>0</v>
      </c>
      <c r="Z621">
        <f>'Résultat (Ln)'!F$30+'Résultat (Ln)'!F$31*Données!S621+'Résultat (Ln)'!F$32*Données!T621+'Résultat (Ln)'!F$33*Données!U621+'Résultat (Ln)'!F$34*Données!V621+'Résultat (Ln)'!F$35*Données!W621+'Résultat (Ln)'!F$36*Données!X621+'Résultat (Ln)'!F$37*Données!Y621</f>
        <v>147564.72833192325</v>
      </c>
      <c r="AA621">
        <f t="shared" si="39"/>
        <v>-67564.728331923252</v>
      </c>
    </row>
    <row r="622" spans="1:27" x14ac:dyDescent="0.25">
      <c r="A622">
        <v>102000</v>
      </c>
      <c r="B622">
        <v>1</v>
      </c>
      <c r="C622">
        <v>24.20000076293945</v>
      </c>
      <c r="D622">
        <v>0</v>
      </c>
      <c r="E622">
        <v>113000</v>
      </c>
      <c r="F622">
        <v>2333</v>
      </c>
      <c r="G622">
        <v>0</v>
      </c>
      <c r="H622">
        <v>1</v>
      </c>
      <c r="I622">
        <v>1</v>
      </c>
      <c r="J622">
        <v>23.14999961853027</v>
      </c>
      <c r="K622">
        <v>1</v>
      </c>
      <c r="L622">
        <f>Résultats!G$32+Résultats!G$33*Données!C622+Résultats!G$34*Données!D622+Résultats!G$35*Données!E622+Résultats!G$36*Données!F622+Résultats!G$37*Données!G622+Résultats!G$38*Données!H622+Résultats!G$39*Données!I622</f>
        <v>89946.187709006175</v>
      </c>
      <c r="M622">
        <f t="shared" si="36"/>
        <v>12053.812290993825</v>
      </c>
      <c r="Q622">
        <v>59000</v>
      </c>
      <c r="R622">
        <v>1</v>
      </c>
      <c r="S622">
        <v>26.20000076293945</v>
      </c>
      <c r="T622">
        <v>0</v>
      </c>
      <c r="U622">
        <f t="shared" si="37"/>
        <v>11.082142548877775</v>
      </c>
      <c r="V622">
        <f t="shared" si="38"/>
        <v>8.139440521874608</v>
      </c>
      <c r="W622">
        <v>1</v>
      </c>
      <c r="X622">
        <v>0</v>
      </c>
      <c r="Y622">
        <v>0</v>
      </c>
      <c r="Z622">
        <f>'Résultat (Ln)'!F$30+'Résultat (Ln)'!F$31*Données!S622+'Résultat (Ln)'!F$32*Données!T622+'Résultat (Ln)'!F$33*Données!U622+'Résultat (Ln)'!F$34*Données!V622+'Résultat (Ln)'!F$35*Données!W622+'Résultat (Ln)'!F$36*Données!X622+'Résultat (Ln)'!F$37*Données!Y622</f>
        <v>22935.089618981459</v>
      </c>
      <c r="AA622">
        <f t="shared" si="39"/>
        <v>36064.910381018541</v>
      </c>
    </row>
    <row r="623" spans="1:27" x14ac:dyDescent="0.25">
      <c r="A623">
        <v>250000</v>
      </c>
      <c r="B623">
        <v>1</v>
      </c>
      <c r="C623">
        <v>32.400001525878913</v>
      </c>
      <c r="D623">
        <v>0</v>
      </c>
      <c r="E623">
        <v>330000</v>
      </c>
      <c r="F623">
        <v>7967</v>
      </c>
      <c r="G623">
        <v>1</v>
      </c>
      <c r="H623">
        <v>0</v>
      </c>
      <c r="I623">
        <v>0</v>
      </c>
      <c r="J623">
        <v>30</v>
      </c>
      <c r="K623">
        <v>1</v>
      </c>
      <c r="L623">
        <f>Résultats!G$32+Résultats!G$33*Données!C623+Résultats!G$34*Données!D623+Résultats!G$35*Données!E623+Résultats!G$36*Données!F623+Résultats!G$37*Données!G623+Résultats!G$38*Données!H623+Résultats!G$39*Données!I623</f>
        <v>210328.07711802161</v>
      </c>
      <c r="M623">
        <f t="shared" si="36"/>
        <v>39671.922881978389</v>
      </c>
      <c r="Q623">
        <v>102000</v>
      </c>
      <c r="R623">
        <v>1</v>
      </c>
      <c r="S623">
        <v>24.20000076293945</v>
      </c>
      <c r="T623">
        <v>0</v>
      </c>
      <c r="U623">
        <f t="shared" si="37"/>
        <v>11.635143097694478</v>
      </c>
      <c r="V623">
        <f t="shared" si="38"/>
        <v>7.75491027202143</v>
      </c>
      <c r="W623">
        <v>0</v>
      </c>
      <c r="X623">
        <v>1</v>
      </c>
      <c r="Y623">
        <v>1</v>
      </c>
      <c r="Z623">
        <f>'Résultat (Ln)'!F$30+'Résultat (Ln)'!F$31*Données!S623+'Résultat (Ln)'!F$32*Données!T623+'Résultat (Ln)'!F$33*Données!U623+'Résultat (Ln)'!F$34*Données!V623+'Résultat (Ln)'!F$35*Données!W623+'Résultat (Ln)'!F$36*Données!X623+'Résultat (Ln)'!F$37*Données!Y623</f>
        <v>78381.119963179517</v>
      </c>
      <c r="AA623">
        <f t="shared" si="39"/>
        <v>23618.880036820483</v>
      </c>
    </row>
    <row r="624" spans="1:27" x14ac:dyDescent="0.25">
      <c r="A624">
        <v>51000</v>
      </c>
      <c r="B624">
        <v>1</v>
      </c>
      <c r="C624">
        <v>26</v>
      </c>
      <c r="D624">
        <v>0</v>
      </c>
      <c r="E624">
        <v>57000</v>
      </c>
      <c r="F624">
        <v>2873</v>
      </c>
      <c r="G624">
        <v>0</v>
      </c>
      <c r="H624">
        <v>0</v>
      </c>
      <c r="I624">
        <v>0</v>
      </c>
      <c r="J624">
        <v>22</v>
      </c>
      <c r="K624">
        <v>0</v>
      </c>
      <c r="L624">
        <f>Résultats!G$32+Résultats!G$33*Données!C624+Résultats!G$34*Données!D624+Résultats!G$35*Données!E624+Résultats!G$36*Données!F624+Résultats!G$37*Données!G624+Résultats!G$38*Données!H624+Résultats!G$39*Données!I624</f>
        <v>58610.635269102124</v>
      </c>
      <c r="M624">
        <f t="shared" si="36"/>
        <v>-7610.6352691021239</v>
      </c>
      <c r="Q624">
        <v>250000</v>
      </c>
      <c r="R624">
        <v>1</v>
      </c>
      <c r="S624">
        <v>32.400001525878913</v>
      </c>
      <c r="T624">
        <v>0</v>
      </c>
      <c r="U624">
        <f t="shared" si="37"/>
        <v>12.706847933442663</v>
      </c>
      <c r="V624">
        <f t="shared" si="38"/>
        <v>8.9830632893803664</v>
      </c>
      <c r="W624">
        <v>1</v>
      </c>
      <c r="X624">
        <v>0</v>
      </c>
      <c r="Y624">
        <v>0</v>
      </c>
      <c r="Z624">
        <f>'Résultat (Ln)'!F$30+'Résultat (Ln)'!F$31*Données!S624+'Résultat (Ln)'!F$32*Données!T624+'Résultat (Ln)'!F$33*Données!U624+'Résultat (Ln)'!F$34*Données!V624+'Résultat (Ln)'!F$35*Données!W624+'Résultat (Ln)'!F$36*Données!X624+'Résultat (Ln)'!F$37*Données!Y624</f>
        <v>228333.02788328609</v>
      </c>
      <c r="AA624">
        <f t="shared" si="39"/>
        <v>21666.972116713907</v>
      </c>
    </row>
    <row r="625" spans="1:27" x14ac:dyDescent="0.25">
      <c r="A625">
        <v>180000</v>
      </c>
      <c r="B625">
        <v>1</v>
      </c>
      <c r="C625">
        <v>20</v>
      </c>
      <c r="D625">
        <v>0</v>
      </c>
      <c r="E625">
        <v>262000</v>
      </c>
      <c r="F625">
        <v>6400</v>
      </c>
      <c r="G625">
        <v>1</v>
      </c>
      <c r="H625">
        <v>0</v>
      </c>
      <c r="I625">
        <v>0</v>
      </c>
      <c r="J625">
        <v>15</v>
      </c>
      <c r="K625">
        <v>1</v>
      </c>
      <c r="L625">
        <f>Résultats!G$32+Résultats!G$33*Données!C625+Résultats!G$34*Données!D625+Résultats!G$35*Données!E625+Résultats!G$36*Données!F625+Résultats!G$37*Données!G625+Résultats!G$38*Données!H625+Résultats!G$39*Données!I625</f>
        <v>161295.22759235228</v>
      </c>
      <c r="M625">
        <f t="shared" si="36"/>
        <v>18704.772407647717</v>
      </c>
      <c r="Q625">
        <v>51000</v>
      </c>
      <c r="R625">
        <v>1</v>
      </c>
      <c r="S625">
        <v>26</v>
      </c>
      <c r="T625">
        <v>0</v>
      </c>
      <c r="U625">
        <f t="shared" si="37"/>
        <v>10.950806546816688</v>
      </c>
      <c r="V625">
        <f t="shared" si="38"/>
        <v>7.9631120589792896</v>
      </c>
      <c r="W625">
        <v>0</v>
      </c>
      <c r="X625">
        <v>0</v>
      </c>
      <c r="Y625">
        <v>0</v>
      </c>
      <c r="Z625">
        <f>'Résultat (Ln)'!F$30+'Résultat (Ln)'!F$31*Données!S625+'Résultat (Ln)'!F$32*Données!T625+'Résultat (Ln)'!F$33*Données!U625+'Résultat (Ln)'!F$34*Données!V625+'Résultat (Ln)'!F$35*Données!W625+'Résultat (Ln)'!F$36*Données!X625+'Résultat (Ln)'!F$37*Données!Y625</f>
        <v>-847.25904861852177</v>
      </c>
      <c r="AA625">
        <f t="shared" si="39"/>
        <v>51847.259048618522</v>
      </c>
    </row>
    <row r="626" spans="1:27" x14ac:dyDescent="0.25">
      <c r="A626">
        <v>67000</v>
      </c>
      <c r="B626">
        <v>1</v>
      </c>
      <c r="C626">
        <v>26.79999923706055</v>
      </c>
      <c r="D626">
        <v>0</v>
      </c>
      <c r="E626">
        <v>74000</v>
      </c>
      <c r="F626">
        <v>1916</v>
      </c>
      <c r="G626">
        <v>0</v>
      </c>
      <c r="H626">
        <v>1</v>
      </c>
      <c r="I626">
        <v>1</v>
      </c>
      <c r="J626">
        <v>10.38000011444092</v>
      </c>
      <c r="K626">
        <v>1</v>
      </c>
      <c r="L626">
        <f>Résultats!G$32+Résultats!G$33*Données!C626+Résultats!G$34*Données!D626+Résultats!G$35*Données!E626+Résultats!G$36*Données!F626+Résultats!G$37*Données!G626+Résultats!G$38*Données!H626+Résultats!G$39*Données!I626</f>
        <v>73913.494132228021</v>
      </c>
      <c r="M626">
        <f t="shared" si="36"/>
        <v>-6913.494132228021</v>
      </c>
      <c r="Q626">
        <v>180000</v>
      </c>
      <c r="R626">
        <v>1</v>
      </c>
      <c r="S626">
        <v>20</v>
      </c>
      <c r="T626">
        <v>0</v>
      </c>
      <c r="U626">
        <f t="shared" si="37"/>
        <v>12.476099782743233</v>
      </c>
      <c r="V626">
        <f t="shared" si="38"/>
        <v>8.7640532693477624</v>
      </c>
      <c r="W626">
        <v>1</v>
      </c>
      <c r="X626">
        <v>0</v>
      </c>
      <c r="Y626">
        <v>0</v>
      </c>
      <c r="Z626">
        <f>'Résultat (Ln)'!F$30+'Résultat (Ln)'!F$31*Données!S626+'Résultat (Ln)'!F$32*Données!T626+'Résultat (Ln)'!F$33*Données!U626+'Résultat (Ln)'!F$34*Données!V626+'Résultat (Ln)'!F$35*Données!W626+'Résultat (Ln)'!F$36*Données!X626+'Résultat (Ln)'!F$37*Données!Y626</f>
        <v>182302.22962859116</v>
      </c>
      <c r="AA626">
        <f t="shared" si="39"/>
        <v>-2302.229628591158</v>
      </c>
    </row>
    <row r="627" spans="1:27" x14ac:dyDescent="0.25">
      <c r="A627">
        <v>137000</v>
      </c>
      <c r="B627">
        <v>1</v>
      </c>
      <c r="C627">
        <v>28</v>
      </c>
      <c r="D627">
        <v>0</v>
      </c>
      <c r="E627">
        <v>182000</v>
      </c>
      <c r="F627">
        <v>3008</v>
      </c>
      <c r="G627">
        <v>0</v>
      </c>
      <c r="H627">
        <v>0</v>
      </c>
      <c r="I627">
        <v>0</v>
      </c>
      <c r="J627">
        <v>22</v>
      </c>
      <c r="K627">
        <v>0</v>
      </c>
      <c r="L627">
        <f>Résultats!G$32+Résultats!G$33*Données!C627+Résultats!G$34*Données!D627+Résultats!G$35*Données!E627+Résultats!G$36*Données!F627+Résultats!G$37*Données!G627+Résultats!G$38*Données!H627+Résultats!G$39*Données!I627</f>
        <v>119538.73590579213</v>
      </c>
      <c r="M627">
        <f t="shared" si="36"/>
        <v>17461.264094207872</v>
      </c>
      <c r="Q627">
        <v>67000</v>
      </c>
      <c r="R627">
        <v>1</v>
      </c>
      <c r="S627">
        <v>26.79999923706055</v>
      </c>
      <c r="T627">
        <v>0</v>
      </c>
      <c r="U627">
        <f t="shared" si="37"/>
        <v>11.211820372186306</v>
      </c>
      <c r="V627">
        <f t="shared" si="38"/>
        <v>7.5579949585308057</v>
      </c>
      <c r="W627">
        <v>0</v>
      </c>
      <c r="X627">
        <v>1</v>
      </c>
      <c r="Y627">
        <v>1</v>
      </c>
      <c r="Z627">
        <f>'Résultat (Ln)'!F$30+'Résultat (Ln)'!F$31*Données!S627+'Résultat (Ln)'!F$32*Données!T627+'Résultat (Ln)'!F$33*Données!U627+'Résultat (Ln)'!F$34*Données!V627+'Résultat (Ln)'!F$35*Données!W627+'Résultat (Ln)'!F$36*Données!X627+'Résultat (Ln)'!F$37*Données!Y627</f>
        <v>30657.459195693438</v>
      </c>
      <c r="AA627">
        <f t="shared" si="39"/>
        <v>36342.540804306562</v>
      </c>
    </row>
    <row r="628" spans="1:27" x14ac:dyDescent="0.25">
      <c r="A628">
        <v>73000</v>
      </c>
      <c r="B628">
        <v>1</v>
      </c>
      <c r="C628">
        <v>36</v>
      </c>
      <c r="D628">
        <v>0</v>
      </c>
      <c r="E628">
        <v>113000</v>
      </c>
      <c r="F628">
        <v>4600</v>
      </c>
      <c r="G628">
        <v>1</v>
      </c>
      <c r="H628">
        <v>0</v>
      </c>
      <c r="I628">
        <v>0</v>
      </c>
      <c r="J628">
        <v>14</v>
      </c>
      <c r="K628">
        <v>1</v>
      </c>
      <c r="L628">
        <f>Résultats!G$32+Résultats!G$33*Données!C628+Résultats!G$34*Données!D628+Résultats!G$35*Données!E628+Résultats!G$36*Données!F628+Résultats!G$37*Données!G628+Résultats!G$38*Données!H628+Résultats!G$39*Données!I628</f>
        <v>106609.89936765512</v>
      </c>
      <c r="M628">
        <f t="shared" si="36"/>
        <v>-33609.899367655118</v>
      </c>
      <c r="Q628">
        <v>137000</v>
      </c>
      <c r="R628">
        <v>1</v>
      </c>
      <c r="S628">
        <v>28</v>
      </c>
      <c r="T628">
        <v>0</v>
      </c>
      <c r="U628">
        <f t="shared" si="37"/>
        <v>12.111761966058932</v>
      </c>
      <c r="V628">
        <f t="shared" si="38"/>
        <v>8.0090306850697299</v>
      </c>
      <c r="W628">
        <v>0</v>
      </c>
      <c r="X628">
        <v>0</v>
      </c>
      <c r="Y628">
        <v>0</v>
      </c>
      <c r="Z628">
        <f>'Résultat (Ln)'!F$30+'Résultat (Ln)'!F$31*Données!S628+'Résultat (Ln)'!F$32*Données!T628+'Résultat (Ln)'!F$33*Données!U628+'Résultat (Ln)'!F$34*Données!V628+'Résultat (Ln)'!F$35*Données!W628+'Résultat (Ln)'!F$36*Données!X628+'Résultat (Ln)'!F$37*Données!Y628</f>
        <v>127333.92088442791</v>
      </c>
      <c r="AA628">
        <f t="shared" si="39"/>
        <v>9666.0791155720945</v>
      </c>
    </row>
    <row r="629" spans="1:27" x14ac:dyDescent="0.25">
      <c r="A629">
        <v>260000</v>
      </c>
      <c r="B629">
        <v>1</v>
      </c>
      <c r="C629">
        <v>16.89999961853027</v>
      </c>
      <c r="D629">
        <v>0</v>
      </c>
      <c r="E629">
        <v>325000</v>
      </c>
      <c r="F629">
        <v>33846</v>
      </c>
      <c r="G629">
        <v>1</v>
      </c>
      <c r="H629">
        <v>0</v>
      </c>
      <c r="I629">
        <v>0</v>
      </c>
      <c r="J629">
        <v>9.5299997329711914</v>
      </c>
      <c r="K629">
        <v>1</v>
      </c>
      <c r="L629">
        <f>Résultats!G$32+Résultats!G$33*Données!C629+Résultats!G$34*Données!D629+Résultats!G$35*Données!E629+Résultats!G$36*Données!F629+Résultats!G$37*Données!G629+Résultats!G$38*Données!H629+Résultats!G$39*Données!I629</f>
        <v>240336.91694581363</v>
      </c>
      <c r="M629">
        <f t="shared" si="36"/>
        <v>19663.083054186369</v>
      </c>
      <c r="Q629">
        <v>73000</v>
      </c>
      <c r="R629">
        <v>1</v>
      </c>
      <c r="S629">
        <v>36</v>
      </c>
      <c r="T629">
        <v>0</v>
      </c>
      <c r="U629">
        <f t="shared" si="37"/>
        <v>11.635143097694478</v>
      </c>
      <c r="V629">
        <f t="shared" si="38"/>
        <v>8.4338115824771869</v>
      </c>
      <c r="W629">
        <v>1</v>
      </c>
      <c r="X629">
        <v>0</v>
      </c>
      <c r="Y629">
        <v>0</v>
      </c>
      <c r="Z629">
        <f>'Résultat (Ln)'!F$30+'Résultat (Ln)'!F$31*Données!S629+'Résultat (Ln)'!F$32*Données!T629+'Résultat (Ln)'!F$33*Données!U629+'Résultat (Ln)'!F$34*Données!V629+'Résultat (Ln)'!F$35*Données!W629+'Résultat (Ln)'!F$36*Données!X629+'Résultat (Ln)'!F$37*Données!Y629</f>
        <v>102446.16702739631</v>
      </c>
      <c r="AA629">
        <f t="shared" si="39"/>
        <v>-29446.16702739631</v>
      </c>
    </row>
    <row r="630" spans="1:27" x14ac:dyDescent="0.25">
      <c r="A630">
        <v>320000</v>
      </c>
      <c r="B630">
        <v>1</v>
      </c>
      <c r="C630">
        <v>33</v>
      </c>
      <c r="D630">
        <v>0</v>
      </c>
      <c r="E630">
        <v>450000</v>
      </c>
      <c r="F630">
        <v>18300</v>
      </c>
      <c r="G630">
        <v>1</v>
      </c>
      <c r="H630">
        <v>0</v>
      </c>
      <c r="I630">
        <v>0</v>
      </c>
      <c r="J630">
        <v>18</v>
      </c>
      <c r="K630">
        <v>1</v>
      </c>
      <c r="L630">
        <f>Résultats!G$32+Résultats!G$33*Données!C630+Résultats!G$34*Données!D630+Résultats!G$35*Données!E630+Résultats!G$36*Données!F630+Résultats!G$37*Données!G630+Résultats!G$38*Données!H630+Résultats!G$39*Données!I630</f>
        <v>287074.8266838296</v>
      </c>
      <c r="M630">
        <f t="shared" si="36"/>
        <v>32925.173316170403</v>
      </c>
      <c r="Q630">
        <v>260000</v>
      </c>
      <c r="R630">
        <v>1</v>
      </c>
      <c r="S630">
        <v>16.89999961853027</v>
      </c>
      <c r="T630">
        <v>0</v>
      </c>
      <c r="U630">
        <f t="shared" si="37"/>
        <v>12.691580461311874</v>
      </c>
      <c r="V630">
        <f t="shared" si="38"/>
        <v>10.429576102968031</v>
      </c>
      <c r="W630">
        <v>1</v>
      </c>
      <c r="X630">
        <v>0</v>
      </c>
      <c r="Y630">
        <v>0</v>
      </c>
      <c r="Z630">
        <f>'Résultat (Ln)'!F$30+'Résultat (Ln)'!F$31*Données!S630+'Résultat (Ln)'!F$32*Données!T630+'Résultat (Ln)'!F$33*Données!U630+'Résultat (Ln)'!F$34*Données!V630+'Résultat (Ln)'!F$35*Données!W630+'Résultat (Ln)'!F$36*Données!X630+'Résultat (Ln)'!F$37*Données!Y630</f>
        <v>248323.38397486389</v>
      </c>
      <c r="AA630">
        <f t="shared" si="39"/>
        <v>11676.616025136114</v>
      </c>
    </row>
    <row r="631" spans="1:27" x14ac:dyDescent="0.25">
      <c r="A631">
        <v>108000</v>
      </c>
      <c r="B631">
        <v>1</v>
      </c>
      <c r="C631">
        <v>37</v>
      </c>
      <c r="D631">
        <v>1</v>
      </c>
      <c r="E631">
        <v>135000</v>
      </c>
      <c r="F631">
        <v>3625</v>
      </c>
      <c r="G631">
        <v>1</v>
      </c>
      <c r="H631">
        <v>0</v>
      </c>
      <c r="I631">
        <v>0</v>
      </c>
      <c r="J631">
        <v>30</v>
      </c>
      <c r="K631">
        <v>0</v>
      </c>
      <c r="L631">
        <f>Résultats!G$32+Résultats!G$33*Données!C631+Résultats!G$34*Données!D631+Résultats!G$35*Données!E631+Résultats!G$36*Données!F631+Résultats!G$37*Données!G631+Résultats!G$38*Données!H631+Résultats!G$39*Données!I631</f>
        <v>120990.44769124911</v>
      </c>
      <c r="M631">
        <f t="shared" si="36"/>
        <v>-12990.447691249108</v>
      </c>
      <c r="Q631">
        <v>320000</v>
      </c>
      <c r="R631">
        <v>1</v>
      </c>
      <c r="S631">
        <v>33</v>
      </c>
      <c r="T631">
        <v>0</v>
      </c>
      <c r="U631">
        <f t="shared" si="37"/>
        <v>13.017002861746503</v>
      </c>
      <c r="V631">
        <f t="shared" si="38"/>
        <v>9.8146563388295132</v>
      </c>
      <c r="W631">
        <v>1</v>
      </c>
      <c r="X631">
        <v>0</v>
      </c>
      <c r="Y631">
        <v>0</v>
      </c>
      <c r="Z631">
        <f>'Résultat (Ln)'!F$30+'Résultat (Ln)'!F$31*Données!S631+'Résultat (Ln)'!F$32*Données!T631+'Résultat (Ln)'!F$33*Données!U631+'Résultat (Ln)'!F$34*Données!V631+'Résultat (Ln)'!F$35*Données!W631+'Résultat (Ln)'!F$36*Données!X631+'Résultat (Ln)'!F$37*Données!Y631</f>
        <v>285636.17023541743</v>
      </c>
      <c r="AA631">
        <f t="shared" si="39"/>
        <v>34363.829764582566</v>
      </c>
    </row>
    <row r="632" spans="1:27" x14ac:dyDescent="0.25">
      <c r="A632">
        <v>120000</v>
      </c>
      <c r="B632">
        <v>1</v>
      </c>
      <c r="C632">
        <v>10</v>
      </c>
      <c r="D632">
        <v>0</v>
      </c>
      <c r="E632">
        <v>150000</v>
      </c>
      <c r="F632">
        <v>39147</v>
      </c>
      <c r="G632">
        <v>1</v>
      </c>
      <c r="H632">
        <v>0</v>
      </c>
      <c r="I632">
        <v>1</v>
      </c>
      <c r="J632">
        <v>2</v>
      </c>
      <c r="K632">
        <v>1</v>
      </c>
      <c r="L632">
        <f>Résultats!G$32+Résultats!G$33*Données!C632+Résultats!G$34*Données!D632+Résultats!G$35*Données!E632+Résultats!G$36*Données!F632+Résultats!G$37*Données!G632+Résultats!G$38*Données!H632+Résultats!G$39*Données!I632</f>
        <v>170891.93743321617</v>
      </c>
      <c r="M632">
        <f t="shared" si="36"/>
        <v>-50891.937433216168</v>
      </c>
      <c r="Q632">
        <v>108000</v>
      </c>
      <c r="R632">
        <v>1</v>
      </c>
      <c r="S632">
        <v>37</v>
      </c>
      <c r="T632">
        <v>1</v>
      </c>
      <c r="U632">
        <f t="shared" si="37"/>
        <v>11.813030057420567</v>
      </c>
      <c r="V632">
        <f t="shared" si="38"/>
        <v>8.1956095672887752</v>
      </c>
      <c r="W632">
        <v>1</v>
      </c>
      <c r="X632">
        <v>0</v>
      </c>
      <c r="Y632">
        <v>0</v>
      </c>
      <c r="Z632">
        <f>'Résultat (Ln)'!F$30+'Résultat (Ln)'!F$31*Données!S632+'Résultat (Ln)'!F$32*Données!T632+'Résultat (Ln)'!F$33*Données!U632+'Résultat (Ln)'!F$34*Données!V632+'Résultat (Ln)'!F$35*Données!W632+'Résultat (Ln)'!F$36*Données!X632+'Résultat (Ln)'!F$37*Données!Y632</f>
        <v>120405.14901238416</v>
      </c>
      <c r="AA632">
        <f t="shared" si="39"/>
        <v>-12405.149012384165</v>
      </c>
    </row>
    <row r="633" spans="1:27" x14ac:dyDescent="0.25">
      <c r="A633">
        <v>66000</v>
      </c>
      <c r="B633">
        <v>1</v>
      </c>
      <c r="C633">
        <v>35.5</v>
      </c>
      <c r="D633">
        <v>1</v>
      </c>
      <c r="E633">
        <v>96000</v>
      </c>
      <c r="F633">
        <v>2178</v>
      </c>
      <c r="G633">
        <v>1</v>
      </c>
      <c r="H633">
        <v>0</v>
      </c>
      <c r="I633">
        <v>0</v>
      </c>
      <c r="J633">
        <v>34.5</v>
      </c>
      <c r="K633">
        <v>1</v>
      </c>
      <c r="L633">
        <f>Résultats!G$32+Résultats!G$33*Données!C633+Résultats!G$34*Données!D633+Résultats!G$35*Données!E633+Résultats!G$36*Données!F633+Résultats!G$37*Données!G633+Résultats!G$38*Données!H633+Résultats!G$39*Données!I633</f>
        <v>98252.286326091664</v>
      </c>
      <c r="M633">
        <f t="shared" si="36"/>
        <v>-32252.286326091664</v>
      </c>
      <c r="Q633">
        <v>120000</v>
      </c>
      <c r="R633">
        <v>1</v>
      </c>
      <c r="S633">
        <v>10</v>
      </c>
      <c r="T633">
        <v>0</v>
      </c>
      <c r="U633">
        <f t="shared" si="37"/>
        <v>11.918390573078392</v>
      </c>
      <c r="V633">
        <f t="shared" si="38"/>
        <v>10.575079070130357</v>
      </c>
      <c r="W633">
        <v>1</v>
      </c>
      <c r="X633">
        <v>0</v>
      </c>
      <c r="Y633">
        <v>1</v>
      </c>
      <c r="Z633">
        <f>'Résultat (Ln)'!F$30+'Résultat (Ln)'!F$31*Données!S633+'Résultat (Ln)'!F$32*Données!T633+'Résultat (Ln)'!F$33*Données!U633+'Résultat (Ln)'!F$34*Données!V633+'Résultat (Ln)'!F$35*Données!W633+'Résultat (Ln)'!F$36*Données!X633+'Résultat (Ln)'!F$37*Données!Y633</f>
        <v>175176.45075781198</v>
      </c>
      <c r="AA633">
        <f t="shared" si="39"/>
        <v>-55176.450757811981</v>
      </c>
    </row>
    <row r="634" spans="1:27" x14ac:dyDescent="0.25">
      <c r="A634">
        <v>153000</v>
      </c>
      <c r="B634">
        <v>1</v>
      </c>
      <c r="C634">
        <v>32</v>
      </c>
      <c r="D634">
        <v>0</v>
      </c>
      <c r="E634">
        <v>191000</v>
      </c>
      <c r="F634">
        <v>5750</v>
      </c>
      <c r="G634">
        <v>0</v>
      </c>
      <c r="H634">
        <v>0</v>
      </c>
      <c r="I634">
        <v>0</v>
      </c>
      <c r="J634">
        <v>26</v>
      </c>
      <c r="K634">
        <v>0</v>
      </c>
      <c r="L634">
        <f>Résultats!G$32+Résultats!G$33*Données!C634+Résultats!G$34*Données!D634+Résultats!G$35*Données!E634+Résultats!G$36*Données!F634+Résultats!G$37*Données!G634+Résultats!G$38*Données!H634+Résultats!G$39*Données!I634</f>
        <v>133649.40979721909</v>
      </c>
      <c r="M634">
        <f t="shared" si="36"/>
        <v>19350.590202780906</v>
      </c>
      <c r="Q634">
        <v>66000</v>
      </c>
      <c r="R634">
        <v>1</v>
      </c>
      <c r="S634">
        <v>35.5</v>
      </c>
      <c r="T634">
        <v>1</v>
      </c>
      <c r="U634">
        <f t="shared" si="37"/>
        <v>11.472103470449973</v>
      </c>
      <c r="V634">
        <f t="shared" si="38"/>
        <v>7.6861623034929059</v>
      </c>
      <c r="W634">
        <v>1</v>
      </c>
      <c r="X634">
        <v>0</v>
      </c>
      <c r="Y634">
        <v>0</v>
      </c>
      <c r="Z634">
        <f>'Résultat (Ln)'!F$30+'Résultat (Ln)'!F$31*Données!S634+'Résultat (Ln)'!F$32*Données!T634+'Résultat (Ln)'!F$33*Données!U634+'Résultat (Ln)'!F$34*Données!V634+'Résultat (Ln)'!F$35*Données!W634+'Résultat (Ln)'!F$36*Données!X634+'Résultat (Ln)'!F$37*Données!Y634</f>
        <v>67738.416525968045</v>
      </c>
      <c r="AA634">
        <f t="shared" si="39"/>
        <v>-1738.4165259680449</v>
      </c>
    </row>
    <row r="635" spans="1:27" x14ac:dyDescent="0.25">
      <c r="A635">
        <v>58000</v>
      </c>
      <c r="B635">
        <v>1</v>
      </c>
      <c r="C635">
        <v>18</v>
      </c>
      <c r="D635">
        <v>0</v>
      </c>
      <c r="E635">
        <v>160000</v>
      </c>
      <c r="F635">
        <v>2383</v>
      </c>
      <c r="G635">
        <v>1</v>
      </c>
      <c r="H635">
        <v>0</v>
      </c>
      <c r="I635">
        <v>1</v>
      </c>
      <c r="J635">
        <v>15</v>
      </c>
      <c r="K635">
        <v>1</v>
      </c>
      <c r="L635">
        <f>Résultats!G$32+Résultats!G$33*Données!C635+Résultats!G$34*Données!D635+Résultats!G$35*Données!E635+Résultats!G$36*Données!F635+Résultats!G$37*Données!G635+Résultats!G$38*Données!H635+Résultats!G$39*Données!I635</f>
        <v>113510.01843823722</v>
      </c>
      <c r="M635">
        <f t="shared" si="36"/>
        <v>-55510.018438237224</v>
      </c>
      <c r="Q635">
        <v>153000</v>
      </c>
      <c r="R635">
        <v>1</v>
      </c>
      <c r="S635">
        <v>32</v>
      </c>
      <c r="T635">
        <v>0</v>
      </c>
      <c r="U635">
        <f t="shared" si="37"/>
        <v>12.160028707028767</v>
      </c>
      <c r="V635">
        <f t="shared" si="38"/>
        <v>8.6569551337913957</v>
      </c>
      <c r="W635">
        <v>0</v>
      </c>
      <c r="X635">
        <v>0</v>
      </c>
      <c r="Y635">
        <v>0</v>
      </c>
      <c r="Z635">
        <f>'Résultat (Ln)'!F$30+'Résultat (Ln)'!F$31*Données!S635+'Résultat (Ln)'!F$32*Données!T635+'Résultat (Ln)'!F$33*Données!U635+'Résultat (Ln)'!F$34*Données!V635+'Résultat (Ln)'!F$35*Données!W635+'Résultat (Ln)'!F$36*Données!X635+'Résultat (Ln)'!F$37*Données!Y635</f>
        <v>155567.62029078763</v>
      </c>
      <c r="AA635">
        <f t="shared" si="39"/>
        <v>-2567.6202907876286</v>
      </c>
    </row>
    <row r="636" spans="1:27" x14ac:dyDescent="0.25">
      <c r="A636">
        <v>168000</v>
      </c>
      <c r="B636">
        <v>1</v>
      </c>
      <c r="C636">
        <v>42</v>
      </c>
      <c r="D636">
        <v>0</v>
      </c>
      <c r="E636">
        <v>224000</v>
      </c>
      <c r="F636">
        <v>674</v>
      </c>
      <c r="G636">
        <v>1</v>
      </c>
      <c r="H636">
        <v>0</v>
      </c>
      <c r="I636">
        <v>1</v>
      </c>
      <c r="J636">
        <v>26</v>
      </c>
      <c r="K636">
        <v>0</v>
      </c>
      <c r="L636">
        <f>Résultats!G$32+Résultats!G$33*Données!C636+Résultats!G$34*Données!D636+Résultats!G$35*Données!E636+Résultats!G$36*Données!F636+Résultats!G$37*Données!G636+Résultats!G$38*Données!H636+Résultats!G$39*Données!I636</f>
        <v>167651.4381240338</v>
      </c>
      <c r="M636">
        <f t="shared" si="36"/>
        <v>348.56187596620293</v>
      </c>
      <c r="Q636">
        <v>58000</v>
      </c>
      <c r="R636">
        <v>1</v>
      </c>
      <c r="S636">
        <v>18</v>
      </c>
      <c r="T636">
        <v>0</v>
      </c>
      <c r="U636">
        <f t="shared" si="37"/>
        <v>11.982929094215963</v>
      </c>
      <c r="V636">
        <f t="shared" si="38"/>
        <v>7.7761154770987417</v>
      </c>
      <c r="W636">
        <v>1</v>
      </c>
      <c r="X636">
        <v>0</v>
      </c>
      <c r="Y636">
        <v>1</v>
      </c>
      <c r="Z636">
        <f>'Résultat (Ln)'!F$30+'Résultat (Ln)'!F$31*Données!S636+'Résultat (Ln)'!F$32*Données!T636+'Résultat (Ln)'!F$33*Données!U636+'Résultat (Ln)'!F$34*Données!V636+'Résultat (Ln)'!F$35*Données!W636+'Résultat (Ln)'!F$36*Données!X636+'Résultat (Ln)'!F$37*Données!Y636</f>
        <v>113371.86862483669</v>
      </c>
      <c r="AA636">
        <f t="shared" si="39"/>
        <v>-55371.868624836687</v>
      </c>
    </row>
    <row r="637" spans="1:27" x14ac:dyDescent="0.25">
      <c r="A637">
        <v>90000</v>
      </c>
      <c r="B637">
        <v>1</v>
      </c>
      <c r="C637">
        <v>27</v>
      </c>
      <c r="D637">
        <v>0</v>
      </c>
      <c r="E637">
        <v>112000</v>
      </c>
      <c r="F637">
        <v>2732</v>
      </c>
      <c r="G637">
        <v>1</v>
      </c>
      <c r="H637">
        <v>0</v>
      </c>
      <c r="I637">
        <v>1</v>
      </c>
      <c r="J637">
        <v>25</v>
      </c>
      <c r="K637">
        <v>1</v>
      </c>
      <c r="L637">
        <f>Résultats!G$32+Résultats!G$33*Données!C637+Résultats!G$34*Données!D637+Résultats!G$35*Données!E637+Résultats!G$36*Données!F637+Résultats!G$37*Données!G637+Résultats!G$38*Données!H637+Résultats!G$39*Données!I637</f>
        <v>102110.58274465986</v>
      </c>
      <c r="M637">
        <f t="shared" si="36"/>
        <v>-12110.582744659856</v>
      </c>
      <c r="Q637">
        <v>168000</v>
      </c>
      <c r="R637">
        <v>1</v>
      </c>
      <c r="S637">
        <v>42</v>
      </c>
      <c r="T637">
        <v>0</v>
      </c>
      <c r="U637">
        <f t="shared" si="37"/>
        <v>12.319401330837177</v>
      </c>
      <c r="V637">
        <f t="shared" si="38"/>
        <v>6.513230110912307</v>
      </c>
      <c r="W637">
        <v>1</v>
      </c>
      <c r="X637">
        <v>0</v>
      </c>
      <c r="Y637">
        <v>1</v>
      </c>
      <c r="Z637">
        <f>'Résultat (Ln)'!F$30+'Résultat (Ln)'!F$31*Données!S637+'Résultat (Ln)'!F$32*Données!T637+'Résultat (Ln)'!F$33*Données!U637+'Résultat (Ln)'!F$34*Données!V637+'Résultat (Ln)'!F$35*Données!W637+'Résultat (Ln)'!F$36*Données!X637+'Résultat (Ln)'!F$37*Données!Y637</f>
        <v>143350.56245662214</v>
      </c>
      <c r="AA637">
        <f t="shared" si="39"/>
        <v>24649.437543377862</v>
      </c>
    </row>
    <row r="638" spans="1:27" x14ac:dyDescent="0.25">
      <c r="A638">
        <v>210000</v>
      </c>
      <c r="B638">
        <v>1</v>
      </c>
      <c r="C638">
        <v>32</v>
      </c>
      <c r="D638">
        <v>0</v>
      </c>
      <c r="E638">
        <v>263000</v>
      </c>
      <c r="F638">
        <v>7054</v>
      </c>
      <c r="G638">
        <v>1</v>
      </c>
      <c r="H638">
        <v>0</v>
      </c>
      <c r="I638">
        <v>1</v>
      </c>
      <c r="J638">
        <v>31</v>
      </c>
      <c r="K638">
        <v>1</v>
      </c>
      <c r="L638">
        <f>Résultats!G$32+Résultats!G$33*Données!C638+Résultats!G$34*Données!D638+Résultats!G$35*Données!E638+Résultats!G$36*Données!F638+Résultats!G$37*Données!G638+Résultats!G$38*Données!H638+Résultats!G$39*Données!I638</f>
        <v>186738.99520461078</v>
      </c>
      <c r="M638">
        <f t="shared" si="36"/>
        <v>23261.004795389221</v>
      </c>
      <c r="Q638">
        <v>90000</v>
      </c>
      <c r="R638">
        <v>1</v>
      </c>
      <c r="S638">
        <v>27</v>
      </c>
      <c r="T638">
        <v>0</v>
      </c>
      <c r="U638">
        <f t="shared" si="37"/>
        <v>11.626254150277232</v>
      </c>
      <c r="V638">
        <f t="shared" si="38"/>
        <v>7.9127892206906809</v>
      </c>
      <c r="W638">
        <v>1</v>
      </c>
      <c r="X638">
        <v>0</v>
      </c>
      <c r="Y638">
        <v>1</v>
      </c>
      <c r="Z638">
        <f>'Résultat (Ln)'!F$30+'Résultat (Ln)'!F$31*Données!S638+'Résultat (Ln)'!F$32*Données!T638+'Résultat (Ln)'!F$33*Données!U638+'Résultat (Ln)'!F$34*Données!V638+'Résultat (Ln)'!F$35*Données!W638+'Résultat (Ln)'!F$36*Données!X638+'Résultat (Ln)'!F$37*Données!Y638</f>
        <v>89969.388223473317</v>
      </c>
      <c r="AA638">
        <f t="shared" si="39"/>
        <v>30.611776526682661</v>
      </c>
    </row>
    <row r="639" spans="1:27" x14ac:dyDescent="0.25">
      <c r="A639">
        <v>188000</v>
      </c>
      <c r="B639">
        <v>1</v>
      </c>
      <c r="C639">
        <v>27</v>
      </c>
      <c r="D639">
        <v>1</v>
      </c>
      <c r="E639">
        <v>278000</v>
      </c>
      <c r="F639">
        <v>9328</v>
      </c>
      <c r="G639">
        <v>1</v>
      </c>
      <c r="H639">
        <v>0</v>
      </c>
      <c r="I639">
        <v>0</v>
      </c>
      <c r="J639">
        <v>23</v>
      </c>
      <c r="K639">
        <v>1</v>
      </c>
      <c r="L639">
        <f>Résultats!G$32+Résultats!G$33*Données!C639+Résultats!G$34*Données!D639+Résultats!G$35*Données!E639+Résultats!G$36*Données!F639+Résultats!G$37*Données!G639+Résultats!G$38*Données!H639+Résultats!G$39*Données!I639</f>
        <v>187329.26266716188</v>
      </c>
      <c r="M639">
        <f t="shared" si="36"/>
        <v>670.7373328381218</v>
      </c>
      <c r="Q639">
        <v>210000</v>
      </c>
      <c r="R639">
        <v>1</v>
      </c>
      <c r="S639">
        <v>32</v>
      </c>
      <c r="T639">
        <v>0</v>
      </c>
      <c r="U639">
        <f t="shared" si="37"/>
        <v>12.479909311159902</v>
      </c>
      <c r="V639">
        <f t="shared" si="38"/>
        <v>8.861350110795998</v>
      </c>
      <c r="W639">
        <v>1</v>
      </c>
      <c r="X639">
        <v>0</v>
      </c>
      <c r="Y639">
        <v>1</v>
      </c>
      <c r="Z639">
        <f>'Résultat (Ln)'!F$30+'Résultat (Ln)'!F$31*Données!S639+'Résultat (Ln)'!F$32*Données!T639+'Résultat (Ln)'!F$33*Données!U639+'Résultat (Ln)'!F$34*Données!V639+'Résultat (Ln)'!F$35*Données!W639+'Résultat (Ln)'!F$36*Données!X639+'Résultat (Ln)'!F$37*Données!Y639</f>
        <v>214190.78380249432</v>
      </c>
      <c r="AA639">
        <f t="shared" si="39"/>
        <v>-4190.7838024943194</v>
      </c>
    </row>
    <row r="640" spans="1:27" x14ac:dyDescent="0.25">
      <c r="A640">
        <v>185000</v>
      </c>
      <c r="B640">
        <v>1</v>
      </c>
      <c r="C640">
        <v>38</v>
      </c>
      <c r="D640">
        <v>0</v>
      </c>
      <c r="E640">
        <v>315000</v>
      </c>
      <c r="F640">
        <v>7000</v>
      </c>
      <c r="G640">
        <v>1</v>
      </c>
      <c r="H640">
        <v>0</v>
      </c>
      <c r="I640">
        <v>0</v>
      </c>
      <c r="J640">
        <v>30</v>
      </c>
      <c r="K640">
        <v>1</v>
      </c>
      <c r="L640">
        <f>Résultats!G$32+Résultats!G$33*Données!C640+Résultats!G$34*Données!D640+Résultats!G$35*Données!E640+Résultats!G$36*Données!F640+Résultats!G$37*Données!G640+Résultats!G$38*Données!H640+Résultats!G$39*Données!I640</f>
        <v>207882.49007557379</v>
      </c>
      <c r="M640">
        <f t="shared" si="36"/>
        <v>-22882.490075573791</v>
      </c>
      <c r="Q640">
        <v>188000</v>
      </c>
      <c r="R640">
        <v>1</v>
      </c>
      <c r="S640">
        <v>27</v>
      </c>
      <c r="T640">
        <v>1</v>
      </c>
      <c r="U640">
        <f t="shared" si="37"/>
        <v>12.535376392672774</v>
      </c>
      <c r="V640">
        <f t="shared" si="38"/>
        <v>9.1407759085902729</v>
      </c>
      <c r="W640">
        <v>1</v>
      </c>
      <c r="X640">
        <v>0</v>
      </c>
      <c r="Y640">
        <v>0</v>
      </c>
      <c r="Z640">
        <f>'Résultat (Ln)'!F$30+'Résultat (Ln)'!F$31*Données!S640+'Résultat (Ln)'!F$32*Données!T640+'Résultat (Ln)'!F$33*Données!U640+'Résultat (Ln)'!F$34*Données!V640+'Résultat (Ln)'!F$35*Données!W640+'Résultat (Ln)'!F$36*Données!X640+'Résultat (Ln)'!F$37*Données!Y640</f>
        <v>212125.00330113163</v>
      </c>
      <c r="AA640">
        <f t="shared" si="39"/>
        <v>-24125.003301131626</v>
      </c>
    </row>
    <row r="641" spans="1:27" x14ac:dyDescent="0.25">
      <c r="A641">
        <v>68000</v>
      </c>
      <c r="B641">
        <v>1</v>
      </c>
      <c r="C641">
        <v>38</v>
      </c>
      <c r="D641">
        <v>0</v>
      </c>
      <c r="E641">
        <v>80000</v>
      </c>
      <c r="F641">
        <v>3300</v>
      </c>
      <c r="G641">
        <v>0</v>
      </c>
      <c r="H641">
        <v>0</v>
      </c>
      <c r="I641">
        <v>1</v>
      </c>
      <c r="J641">
        <v>28</v>
      </c>
      <c r="K641">
        <v>0</v>
      </c>
      <c r="L641">
        <f>Résultats!G$32+Résultats!G$33*Données!C641+Résultats!G$34*Données!D641+Résultats!G$35*Données!E641+Résultats!G$36*Données!F641+Résultats!G$37*Données!G641+Résultats!G$38*Données!H641+Résultats!G$39*Données!I641</f>
        <v>93887.497060131733</v>
      </c>
      <c r="M641">
        <f t="shared" si="36"/>
        <v>-25887.497060131733</v>
      </c>
      <c r="Q641">
        <v>185000</v>
      </c>
      <c r="R641">
        <v>1</v>
      </c>
      <c r="S641">
        <v>38</v>
      </c>
      <c r="T641">
        <v>0</v>
      </c>
      <c r="U641">
        <f t="shared" si="37"/>
        <v>12.66032791780777</v>
      </c>
      <c r="V641">
        <f t="shared" si="38"/>
        <v>8.8536654280374503</v>
      </c>
      <c r="W641">
        <v>1</v>
      </c>
      <c r="X641">
        <v>0</v>
      </c>
      <c r="Y641">
        <v>0</v>
      </c>
      <c r="Z641">
        <f>'Résultat (Ln)'!F$30+'Résultat (Ln)'!F$31*Données!S641+'Résultat (Ln)'!F$32*Données!T641+'Résultat (Ln)'!F$33*Données!U641+'Résultat (Ln)'!F$34*Données!V641+'Résultat (Ln)'!F$35*Données!W641+'Résultat (Ln)'!F$36*Données!X641+'Résultat (Ln)'!F$37*Données!Y641</f>
        <v>226560.65040469074</v>
      </c>
      <c r="AA641">
        <f t="shared" si="39"/>
        <v>-41560.650404690736</v>
      </c>
    </row>
    <row r="642" spans="1:27" x14ac:dyDescent="0.25">
      <c r="A642">
        <v>146000</v>
      </c>
      <c r="B642">
        <v>1</v>
      </c>
      <c r="C642">
        <v>30.39999961853027</v>
      </c>
      <c r="D642">
        <v>0</v>
      </c>
      <c r="E642">
        <v>158000</v>
      </c>
      <c r="F642">
        <v>2333</v>
      </c>
      <c r="G642">
        <v>1</v>
      </c>
      <c r="H642">
        <v>0</v>
      </c>
      <c r="I642">
        <v>0</v>
      </c>
      <c r="J642">
        <v>24.5</v>
      </c>
      <c r="K642">
        <v>1</v>
      </c>
      <c r="L642">
        <f>Résultats!G$32+Résultats!G$33*Données!C642+Résultats!G$34*Données!D642+Résultats!G$35*Données!E642+Résultats!G$36*Données!F642+Résultats!G$37*Données!G642+Résultats!G$38*Données!H642+Résultats!G$39*Données!I642</f>
        <v>116797.27793851228</v>
      </c>
      <c r="M642">
        <f t="shared" si="36"/>
        <v>29202.722061487715</v>
      </c>
      <c r="Q642">
        <v>68000</v>
      </c>
      <c r="R642">
        <v>1</v>
      </c>
      <c r="S642">
        <v>38</v>
      </c>
      <c r="T642">
        <v>0</v>
      </c>
      <c r="U642">
        <f t="shared" si="37"/>
        <v>11.289781913656018</v>
      </c>
      <c r="V642">
        <f t="shared" si="38"/>
        <v>8.1016777474545716</v>
      </c>
      <c r="W642">
        <v>0</v>
      </c>
      <c r="X642">
        <v>0</v>
      </c>
      <c r="Y642">
        <v>1</v>
      </c>
      <c r="Z642">
        <f>'Résultat (Ln)'!F$30+'Résultat (Ln)'!F$31*Données!S642+'Résultat (Ln)'!F$32*Données!T642+'Résultat (Ln)'!F$33*Données!U642+'Résultat (Ln)'!F$34*Données!V642+'Résultat (Ln)'!F$35*Données!W642+'Résultat (Ln)'!F$36*Données!X642+'Résultat (Ln)'!F$37*Données!Y642</f>
        <v>68127.004545247328</v>
      </c>
      <c r="AA642">
        <f t="shared" si="39"/>
        <v>-127.00454524732777</v>
      </c>
    </row>
    <row r="643" spans="1:27" x14ac:dyDescent="0.25">
      <c r="A643">
        <v>135000</v>
      </c>
      <c r="B643">
        <v>1</v>
      </c>
      <c r="C643">
        <v>39.200000762939453</v>
      </c>
      <c r="D643">
        <v>0</v>
      </c>
      <c r="E643">
        <v>150000</v>
      </c>
      <c r="F643">
        <v>3350</v>
      </c>
      <c r="G643">
        <v>1</v>
      </c>
      <c r="H643">
        <v>0</v>
      </c>
      <c r="I643">
        <v>0</v>
      </c>
      <c r="J643">
        <v>26.79999923706055</v>
      </c>
      <c r="K643">
        <v>1</v>
      </c>
      <c r="L643">
        <f>Résultats!G$32+Résultats!G$33*Données!C643+Résultats!G$34*Données!D643+Résultats!G$35*Données!E643+Résultats!G$36*Données!F643+Résultats!G$37*Données!G643+Résultats!G$38*Données!H643+Résultats!G$39*Données!I643</f>
        <v>125140.68219088999</v>
      </c>
      <c r="M643">
        <f t="shared" ref="M643:M706" si="40">A643-L643</f>
        <v>9859.3178091100126</v>
      </c>
      <c r="Q643">
        <v>146000</v>
      </c>
      <c r="R643">
        <v>1</v>
      </c>
      <c r="S643">
        <v>30.39999961853027</v>
      </c>
      <c r="T643">
        <v>0</v>
      </c>
      <c r="U643">
        <f t="shared" si="37"/>
        <v>11.970350312009105</v>
      </c>
      <c r="V643">
        <f t="shared" si="38"/>
        <v>7.75491027202143</v>
      </c>
      <c r="W643">
        <v>1</v>
      </c>
      <c r="X643">
        <v>0</v>
      </c>
      <c r="Y643">
        <v>0</v>
      </c>
      <c r="Z643">
        <f>'Résultat (Ln)'!F$30+'Résultat (Ln)'!F$31*Données!S643+'Résultat (Ln)'!F$32*Données!T643+'Résultat (Ln)'!F$33*Données!U643+'Résultat (Ln)'!F$34*Données!V643+'Résultat (Ln)'!F$35*Données!W643+'Résultat (Ln)'!F$36*Données!X643+'Résultat (Ln)'!F$37*Données!Y643</f>
        <v>112495.1387872272</v>
      </c>
      <c r="AA643">
        <f t="shared" si="39"/>
        <v>33504.861212772797</v>
      </c>
    </row>
    <row r="644" spans="1:27" x14ac:dyDescent="0.25">
      <c r="A644">
        <v>187000</v>
      </c>
      <c r="B644">
        <v>1</v>
      </c>
      <c r="C644">
        <v>26</v>
      </c>
      <c r="D644">
        <v>0</v>
      </c>
      <c r="E644">
        <v>210000</v>
      </c>
      <c r="F644">
        <v>2500</v>
      </c>
      <c r="G644">
        <v>0</v>
      </c>
      <c r="H644">
        <v>0</v>
      </c>
      <c r="I644">
        <v>1</v>
      </c>
      <c r="J644">
        <v>22</v>
      </c>
      <c r="K644">
        <v>1</v>
      </c>
      <c r="L644">
        <f>Résultats!G$32+Résultats!G$33*Données!C644+Résultats!G$34*Données!D644+Résultats!G$35*Données!E644+Résultats!G$36*Données!F644+Résultats!G$37*Données!G644+Résultats!G$38*Données!H644+Résultats!G$39*Données!I644</f>
        <v>139257.14754555488</v>
      </c>
      <c r="M644">
        <f t="shared" si="40"/>
        <v>47742.852454445121</v>
      </c>
      <c r="Q644">
        <v>135000</v>
      </c>
      <c r="R644">
        <v>1</v>
      </c>
      <c r="S644">
        <v>39.200000762939453</v>
      </c>
      <c r="T644">
        <v>0</v>
      </c>
      <c r="U644">
        <f t="shared" ref="U644:U707" si="41">LN(E643)</f>
        <v>11.918390573078392</v>
      </c>
      <c r="V644">
        <f t="shared" ref="V644:V707" si="42">LN(F643)</f>
        <v>8.1167156248191112</v>
      </c>
      <c r="W644">
        <v>1</v>
      </c>
      <c r="X644">
        <v>0</v>
      </c>
      <c r="Y644">
        <v>0</v>
      </c>
      <c r="Z644">
        <f>'Résultat (Ln)'!F$30+'Résultat (Ln)'!F$31*Données!S644+'Résultat (Ln)'!F$32*Données!T644+'Résultat (Ln)'!F$33*Données!U644+'Résultat (Ln)'!F$34*Données!V644+'Résultat (Ln)'!F$35*Données!W644+'Résultat (Ln)'!F$36*Données!X644+'Résultat (Ln)'!F$37*Données!Y644</f>
        <v>127826.36506156401</v>
      </c>
      <c r="AA644">
        <f t="shared" ref="AA644:AA707" si="43">Q644-Z644</f>
        <v>7173.6349384359928</v>
      </c>
    </row>
    <row r="645" spans="1:27" x14ac:dyDescent="0.25">
      <c r="A645">
        <v>48000</v>
      </c>
      <c r="B645">
        <v>1</v>
      </c>
      <c r="C645">
        <v>16</v>
      </c>
      <c r="D645">
        <v>0</v>
      </c>
      <c r="E645">
        <v>60000</v>
      </c>
      <c r="F645">
        <v>4885</v>
      </c>
      <c r="G645">
        <v>0</v>
      </c>
      <c r="H645">
        <v>0</v>
      </c>
      <c r="I645">
        <v>0</v>
      </c>
      <c r="J645">
        <v>11</v>
      </c>
      <c r="K645">
        <v>1</v>
      </c>
      <c r="L645">
        <f>Résultats!G$32+Résultats!G$33*Données!C645+Résultats!G$34*Données!D645+Résultats!G$35*Données!E645+Résultats!G$36*Données!F645+Résultats!G$37*Données!G645+Résultats!G$38*Données!H645+Résultats!G$39*Données!I645</f>
        <v>52423.619463843366</v>
      </c>
      <c r="M645">
        <f t="shared" si="40"/>
        <v>-4423.6194638433662</v>
      </c>
      <c r="Q645">
        <v>187000</v>
      </c>
      <c r="R645">
        <v>1</v>
      </c>
      <c r="S645">
        <v>26</v>
      </c>
      <c r="T645">
        <v>0</v>
      </c>
      <c r="U645">
        <f t="shared" si="41"/>
        <v>12.254862809699606</v>
      </c>
      <c r="V645">
        <f t="shared" si="42"/>
        <v>7.8240460108562919</v>
      </c>
      <c r="W645">
        <v>0</v>
      </c>
      <c r="X645">
        <v>0</v>
      </c>
      <c r="Y645">
        <v>1</v>
      </c>
      <c r="Z645">
        <f>'Résultat (Ln)'!F$30+'Résultat (Ln)'!F$31*Données!S645+'Résultat (Ln)'!F$32*Données!T645+'Résultat (Ln)'!F$33*Données!U645+'Résultat (Ln)'!F$34*Données!V645+'Résultat (Ln)'!F$35*Données!W645+'Résultat (Ln)'!F$36*Données!X645+'Résultat (Ln)'!F$37*Données!Y645</f>
        <v>149128.50399105402</v>
      </c>
      <c r="AA645">
        <f t="shared" si="43"/>
        <v>37871.496008945978</v>
      </c>
    </row>
    <row r="646" spans="1:27" x14ac:dyDescent="0.25">
      <c r="A646">
        <v>152000</v>
      </c>
      <c r="B646">
        <v>1</v>
      </c>
      <c r="C646">
        <v>24</v>
      </c>
      <c r="D646">
        <v>0</v>
      </c>
      <c r="E646">
        <v>190000</v>
      </c>
      <c r="F646">
        <v>3750</v>
      </c>
      <c r="G646">
        <v>1</v>
      </c>
      <c r="H646">
        <v>0</v>
      </c>
      <c r="I646">
        <v>1</v>
      </c>
      <c r="J646">
        <v>22</v>
      </c>
      <c r="K646">
        <v>1</v>
      </c>
      <c r="L646">
        <f>Résultats!G$32+Résultats!G$33*Données!C646+Résultats!G$34*Données!D646+Résultats!G$35*Données!E646+Résultats!G$36*Données!F646+Résultats!G$37*Données!G646+Résultats!G$38*Données!H646+Résultats!G$39*Données!I646</f>
        <v>137059.59410211042</v>
      </c>
      <c r="M646">
        <f t="shared" si="40"/>
        <v>14940.405897889577</v>
      </c>
      <c r="Q646">
        <v>48000</v>
      </c>
      <c r="R646">
        <v>1</v>
      </c>
      <c r="S646">
        <v>16</v>
      </c>
      <c r="T646">
        <v>0</v>
      </c>
      <c r="U646">
        <f t="shared" si="41"/>
        <v>11.002099841204238</v>
      </c>
      <c r="V646">
        <f t="shared" si="42"/>
        <v>8.4939245644768828</v>
      </c>
      <c r="W646">
        <v>0</v>
      </c>
      <c r="X646">
        <v>0</v>
      </c>
      <c r="Y646">
        <v>0</v>
      </c>
      <c r="Z646">
        <f>'Résultat (Ln)'!F$30+'Résultat (Ln)'!F$31*Données!S646+'Résultat (Ln)'!F$32*Données!T646+'Résultat (Ln)'!F$33*Données!U646+'Résultat (Ln)'!F$34*Données!V646+'Résultat (Ln)'!F$35*Données!W646+'Résultat (Ln)'!F$36*Données!X646+'Résultat (Ln)'!F$37*Données!Y646</f>
        <v>7317.802588959923</v>
      </c>
      <c r="AA646">
        <f t="shared" si="43"/>
        <v>40682.197411040077</v>
      </c>
    </row>
    <row r="647" spans="1:27" x14ac:dyDescent="0.25">
      <c r="A647">
        <v>300000</v>
      </c>
      <c r="B647">
        <v>1</v>
      </c>
      <c r="C647">
        <v>29</v>
      </c>
      <c r="D647">
        <v>1</v>
      </c>
      <c r="E647">
        <v>505000</v>
      </c>
      <c r="F647">
        <v>12500</v>
      </c>
      <c r="G647">
        <v>0</v>
      </c>
      <c r="H647">
        <v>0</v>
      </c>
      <c r="I647">
        <v>0</v>
      </c>
      <c r="J647">
        <v>29</v>
      </c>
      <c r="K647">
        <v>0</v>
      </c>
      <c r="L647">
        <f>Résultats!G$32+Résultats!G$33*Données!C647+Résultats!G$34*Données!D647+Résultats!G$35*Données!E647+Résultats!G$36*Données!F647+Résultats!G$37*Données!G647+Résultats!G$38*Données!H647+Résultats!G$39*Données!I647</f>
        <v>294755.03845721093</v>
      </c>
      <c r="M647">
        <f t="shared" si="40"/>
        <v>5244.9615427890676</v>
      </c>
      <c r="Q647">
        <v>152000</v>
      </c>
      <c r="R647">
        <v>1</v>
      </c>
      <c r="S647">
        <v>24</v>
      </c>
      <c r="T647">
        <v>0</v>
      </c>
      <c r="U647">
        <f t="shared" si="41"/>
        <v>12.154779351142624</v>
      </c>
      <c r="V647">
        <f t="shared" si="42"/>
        <v>8.2295111189644565</v>
      </c>
      <c r="W647">
        <v>1</v>
      </c>
      <c r="X647">
        <v>0</v>
      </c>
      <c r="Y647">
        <v>1</v>
      </c>
      <c r="Z647">
        <f>'Résultat (Ln)'!F$30+'Résultat (Ln)'!F$31*Données!S647+'Résultat (Ln)'!F$32*Données!T647+'Résultat (Ln)'!F$33*Données!U647+'Résultat (Ln)'!F$34*Données!V647+'Résultat (Ln)'!F$35*Données!W647+'Résultat (Ln)'!F$36*Données!X647+'Résultat (Ln)'!F$37*Données!Y647</f>
        <v>151841.54033264884</v>
      </c>
      <c r="AA647">
        <f t="shared" si="43"/>
        <v>158.45966735115508</v>
      </c>
    </row>
    <row r="648" spans="1:27" x14ac:dyDescent="0.25">
      <c r="A648">
        <v>164000</v>
      </c>
      <c r="B648">
        <v>1</v>
      </c>
      <c r="C648">
        <v>40</v>
      </c>
      <c r="D648">
        <v>0</v>
      </c>
      <c r="E648">
        <v>164000</v>
      </c>
      <c r="F648">
        <v>12000</v>
      </c>
      <c r="G648">
        <v>0</v>
      </c>
      <c r="H648">
        <v>0</v>
      </c>
      <c r="I648">
        <v>1</v>
      </c>
      <c r="J648">
        <v>16</v>
      </c>
      <c r="K648">
        <v>1</v>
      </c>
      <c r="L648">
        <f>Résultats!G$32+Résultats!G$33*Données!C648+Résultats!G$34*Données!D648+Résultats!G$35*Données!E648+Résultats!G$36*Données!F648+Résultats!G$37*Données!G648+Résultats!G$38*Données!H648+Résultats!G$39*Données!I648</f>
        <v>152267.6624689429</v>
      </c>
      <c r="M648">
        <f t="shared" si="40"/>
        <v>11732.337531057099</v>
      </c>
      <c r="Q648">
        <v>300000</v>
      </c>
      <c r="R648">
        <v>1</v>
      </c>
      <c r="S648">
        <v>29</v>
      </c>
      <c r="T648">
        <v>1</v>
      </c>
      <c r="U648">
        <f t="shared" si="41"/>
        <v>13.132313708257497</v>
      </c>
      <c r="V648">
        <f t="shared" si="42"/>
        <v>9.4334839232903924</v>
      </c>
      <c r="W648">
        <v>0</v>
      </c>
      <c r="X648">
        <v>0</v>
      </c>
      <c r="Y648">
        <v>0</v>
      </c>
      <c r="Z648">
        <f>'Résultat (Ln)'!F$30+'Résultat (Ln)'!F$31*Données!S648+'Résultat (Ln)'!F$32*Données!T648+'Résultat (Ln)'!F$33*Données!U648+'Résultat (Ln)'!F$34*Données!V648+'Résultat (Ln)'!F$35*Données!W648+'Résultat (Ln)'!F$36*Données!X648+'Résultat (Ln)'!F$37*Données!Y648</f>
        <v>282253.31637433346</v>
      </c>
      <c r="AA648">
        <f t="shared" si="43"/>
        <v>17746.683625666541</v>
      </c>
    </row>
    <row r="649" spans="1:27" x14ac:dyDescent="0.25">
      <c r="A649">
        <v>160000</v>
      </c>
      <c r="B649">
        <v>1</v>
      </c>
      <c r="C649">
        <v>28</v>
      </c>
      <c r="D649">
        <v>0</v>
      </c>
      <c r="E649">
        <v>234000</v>
      </c>
      <c r="F649">
        <v>6033</v>
      </c>
      <c r="G649">
        <v>1</v>
      </c>
      <c r="H649">
        <v>0</v>
      </c>
      <c r="I649">
        <v>0</v>
      </c>
      <c r="J649">
        <v>28</v>
      </c>
      <c r="K649">
        <v>1</v>
      </c>
      <c r="L649">
        <f>Résultats!G$32+Résultats!G$33*Données!C649+Résultats!G$34*Données!D649+Résultats!G$35*Données!E649+Résultats!G$36*Données!F649+Résultats!G$37*Données!G649+Résultats!G$38*Données!H649+Résultats!G$39*Données!I649</f>
        <v>156698.73113922836</v>
      </c>
      <c r="M649">
        <f t="shared" si="40"/>
        <v>3301.2688607716409</v>
      </c>
      <c r="Q649">
        <v>164000</v>
      </c>
      <c r="R649">
        <v>1</v>
      </c>
      <c r="S649">
        <v>40</v>
      </c>
      <c r="T649">
        <v>0</v>
      </c>
      <c r="U649">
        <f t="shared" si="41"/>
        <v>12.007621706806335</v>
      </c>
      <c r="V649">
        <f t="shared" si="42"/>
        <v>9.3926619287701367</v>
      </c>
      <c r="W649">
        <v>0</v>
      </c>
      <c r="X649">
        <v>0</v>
      </c>
      <c r="Y649">
        <v>1</v>
      </c>
      <c r="Z649">
        <f>'Résultat (Ln)'!F$30+'Résultat (Ln)'!F$31*Données!S649+'Résultat (Ln)'!F$32*Données!T649+'Résultat (Ln)'!F$33*Données!U649+'Résultat (Ln)'!F$34*Données!V649+'Résultat (Ln)'!F$35*Données!W649+'Résultat (Ln)'!F$36*Données!X649+'Résultat (Ln)'!F$37*Données!Y649</f>
        <v>183727.00465094991</v>
      </c>
      <c r="AA649">
        <f t="shared" si="43"/>
        <v>-19727.004650949908</v>
      </c>
    </row>
    <row r="650" spans="1:27" x14ac:dyDescent="0.25">
      <c r="A650">
        <v>76000</v>
      </c>
      <c r="B650">
        <v>1</v>
      </c>
      <c r="C650">
        <v>31.39999961853027</v>
      </c>
      <c r="D650">
        <v>0</v>
      </c>
      <c r="E650">
        <v>136000</v>
      </c>
      <c r="F650">
        <v>3858</v>
      </c>
      <c r="G650">
        <v>0</v>
      </c>
      <c r="H650">
        <v>0</v>
      </c>
      <c r="I650">
        <v>0</v>
      </c>
      <c r="J650">
        <v>21.229999542236332</v>
      </c>
      <c r="K650">
        <v>1</v>
      </c>
      <c r="L650">
        <f>Résultats!G$32+Résultats!G$33*Données!C650+Résultats!G$34*Données!D650+Résultats!G$35*Données!E650+Résultats!G$36*Données!F650+Résultats!G$37*Données!G650+Résultats!G$38*Données!H650+Résultats!G$39*Données!I650</f>
        <v>103611.48365856137</v>
      </c>
      <c r="M650">
        <f t="shared" si="40"/>
        <v>-27611.483658561367</v>
      </c>
      <c r="Q650">
        <v>160000</v>
      </c>
      <c r="R650">
        <v>1</v>
      </c>
      <c r="S650">
        <v>28</v>
      </c>
      <c r="T650">
        <v>0</v>
      </c>
      <c r="U650">
        <f t="shared" si="41"/>
        <v>12.363076394339839</v>
      </c>
      <c r="V650">
        <f t="shared" si="42"/>
        <v>8.7049996784407622</v>
      </c>
      <c r="W650">
        <v>1</v>
      </c>
      <c r="X650">
        <v>0</v>
      </c>
      <c r="Y650">
        <v>0</v>
      </c>
      <c r="Z650">
        <f>'Résultat (Ln)'!F$30+'Résultat (Ln)'!F$31*Données!S650+'Résultat (Ln)'!F$32*Données!T650+'Résultat (Ln)'!F$33*Données!U650+'Résultat (Ln)'!F$34*Données!V650+'Résultat (Ln)'!F$35*Données!W650+'Résultat (Ln)'!F$36*Données!X650+'Résultat (Ln)'!F$37*Données!Y650</f>
        <v>178306.74646992719</v>
      </c>
      <c r="AA650">
        <f t="shared" si="43"/>
        <v>-18306.746469927195</v>
      </c>
    </row>
    <row r="651" spans="1:27" x14ac:dyDescent="0.25">
      <c r="A651">
        <v>143000</v>
      </c>
      <c r="B651">
        <v>1</v>
      </c>
      <c r="C651">
        <v>31</v>
      </c>
      <c r="D651">
        <v>0</v>
      </c>
      <c r="E651">
        <v>178000</v>
      </c>
      <c r="F651">
        <v>5000</v>
      </c>
      <c r="G651">
        <v>1</v>
      </c>
      <c r="H651">
        <v>0</v>
      </c>
      <c r="I651">
        <v>1</v>
      </c>
      <c r="J651">
        <v>29</v>
      </c>
      <c r="K651">
        <v>1</v>
      </c>
      <c r="L651">
        <f>Résultats!G$32+Résultats!G$33*Données!C651+Résultats!G$34*Données!D651+Résultats!G$35*Données!E651+Résultats!G$36*Données!F651+Résultats!G$37*Données!G651+Résultats!G$38*Données!H651+Résultats!G$39*Données!I651</f>
        <v>141919.08173905787</v>
      </c>
      <c r="M651">
        <f t="shared" si="40"/>
        <v>1080.9182609421259</v>
      </c>
      <c r="Q651">
        <v>76000</v>
      </c>
      <c r="R651">
        <v>1</v>
      </c>
      <c r="S651">
        <v>31.39999961853027</v>
      </c>
      <c r="T651">
        <v>0</v>
      </c>
      <c r="U651">
        <f t="shared" si="41"/>
        <v>11.820410164718188</v>
      </c>
      <c r="V651">
        <f t="shared" si="42"/>
        <v>8.2579041934656736</v>
      </c>
      <c r="W651">
        <v>0</v>
      </c>
      <c r="X651">
        <v>0</v>
      </c>
      <c r="Y651">
        <v>0</v>
      </c>
      <c r="Z651">
        <f>'Résultat (Ln)'!F$30+'Résultat (Ln)'!F$31*Données!S651+'Résultat (Ln)'!F$32*Données!T651+'Résultat (Ln)'!F$33*Données!U651+'Résultat (Ln)'!F$34*Données!V651+'Résultat (Ln)'!F$35*Données!W651+'Résultat (Ln)'!F$36*Données!X651+'Résultat (Ln)'!F$37*Données!Y651</f>
        <v>107237.09322197686</v>
      </c>
      <c r="AA651">
        <f t="shared" si="43"/>
        <v>-31237.093221976858</v>
      </c>
    </row>
    <row r="652" spans="1:27" x14ac:dyDescent="0.25">
      <c r="A652">
        <v>120000</v>
      </c>
      <c r="B652">
        <v>1</v>
      </c>
      <c r="C652">
        <v>34</v>
      </c>
      <c r="D652">
        <v>0</v>
      </c>
      <c r="E652">
        <v>179000</v>
      </c>
      <c r="F652">
        <v>4667</v>
      </c>
      <c r="G652">
        <v>0</v>
      </c>
      <c r="H652">
        <v>0</v>
      </c>
      <c r="I652">
        <v>0</v>
      </c>
      <c r="J652">
        <v>28</v>
      </c>
      <c r="K652">
        <v>1</v>
      </c>
      <c r="L652">
        <f>Résultats!G$32+Résultats!G$33*Données!C652+Résultats!G$34*Données!D652+Résultats!G$35*Données!E652+Résultats!G$36*Données!F652+Résultats!G$37*Données!G652+Résultats!G$38*Données!H652+Résultats!G$39*Données!I652</f>
        <v>128244.68761426957</v>
      </c>
      <c r="M652">
        <f t="shared" si="40"/>
        <v>-8244.6876142695692</v>
      </c>
      <c r="Q652">
        <v>143000</v>
      </c>
      <c r="R652">
        <v>1</v>
      </c>
      <c r="S652">
        <v>31</v>
      </c>
      <c r="T652">
        <v>0</v>
      </c>
      <c r="U652">
        <f t="shared" si="41"/>
        <v>12.089538829274222</v>
      </c>
      <c r="V652">
        <f t="shared" si="42"/>
        <v>8.5171931914162382</v>
      </c>
      <c r="W652">
        <v>1</v>
      </c>
      <c r="X652">
        <v>0</v>
      </c>
      <c r="Y652">
        <v>1</v>
      </c>
      <c r="Z652">
        <f>'Résultat (Ln)'!F$30+'Résultat (Ln)'!F$31*Données!S652+'Résultat (Ln)'!F$32*Données!T652+'Résultat (Ln)'!F$33*Données!U652+'Résultat (Ln)'!F$34*Données!V652+'Résultat (Ln)'!F$35*Données!W652+'Résultat (Ln)'!F$36*Données!X652+'Résultat (Ln)'!F$37*Données!Y652</f>
        <v>161470.6042459429</v>
      </c>
      <c r="AA652">
        <f t="shared" si="43"/>
        <v>-18470.604245942901</v>
      </c>
    </row>
    <row r="653" spans="1:27" x14ac:dyDescent="0.25">
      <c r="A653">
        <v>117000</v>
      </c>
      <c r="B653">
        <v>1</v>
      </c>
      <c r="C653">
        <v>31</v>
      </c>
      <c r="D653">
        <v>0</v>
      </c>
      <c r="E653">
        <v>137000</v>
      </c>
      <c r="F653">
        <v>2750</v>
      </c>
      <c r="G653">
        <v>1</v>
      </c>
      <c r="H653">
        <v>0</v>
      </c>
      <c r="I653">
        <v>0</v>
      </c>
      <c r="J653">
        <v>26</v>
      </c>
      <c r="K653">
        <v>1</v>
      </c>
      <c r="L653">
        <f>Résultats!G$32+Résultats!G$33*Données!C653+Résultats!G$34*Données!D653+Résultats!G$35*Données!E653+Résultats!G$36*Données!F653+Résultats!G$37*Données!G653+Résultats!G$38*Données!H653+Résultats!G$39*Données!I653</f>
        <v>108488.51929356105</v>
      </c>
      <c r="M653">
        <f t="shared" si="40"/>
        <v>8511.4807064389461</v>
      </c>
      <c r="Q653">
        <v>120000</v>
      </c>
      <c r="R653">
        <v>1</v>
      </c>
      <c r="S653">
        <v>34</v>
      </c>
      <c r="T653">
        <v>0</v>
      </c>
      <c r="U653">
        <f t="shared" si="41"/>
        <v>12.095141084822892</v>
      </c>
      <c r="V653">
        <f t="shared" si="42"/>
        <v>8.4482717459498158</v>
      </c>
      <c r="W653">
        <v>0</v>
      </c>
      <c r="X653">
        <v>0</v>
      </c>
      <c r="Y653">
        <v>0</v>
      </c>
      <c r="Z653">
        <f>'Résultat (Ln)'!F$30+'Résultat (Ln)'!F$31*Données!S653+'Résultat (Ln)'!F$32*Données!T653+'Résultat (Ln)'!F$33*Données!U653+'Résultat (Ln)'!F$34*Données!V653+'Résultat (Ln)'!F$35*Données!W653+'Résultat (Ln)'!F$36*Données!X653+'Résultat (Ln)'!F$37*Données!Y653</f>
        <v>145203.34574237192</v>
      </c>
      <c r="AA653">
        <f t="shared" si="43"/>
        <v>-25203.345742371923</v>
      </c>
    </row>
    <row r="654" spans="1:27" x14ac:dyDescent="0.25">
      <c r="A654">
        <v>71000</v>
      </c>
      <c r="B654">
        <v>1</v>
      </c>
      <c r="C654">
        <v>38</v>
      </c>
      <c r="D654">
        <v>0</v>
      </c>
      <c r="E654">
        <v>88000</v>
      </c>
      <c r="F654">
        <v>6500</v>
      </c>
      <c r="G654">
        <v>0</v>
      </c>
      <c r="H654">
        <v>0</v>
      </c>
      <c r="I654">
        <v>0</v>
      </c>
      <c r="J654">
        <v>12</v>
      </c>
      <c r="K654">
        <v>1</v>
      </c>
      <c r="L654">
        <f>Résultats!G$32+Résultats!G$33*Données!C654+Résultats!G$34*Données!D654+Résultats!G$35*Données!E654+Résultats!G$36*Données!F654+Résultats!G$37*Données!G654+Résultats!G$38*Données!H654+Résultats!G$39*Données!I654</f>
        <v>93898.585922962506</v>
      </c>
      <c r="M654">
        <f t="shared" si="40"/>
        <v>-22898.585922962506</v>
      </c>
      <c r="Q654">
        <v>117000</v>
      </c>
      <c r="R654">
        <v>1</v>
      </c>
      <c r="S654">
        <v>31</v>
      </c>
      <c r="T654">
        <v>0</v>
      </c>
      <c r="U654">
        <f t="shared" si="41"/>
        <v>11.827736204810263</v>
      </c>
      <c r="V654">
        <f t="shared" si="42"/>
        <v>7.9193561906606167</v>
      </c>
      <c r="W654">
        <v>1</v>
      </c>
      <c r="X654">
        <v>0</v>
      </c>
      <c r="Y654">
        <v>0</v>
      </c>
      <c r="Z654">
        <f>'Résultat (Ln)'!F$30+'Résultat (Ln)'!F$31*Données!S654+'Résultat (Ln)'!F$32*Données!T654+'Résultat (Ln)'!F$33*Données!U654+'Résultat (Ln)'!F$34*Données!V654+'Résultat (Ln)'!F$35*Données!W654+'Résultat (Ln)'!F$36*Données!X654+'Résultat (Ln)'!F$37*Données!Y654</f>
        <v>102552.78001348929</v>
      </c>
      <c r="AA654">
        <f t="shared" si="43"/>
        <v>14447.21998651071</v>
      </c>
    </row>
    <row r="655" spans="1:27" x14ac:dyDescent="0.25">
      <c r="A655">
        <v>225000</v>
      </c>
      <c r="B655">
        <v>1</v>
      </c>
      <c r="C655">
        <v>33</v>
      </c>
      <c r="D655">
        <v>0</v>
      </c>
      <c r="E655">
        <v>330000</v>
      </c>
      <c r="F655">
        <v>7500</v>
      </c>
      <c r="G655">
        <v>1</v>
      </c>
      <c r="H655">
        <v>0</v>
      </c>
      <c r="I655">
        <v>0</v>
      </c>
      <c r="J655">
        <v>33</v>
      </c>
      <c r="K655">
        <v>1</v>
      </c>
      <c r="L655">
        <f>Résultats!G$32+Résultats!G$33*Données!C655+Résultats!G$34*Données!D655+Résultats!G$35*Données!E655+Résultats!G$36*Données!F655+Résultats!G$37*Données!G655+Résultats!G$38*Données!H655+Résultats!G$39*Données!I655</f>
        <v>210112.33089295236</v>
      </c>
      <c r="M655">
        <f t="shared" si="40"/>
        <v>14887.669107047637</v>
      </c>
      <c r="Q655">
        <v>71000</v>
      </c>
      <c r="R655">
        <v>1</v>
      </c>
      <c r="S655">
        <v>38</v>
      </c>
      <c r="T655">
        <v>0</v>
      </c>
      <c r="U655">
        <f t="shared" si="41"/>
        <v>11.385092093460344</v>
      </c>
      <c r="V655">
        <f t="shared" si="42"/>
        <v>8.7795574558837277</v>
      </c>
      <c r="W655">
        <v>0</v>
      </c>
      <c r="X655">
        <v>0</v>
      </c>
      <c r="Y655">
        <v>0</v>
      </c>
      <c r="Z655">
        <f>'Résultat (Ln)'!F$30+'Résultat (Ln)'!F$31*Données!S655+'Résultat (Ln)'!F$32*Données!T655+'Résultat (Ln)'!F$33*Données!U655+'Résultat (Ln)'!F$34*Données!V655+'Résultat (Ln)'!F$35*Données!W655+'Résultat (Ln)'!F$36*Données!X655+'Résultat (Ln)'!F$37*Données!Y655</f>
        <v>83268.576233527274</v>
      </c>
      <c r="AA655">
        <f t="shared" si="43"/>
        <v>-12268.576233527274</v>
      </c>
    </row>
    <row r="656" spans="1:27" x14ac:dyDescent="0.25">
      <c r="A656">
        <v>120000</v>
      </c>
      <c r="B656">
        <v>1</v>
      </c>
      <c r="C656">
        <v>36</v>
      </c>
      <c r="D656">
        <v>0</v>
      </c>
      <c r="E656">
        <v>135000</v>
      </c>
      <c r="F656">
        <v>4191</v>
      </c>
      <c r="G656">
        <v>0</v>
      </c>
      <c r="H656">
        <v>0</v>
      </c>
      <c r="I656">
        <v>0</v>
      </c>
      <c r="J656">
        <v>28</v>
      </c>
      <c r="K656">
        <v>1</v>
      </c>
      <c r="L656">
        <f>Résultats!G$32+Résultats!G$33*Données!C656+Résultats!G$34*Données!D656+Résultats!G$35*Données!E656+Résultats!G$36*Données!F656+Résultats!G$37*Données!G656+Résultats!G$38*Données!H656+Résultats!G$39*Données!I656</f>
        <v>109073.69776480999</v>
      </c>
      <c r="M656">
        <f t="shared" si="40"/>
        <v>10926.302235190014</v>
      </c>
      <c r="Q656">
        <v>225000</v>
      </c>
      <c r="R656">
        <v>1</v>
      </c>
      <c r="S656">
        <v>33</v>
      </c>
      <c r="T656">
        <v>0</v>
      </c>
      <c r="U656">
        <f t="shared" si="41"/>
        <v>12.706847933442663</v>
      </c>
      <c r="V656">
        <f t="shared" si="42"/>
        <v>8.9226582995244019</v>
      </c>
      <c r="W656">
        <v>1</v>
      </c>
      <c r="X656">
        <v>0</v>
      </c>
      <c r="Y656">
        <v>0</v>
      </c>
      <c r="Z656">
        <f>'Résultat (Ln)'!F$30+'Résultat (Ln)'!F$31*Données!S656+'Résultat (Ln)'!F$32*Données!T656+'Résultat (Ln)'!F$33*Données!U656+'Résultat (Ln)'!F$34*Données!V656+'Résultat (Ln)'!F$35*Données!W656+'Résultat (Ln)'!F$36*Données!X656+'Résultat (Ln)'!F$37*Données!Y656</f>
        <v>227372.14476571759</v>
      </c>
      <c r="AA656">
        <f t="shared" si="43"/>
        <v>-2372.1447657175886</v>
      </c>
    </row>
    <row r="657" spans="1:27" x14ac:dyDescent="0.25">
      <c r="A657">
        <v>170000</v>
      </c>
      <c r="B657">
        <v>1</v>
      </c>
      <c r="C657">
        <v>36</v>
      </c>
      <c r="D657">
        <v>0</v>
      </c>
      <c r="E657">
        <v>178000</v>
      </c>
      <c r="F657">
        <v>3125</v>
      </c>
      <c r="G657">
        <v>1</v>
      </c>
      <c r="H657">
        <v>0</v>
      </c>
      <c r="I657">
        <v>0</v>
      </c>
      <c r="J657">
        <v>29</v>
      </c>
      <c r="K657">
        <v>1</v>
      </c>
      <c r="L657">
        <f>Résultats!G$32+Résultats!G$33*Données!C657+Résultats!G$34*Données!D657+Résultats!G$35*Données!E657+Résultats!G$36*Données!F657+Résultats!G$37*Données!G657+Résultats!G$38*Données!H657+Résultats!G$39*Données!I657</f>
        <v>134103.6254668856</v>
      </c>
      <c r="M657">
        <f t="shared" si="40"/>
        <v>35896.374533114402</v>
      </c>
      <c r="Q657">
        <v>120000</v>
      </c>
      <c r="R657">
        <v>1</v>
      </c>
      <c r="S657">
        <v>36</v>
      </c>
      <c r="T657">
        <v>0</v>
      </c>
      <c r="U657">
        <f t="shared" si="41"/>
        <v>11.813030057420567</v>
      </c>
      <c r="V657">
        <f t="shared" si="42"/>
        <v>8.340694647925071</v>
      </c>
      <c r="W657">
        <v>0</v>
      </c>
      <c r="X657">
        <v>0</v>
      </c>
      <c r="Y657">
        <v>0</v>
      </c>
      <c r="Z657">
        <f>'Résultat (Ln)'!F$30+'Résultat (Ln)'!F$31*Données!S657+'Résultat (Ln)'!F$32*Données!T657+'Résultat (Ln)'!F$33*Données!U657+'Résultat (Ln)'!F$34*Données!V657+'Résultat (Ln)'!F$35*Données!W657+'Résultat (Ln)'!F$36*Données!X657+'Résultat (Ln)'!F$37*Données!Y657</f>
        <v>114389.29130445089</v>
      </c>
      <c r="AA657">
        <f t="shared" si="43"/>
        <v>5610.7086955491104</v>
      </c>
    </row>
    <row r="658" spans="1:27" x14ac:dyDescent="0.25">
      <c r="A658">
        <v>187000</v>
      </c>
      <c r="B658">
        <v>1</v>
      </c>
      <c r="C658">
        <v>17.39999961853027</v>
      </c>
      <c r="D658">
        <v>0</v>
      </c>
      <c r="E658">
        <v>434000</v>
      </c>
      <c r="F658">
        <v>8333</v>
      </c>
      <c r="G658">
        <v>0</v>
      </c>
      <c r="H658">
        <v>1</v>
      </c>
      <c r="I658">
        <v>0</v>
      </c>
      <c r="J658">
        <v>17</v>
      </c>
      <c r="K658">
        <v>1</v>
      </c>
      <c r="L658">
        <f>Résultats!G$32+Résultats!G$33*Données!C658+Résultats!G$34*Données!D658+Résultats!G$35*Données!E658+Résultats!G$36*Données!F658+Résultats!G$37*Données!G658+Résultats!G$38*Données!H658+Résultats!G$39*Données!I658</f>
        <v>233728.4943979338</v>
      </c>
      <c r="M658">
        <f t="shared" si="40"/>
        <v>-46728.494397933799</v>
      </c>
      <c r="Q658">
        <v>170000</v>
      </c>
      <c r="R658">
        <v>1</v>
      </c>
      <c r="S658">
        <v>36</v>
      </c>
      <c r="T658">
        <v>0</v>
      </c>
      <c r="U658">
        <f t="shared" si="41"/>
        <v>12.089538829274222</v>
      </c>
      <c r="V658">
        <f t="shared" si="42"/>
        <v>8.0471895621705016</v>
      </c>
      <c r="W658">
        <v>1</v>
      </c>
      <c r="X658">
        <v>0</v>
      </c>
      <c r="Y658">
        <v>0</v>
      </c>
      <c r="Z658">
        <f>'Résultat (Ln)'!F$30+'Résultat (Ln)'!F$31*Données!S658+'Résultat (Ln)'!F$32*Données!T658+'Résultat (Ln)'!F$33*Données!U658+'Résultat (Ln)'!F$34*Données!V658+'Résultat (Ln)'!F$35*Données!W658+'Résultat (Ln)'!F$36*Données!X658+'Résultat (Ln)'!F$37*Données!Y658</f>
        <v>140312.2537331559</v>
      </c>
      <c r="AA658">
        <f t="shared" si="43"/>
        <v>29687.7462668441</v>
      </c>
    </row>
    <row r="659" spans="1:27" x14ac:dyDescent="0.25">
      <c r="A659">
        <v>70000</v>
      </c>
      <c r="B659">
        <v>1</v>
      </c>
      <c r="C659">
        <v>31</v>
      </c>
      <c r="D659">
        <v>1</v>
      </c>
      <c r="E659">
        <v>85000</v>
      </c>
      <c r="F659">
        <v>3073</v>
      </c>
      <c r="G659">
        <v>0</v>
      </c>
      <c r="H659">
        <v>0</v>
      </c>
      <c r="I659">
        <v>0</v>
      </c>
      <c r="J659">
        <v>26</v>
      </c>
      <c r="K659">
        <v>1</v>
      </c>
      <c r="L659">
        <f>Résultats!G$32+Résultats!G$33*Données!C659+Résultats!G$34*Données!D659+Résultats!G$35*Données!E659+Résultats!G$36*Données!F659+Résultats!G$37*Données!G659+Résultats!G$38*Données!H659+Résultats!G$39*Données!I659</f>
        <v>82664.484875965863</v>
      </c>
      <c r="M659">
        <f t="shared" si="40"/>
        <v>-12664.484875965863</v>
      </c>
      <c r="Q659">
        <v>187000</v>
      </c>
      <c r="R659">
        <v>1</v>
      </c>
      <c r="S659">
        <v>17.39999961853027</v>
      </c>
      <c r="T659">
        <v>0</v>
      </c>
      <c r="U659">
        <f t="shared" si="41"/>
        <v>12.980799813082541</v>
      </c>
      <c r="V659">
        <f t="shared" si="42"/>
        <v>9.0279788143822071</v>
      </c>
      <c r="W659">
        <v>0</v>
      </c>
      <c r="X659">
        <v>1</v>
      </c>
      <c r="Y659">
        <v>0</v>
      </c>
      <c r="Z659">
        <f>'Résultat (Ln)'!F$30+'Résultat (Ln)'!F$31*Données!S659+'Résultat (Ln)'!F$32*Données!T659+'Résultat (Ln)'!F$33*Données!U659+'Résultat (Ln)'!F$34*Données!V659+'Résultat (Ln)'!F$35*Données!W659+'Résultat (Ln)'!F$36*Données!X659+'Résultat (Ln)'!F$37*Données!Y659</f>
        <v>235936.9594864891</v>
      </c>
      <c r="AA659">
        <f t="shared" si="43"/>
        <v>-48936.959486489097</v>
      </c>
    </row>
    <row r="660" spans="1:27" x14ac:dyDescent="0.25">
      <c r="A660">
        <v>92000</v>
      </c>
      <c r="B660">
        <v>1</v>
      </c>
      <c r="C660">
        <v>39</v>
      </c>
      <c r="D660">
        <v>0</v>
      </c>
      <c r="E660">
        <v>172000</v>
      </c>
      <c r="F660">
        <v>1980</v>
      </c>
      <c r="G660">
        <v>1</v>
      </c>
      <c r="H660">
        <v>0</v>
      </c>
      <c r="I660">
        <v>0</v>
      </c>
      <c r="J660">
        <v>31</v>
      </c>
      <c r="K660">
        <v>1</v>
      </c>
      <c r="L660">
        <f>Résultats!G$32+Résultats!G$33*Données!C660+Résultats!G$34*Données!D660+Résultats!G$35*Données!E660+Résultats!G$36*Données!F660+Résultats!G$37*Données!G660+Résultats!G$38*Données!H660+Résultats!G$39*Données!I660</f>
        <v>132529.15045841265</v>
      </c>
      <c r="M660">
        <f t="shared" si="40"/>
        <v>-40529.150458412652</v>
      </c>
      <c r="Q660">
        <v>70000</v>
      </c>
      <c r="R660">
        <v>1</v>
      </c>
      <c r="S660">
        <v>31</v>
      </c>
      <c r="T660">
        <v>1</v>
      </c>
      <c r="U660">
        <f t="shared" si="41"/>
        <v>11.350406535472453</v>
      </c>
      <c r="V660">
        <f t="shared" si="42"/>
        <v>8.030409562130485</v>
      </c>
      <c r="W660">
        <v>0</v>
      </c>
      <c r="X660">
        <v>0</v>
      </c>
      <c r="Y660">
        <v>0</v>
      </c>
      <c r="Z660">
        <f>'Résultat (Ln)'!F$30+'Résultat (Ln)'!F$31*Données!S660+'Résultat (Ln)'!F$32*Données!T660+'Résultat (Ln)'!F$33*Données!U660+'Résultat (Ln)'!F$34*Données!V660+'Résultat (Ln)'!F$35*Données!W660+'Résultat (Ln)'!F$36*Données!X660+'Résultat (Ln)'!F$37*Données!Y660</f>
        <v>54334.516743204935</v>
      </c>
      <c r="AA660">
        <f t="shared" si="43"/>
        <v>15665.483256795065</v>
      </c>
    </row>
    <row r="661" spans="1:27" x14ac:dyDescent="0.25">
      <c r="A661">
        <v>120000</v>
      </c>
      <c r="B661">
        <v>1</v>
      </c>
      <c r="C661">
        <v>36</v>
      </c>
      <c r="D661">
        <v>0</v>
      </c>
      <c r="E661">
        <v>139000</v>
      </c>
      <c r="F661">
        <v>1907</v>
      </c>
      <c r="G661">
        <v>0</v>
      </c>
      <c r="H661">
        <v>0</v>
      </c>
      <c r="I661">
        <v>0</v>
      </c>
      <c r="J661">
        <v>29</v>
      </c>
      <c r="K661">
        <v>0</v>
      </c>
      <c r="L661">
        <f>Résultats!G$32+Résultats!G$33*Données!C661+Résultats!G$34*Données!D661+Résultats!G$35*Données!E661+Résultats!G$36*Données!F661+Résultats!G$37*Données!G661+Résultats!G$38*Données!H661+Résultats!G$39*Données!I661</f>
        <v>106515.60449611417</v>
      </c>
      <c r="M661">
        <f t="shared" si="40"/>
        <v>13484.395503885826</v>
      </c>
      <c r="Q661">
        <v>92000</v>
      </c>
      <c r="R661">
        <v>1</v>
      </c>
      <c r="S661">
        <v>39</v>
      </c>
      <c r="T661">
        <v>0</v>
      </c>
      <c r="U661">
        <f t="shared" si="41"/>
        <v>12.05524975579559</v>
      </c>
      <c r="V661">
        <f t="shared" si="42"/>
        <v>7.5908521236885811</v>
      </c>
      <c r="W661">
        <v>1</v>
      </c>
      <c r="X661">
        <v>0</v>
      </c>
      <c r="Y661">
        <v>0</v>
      </c>
      <c r="Z661">
        <f>'Résultat (Ln)'!F$30+'Résultat (Ln)'!F$31*Données!S661+'Résultat (Ln)'!F$32*Données!T661+'Résultat (Ln)'!F$33*Données!U661+'Résultat (Ln)'!F$34*Données!V661+'Résultat (Ln)'!F$35*Données!W661+'Résultat (Ln)'!F$36*Données!X661+'Résultat (Ln)'!F$37*Données!Y661</f>
        <v>127504.39470491216</v>
      </c>
      <c r="AA661">
        <f t="shared" si="43"/>
        <v>-35504.394704912163</v>
      </c>
    </row>
    <row r="662" spans="1:27" x14ac:dyDescent="0.25">
      <c r="A662">
        <v>70000</v>
      </c>
      <c r="B662">
        <v>1</v>
      </c>
      <c r="C662">
        <v>20</v>
      </c>
      <c r="D662">
        <v>0</v>
      </c>
      <c r="E662">
        <v>171000</v>
      </c>
      <c r="F662">
        <v>3371</v>
      </c>
      <c r="G662">
        <v>1</v>
      </c>
      <c r="H662">
        <v>0</v>
      </c>
      <c r="I662">
        <v>0</v>
      </c>
      <c r="J662">
        <v>20</v>
      </c>
      <c r="K662">
        <v>1</v>
      </c>
      <c r="L662">
        <f>Résultats!G$32+Résultats!G$33*Données!C662+Résultats!G$34*Données!D662+Résultats!G$35*Données!E662+Résultats!G$36*Données!F662+Résultats!G$37*Données!G662+Résultats!G$38*Données!H662+Résultats!G$39*Données!I662</f>
        <v>112932.92221226945</v>
      </c>
      <c r="M662">
        <f t="shared" si="40"/>
        <v>-42932.922212269448</v>
      </c>
      <c r="Q662">
        <v>120000</v>
      </c>
      <c r="R662">
        <v>1</v>
      </c>
      <c r="S662">
        <v>36</v>
      </c>
      <c r="T662">
        <v>0</v>
      </c>
      <c r="U662">
        <f t="shared" si="41"/>
        <v>11.842229212112828</v>
      </c>
      <c r="V662">
        <f t="shared" si="42"/>
        <v>7.5532866056004186</v>
      </c>
      <c r="W662">
        <v>0</v>
      </c>
      <c r="X662">
        <v>0</v>
      </c>
      <c r="Y662">
        <v>0</v>
      </c>
      <c r="Z662">
        <f>'Résultat (Ln)'!F$30+'Résultat (Ln)'!F$31*Données!S662+'Résultat (Ln)'!F$32*Données!T662+'Résultat (Ln)'!F$33*Données!U662+'Résultat (Ln)'!F$34*Données!V662+'Résultat (Ln)'!F$35*Données!W662+'Résultat (Ln)'!F$36*Données!X662+'Résultat (Ln)'!F$37*Données!Y662</f>
        <v>95435.828360618092</v>
      </c>
      <c r="AA662">
        <f t="shared" si="43"/>
        <v>24564.171639381908</v>
      </c>
    </row>
    <row r="663" spans="1:27" x14ac:dyDescent="0.25">
      <c r="A663">
        <v>113000</v>
      </c>
      <c r="B663">
        <v>1</v>
      </c>
      <c r="C663">
        <v>38</v>
      </c>
      <c r="D663">
        <v>0</v>
      </c>
      <c r="E663">
        <v>125000</v>
      </c>
      <c r="F663">
        <v>3416</v>
      </c>
      <c r="G663">
        <v>1</v>
      </c>
      <c r="H663">
        <v>0</v>
      </c>
      <c r="I663">
        <v>0</v>
      </c>
      <c r="J663">
        <v>18</v>
      </c>
      <c r="K663">
        <v>0</v>
      </c>
      <c r="L663">
        <f>Résultats!G$32+Résultats!G$33*Données!C663+Résultats!G$34*Données!D663+Résultats!G$35*Données!E663+Résultats!G$36*Données!F663+Résultats!G$37*Données!G663+Résultats!G$38*Données!H663+Résultats!G$39*Données!I663</f>
        <v>112216.33910890714</v>
      </c>
      <c r="M663">
        <f t="shared" si="40"/>
        <v>783.66089109286258</v>
      </c>
      <c r="Q663">
        <v>70000</v>
      </c>
      <c r="R663">
        <v>1</v>
      </c>
      <c r="S663">
        <v>20</v>
      </c>
      <c r="T663">
        <v>0</v>
      </c>
      <c r="U663">
        <f t="shared" si="41"/>
        <v>12.049418835484797</v>
      </c>
      <c r="V663">
        <f t="shared" si="42"/>
        <v>8.1229647152340601</v>
      </c>
      <c r="W663">
        <v>1</v>
      </c>
      <c r="X663">
        <v>0</v>
      </c>
      <c r="Y663">
        <v>0</v>
      </c>
      <c r="Z663">
        <f>'Résultat (Ln)'!F$30+'Résultat (Ln)'!F$31*Données!S663+'Résultat (Ln)'!F$32*Données!T663+'Résultat (Ln)'!F$33*Données!U663+'Résultat (Ln)'!F$34*Données!V663+'Résultat (Ln)'!F$35*Données!W663+'Résultat (Ln)'!F$36*Données!X663+'Résultat (Ln)'!F$37*Données!Y663</f>
        <v>118584.08701203325</v>
      </c>
      <c r="AA663">
        <f t="shared" si="43"/>
        <v>-48584.087012033255</v>
      </c>
    </row>
    <row r="664" spans="1:27" x14ac:dyDescent="0.25">
      <c r="A664">
        <v>158000</v>
      </c>
      <c r="B664">
        <v>1</v>
      </c>
      <c r="C664">
        <v>33.799999237060547</v>
      </c>
      <c r="D664">
        <v>0</v>
      </c>
      <c r="E664">
        <v>175000</v>
      </c>
      <c r="F664">
        <v>3858</v>
      </c>
      <c r="G664">
        <v>0</v>
      </c>
      <c r="H664">
        <v>0</v>
      </c>
      <c r="I664">
        <v>0</v>
      </c>
      <c r="J664">
        <v>29.20000076293945</v>
      </c>
      <c r="K664">
        <v>1</v>
      </c>
      <c r="L664">
        <f>Résultats!G$32+Résultats!G$33*Données!C664+Résultats!G$34*Données!D664+Résultats!G$35*Données!E664+Résultats!G$36*Données!F664+Résultats!G$37*Données!G664+Résultats!G$38*Données!H664+Résultats!G$39*Données!I664</f>
        <v>124579.46960849312</v>
      </c>
      <c r="M664">
        <f t="shared" si="40"/>
        <v>33420.53039150688</v>
      </c>
      <c r="Q664">
        <v>113000</v>
      </c>
      <c r="R664">
        <v>1</v>
      </c>
      <c r="S664">
        <v>38</v>
      </c>
      <c r="T664">
        <v>0</v>
      </c>
      <c r="U664">
        <f t="shared" si="41"/>
        <v>11.736069016284437</v>
      </c>
      <c r="V664">
        <f t="shared" si="42"/>
        <v>8.1362255549084601</v>
      </c>
      <c r="W664">
        <v>1</v>
      </c>
      <c r="X664">
        <v>0</v>
      </c>
      <c r="Y664">
        <v>0</v>
      </c>
      <c r="Z664">
        <f>'Résultat (Ln)'!F$30+'Résultat (Ln)'!F$31*Données!S664+'Résultat (Ln)'!F$32*Données!T664+'Résultat (Ln)'!F$33*Données!U664+'Résultat (Ln)'!F$34*Données!V664+'Résultat (Ln)'!F$35*Données!W664+'Résultat (Ln)'!F$36*Données!X664+'Résultat (Ln)'!F$37*Données!Y664</f>
        <v>107363.02387894162</v>
      </c>
      <c r="AA664">
        <f t="shared" si="43"/>
        <v>5636.976121058382</v>
      </c>
    </row>
    <row r="665" spans="1:27" x14ac:dyDescent="0.25">
      <c r="A665">
        <v>83000</v>
      </c>
      <c r="B665">
        <v>1</v>
      </c>
      <c r="C665">
        <v>19</v>
      </c>
      <c r="D665">
        <v>0</v>
      </c>
      <c r="E665">
        <v>110000</v>
      </c>
      <c r="F665">
        <v>11000</v>
      </c>
      <c r="G665">
        <v>0</v>
      </c>
      <c r="H665">
        <v>0</v>
      </c>
      <c r="I665">
        <v>1</v>
      </c>
      <c r="J665">
        <v>8</v>
      </c>
      <c r="K665">
        <v>1</v>
      </c>
      <c r="L665">
        <f>Résultats!G$32+Résultats!G$33*Données!C665+Résultats!G$34*Données!D665+Résultats!G$35*Données!E665+Résultats!G$36*Données!F665+Résultats!G$37*Données!G665+Résultats!G$38*Données!H665+Résultats!G$39*Données!I665</f>
        <v>100992.32063339322</v>
      </c>
      <c r="M665">
        <f t="shared" si="40"/>
        <v>-17992.320633393218</v>
      </c>
      <c r="Q665">
        <v>158000</v>
      </c>
      <c r="R665">
        <v>1</v>
      </c>
      <c r="S665">
        <v>33.799999237060547</v>
      </c>
      <c r="T665">
        <v>0</v>
      </c>
      <c r="U665">
        <f t="shared" si="41"/>
        <v>12.072541252905651</v>
      </c>
      <c r="V665">
        <f t="shared" si="42"/>
        <v>8.2579041934656736</v>
      </c>
      <c r="W665">
        <v>0</v>
      </c>
      <c r="X665">
        <v>0</v>
      </c>
      <c r="Y665">
        <v>0</v>
      </c>
      <c r="Z665">
        <f>'Résultat (Ln)'!F$30+'Résultat (Ln)'!F$31*Données!S665+'Résultat (Ln)'!F$32*Données!T665+'Résultat (Ln)'!F$33*Données!U665+'Résultat (Ln)'!F$34*Données!V665+'Résultat (Ln)'!F$35*Données!W665+'Résultat (Ln)'!F$36*Données!X665+'Résultat (Ln)'!F$37*Données!Y665</f>
        <v>137197.32588494333</v>
      </c>
      <c r="AA665">
        <f t="shared" si="43"/>
        <v>20802.674115056667</v>
      </c>
    </row>
    <row r="666" spans="1:27" x14ac:dyDescent="0.25">
      <c r="A666">
        <v>90000</v>
      </c>
      <c r="B666">
        <v>1</v>
      </c>
      <c r="C666">
        <v>22.5</v>
      </c>
      <c r="D666">
        <v>0</v>
      </c>
      <c r="E666">
        <v>105000</v>
      </c>
      <c r="F666">
        <v>2600</v>
      </c>
      <c r="G666">
        <v>1</v>
      </c>
      <c r="H666">
        <v>0</v>
      </c>
      <c r="I666">
        <v>0</v>
      </c>
      <c r="J666">
        <v>21</v>
      </c>
      <c r="K666">
        <v>1</v>
      </c>
      <c r="L666">
        <f>Résultats!G$32+Résultats!G$33*Données!C666+Résultats!G$34*Données!D666+Résultats!G$35*Données!E666+Résultats!G$36*Données!F666+Résultats!G$37*Données!G666+Résultats!G$38*Données!H666+Résultats!G$39*Données!I666</f>
        <v>83491.648368673137</v>
      </c>
      <c r="M666">
        <f t="shared" si="40"/>
        <v>6508.3516313268628</v>
      </c>
      <c r="Q666">
        <v>83000</v>
      </c>
      <c r="R666">
        <v>1</v>
      </c>
      <c r="S666">
        <v>19</v>
      </c>
      <c r="T666">
        <v>0</v>
      </c>
      <c r="U666">
        <f t="shared" si="41"/>
        <v>11.608235644774552</v>
      </c>
      <c r="V666">
        <f t="shared" si="42"/>
        <v>9.3056505517805075</v>
      </c>
      <c r="W666">
        <v>0</v>
      </c>
      <c r="X666">
        <v>0</v>
      </c>
      <c r="Y666">
        <v>1</v>
      </c>
      <c r="Z666">
        <f>'Résultat (Ln)'!F$30+'Résultat (Ln)'!F$31*Données!S666+'Résultat (Ln)'!F$32*Données!T666+'Résultat (Ln)'!F$33*Données!U666+'Résultat (Ln)'!F$34*Données!V666+'Résultat (Ln)'!F$35*Données!W666+'Résultat (Ln)'!F$36*Données!X666+'Résultat (Ln)'!F$37*Données!Y666</f>
        <v>112811.42610707958</v>
      </c>
      <c r="AA666">
        <f t="shared" si="43"/>
        <v>-29811.426107079576</v>
      </c>
    </row>
    <row r="667" spans="1:27" x14ac:dyDescent="0.25">
      <c r="A667">
        <v>148000</v>
      </c>
      <c r="B667">
        <v>1</v>
      </c>
      <c r="C667">
        <v>36</v>
      </c>
      <c r="D667">
        <v>1</v>
      </c>
      <c r="E667">
        <v>164000</v>
      </c>
      <c r="F667">
        <v>4241</v>
      </c>
      <c r="G667">
        <v>1</v>
      </c>
      <c r="H667">
        <v>0</v>
      </c>
      <c r="I667">
        <v>1</v>
      </c>
      <c r="J667">
        <v>22</v>
      </c>
      <c r="K667">
        <v>1</v>
      </c>
      <c r="L667">
        <f>Résultats!G$32+Résultats!G$33*Données!C667+Résultats!G$34*Données!D667+Résultats!G$35*Données!E667+Résultats!G$36*Données!F667+Résultats!G$37*Données!G667+Résultats!G$38*Données!H667+Résultats!G$39*Données!I667</f>
        <v>144502.55597791175</v>
      </c>
      <c r="M667">
        <f t="shared" si="40"/>
        <v>3497.4440220882534</v>
      </c>
      <c r="Q667">
        <v>90000</v>
      </c>
      <c r="R667">
        <v>1</v>
      </c>
      <c r="S667">
        <v>22.5</v>
      </c>
      <c r="T667">
        <v>0</v>
      </c>
      <c r="U667">
        <f t="shared" si="41"/>
        <v>11.561715629139661</v>
      </c>
      <c r="V667">
        <f t="shared" si="42"/>
        <v>7.8632667240095735</v>
      </c>
      <c r="W667">
        <v>1</v>
      </c>
      <c r="X667">
        <v>0</v>
      </c>
      <c r="Y667">
        <v>0</v>
      </c>
      <c r="Z667">
        <f>'Résultat (Ln)'!F$30+'Résultat (Ln)'!F$31*Données!S667+'Résultat (Ln)'!F$32*Données!T667+'Résultat (Ln)'!F$33*Données!U667+'Résultat (Ln)'!F$34*Données!V667+'Résultat (Ln)'!F$35*Données!W667+'Résultat (Ln)'!F$36*Données!X667+'Résultat (Ln)'!F$37*Données!Y667</f>
        <v>62076.131928274197</v>
      </c>
      <c r="AA667">
        <f t="shared" si="43"/>
        <v>27923.868071725803</v>
      </c>
    </row>
    <row r="668" spans="1:27" x14ac:dyDescent="0.25">
      <c r="A668">
        <v>108000</v>
      </c>
      <c r="B668">
        <v>1</v>
      </c>
      <c r="C668">
        <v>33.799999237060547</v>
      </c>
      <c r="D668">
        <v>0</v>
      </c>
      <c r="E668">
        <v>120000</v>
      </c>
      <c r="F668">
        <v>3850</v>
      </c>
      <c r="G668">
        <v>1</v>
      </c>
      <c r="H668">
        <v>0</v>
      </c>
      <c r="I668">
        <v>1</v>
      </c>
      <c r="J668">
        <v>27</v>
      </c>
      <c r="K668">
        <v>1</v>
      </c>
      <c r="L668">
        <f>Résultats!G$32+Résultats!G$33*Données!C668+Résultats!G$34*Données!D668+Résultats!G$35*Données!E668+Résultats!G$36*Données!F668+Résultats!G$37*Données!G668+Résultats!G$38*Données!H668+Résultats!G$39*Données!I668</f>
        <v>115823.61287059044</v>
      </c>
      <c r="M668">
        <f t="shared" si="40"/>
        <v>-7823.6128705904412</v>
      </c>
      <c r="Q668">
        <v>148000</v>
      </c>
      <c r="R668">
        <v>1</v>
      </c>
      <c r="S668">
        <v>36</v>
      </c>
      <c r="T668">
        <v>1</v>
      </c>
      <c r="U668">
        <f t="shared" si="41"/>
        <v>12.007621706806335</v>
      </c>
      <c r="V668">
        <f t="shared" si="42"/>
        <v>8.352554369474591</v>
      </c>
      <c r="W668">
        <v>1</v>
      </c>
      <c r="X668">
        <v>0</v>
      </c>
      <c r="Y668">
        <v>1</v>
      </c>
      <c r="Z668">
        <f>'Résultat (Ln)'!F$30+'Résultat (Ln)'!F$31*Données!S668+'Résultat (Ln)'!F$32*Données!T668+'Résultat (Ln)'!F$33*Données!U668+'Résultat (Ln)'!F$34*Données!V668+'Résultat (Ln)'!F$35*Données!W668+'Résultat (Ln)'!F$36*Données!X668+'Résultat (Ln)'!F$37*Données!Y668</f>
        <v>158531.04244968615</v>
      </c>
      <c r="AA668">
        <f t="shared" si="43"/>
        <v>-10531.042449686152</v>
      </c>
    </row>
    <row r="669" spans="1:27" x14ac:dyDescent="0.25">
      <c r="A669">
        <v>166000</v>
      </c>
      <c r="B669">
        <v>1</v>
      </c>
      <c r="C669">
        <v>42</v>
      </c>
      <c r="D669">
        <v>0</v>
      </c>
      <c r="E669">
        <v>207000</v>
      </c>
      <c r="F669">
        <v>4923</v>
      </c>
      <c r="G669">
        <v>0</v>
      </c>
      <c r="H669">
        <v>0</v>
      </c>
      <c r="I669">
        <v>1</v>
      </c>
      <c r="J669">
        <v>33</v>
      </c>
      <c r="K669">
        <v>1</v>
      </c>
      <c r="L669">
        <f>Résultats!G$32+Résultats!G$33*Données!C669+Résultats!G$34*Données!D669+Résultats!G$35*Données!E669+Résultats!G$36*Données!F669+Résultats!G$37*Données!G669+Résultats!G$38*Données!H669+Résultats!G$39*Données!I669</f>
        <v>160930.27259264709</v>
      </c>
      <c r="M669">
        <f t="shared" si="40"/>
        <v>5069.7274073529115</v>
      </c>
      <c r="Q669">
        <v>108000</v>
      </c>
      <c r="R669">
        <v>1</v>
      </c>
      <c r="S669">
        <v>33.799999237060547</v>
      </c>
      <c r="T669">
        <v>0</v>
      </c>
      <c r="U669">
        <f t="shared" si="41"/>
        <v>11.695247021764184</v>
      </c>
      <c r="V669">
        <f t="shared" si="42"/>
        <v>8.2558284272818305</v>
      </c>
      <c r="W669">
        <v>1</v>
      </c>
      <c r="X669">
        <v>0</v>
      </c>
      <c r="Y669">
        <v>1</v>
      </c>
      <c r="Z669">
        <f>'Résultat (Ln)'!F$30+'Résultat (Ln)'!F$31*Données!S669+'Résultat (Ln)'!F$32*Données!T669+'Résultat (Ln)'!F$33*Données!U669+'Résultat (Ln)'!F$34*Données!V669+'Résultat (Ln)'!F$35*Données!W669+'Résultat (Ln)'!F$36*Données!X669+'Résultat (Ln)'!F$37*Données!Y669</f>
        <v>115295.80235812847</v>
      </c>
      <c r="AA669">
        <f t="shared" si="43"/>
        <v>-7295.8023581284651</v>
      </c>
    </row>
    <row r="670" spans="1:27" x14ac:dyDescent="0.25">
      <c r="A670">
        <v>100000</v>
      </c>
      <c r="B670">
        <v>1</v>
      </c>
      <c r="C670">
        <v>14</v>
      </c>
      <c r="D670">
        <v>0</v>
      </c>
      <c r="E670">
        <v>286000</v>
      </c>
      <c r="F670">
        <v>3600</v>
      </c>
      <c r="G670">
        <v>1</v>
      </c>
      <c r="H670">
        <v>0</v>
      </c>
      <c r="I670">
        <v>0</v>
      </c>
      <c r="J670">
        <v>13</v>
      </c>
      <c r="K670">
        <v>1</v>
      </c>
      <c r="L670">
        <f>Résultats!G$32+Résultats!G$33*Données!C670+Résultats!G$34*Données!D670+Résultats!G$35*Données!E670+Résultats!G$36*Données!F670+Résultats!G$37*Données!G670+Résultats!G$38*Données!H670+Résultats!G$39*Données!I670</f>
        <v>160184.27914167245</v>
      </c>
      <c r="M670">
        <f t="shared" si="40"/>
        <v>-60184.27914167245</v>
      </c>
      <c r="Q670">
        <v>166000</v>
      </c>
      <c r="R670">
        <v>1</v>
      </c>
      <c r="S670">
        <v>42</v>
      </c>
      <c r="T670">
        <v>0</v>
      </c>
      <c r="U670">
        <f t="shared" si="41"/>
        <v>12.240474072247506</v>
      </c>
      <c r="V670">
        <f t="shared" si="42"/>
        <v>8.5016733797582003</v>
      </c>
      <c r="W670">
        <v>0</v>
      </c>
      <c r="X670">
        <v>0</v>
      </c>
      <c r="Y670">
        <v>1</v>
      </c>
      <c r="Z670">
        <f>'Résultat (Ln)'!F$30+'Résultat (Ln)'!F$31*Données!S670+'Résultat (Ln)'!F$32*Données!T670+'Résultat (Ln)'!F$33*Données!U670+'Résultat (Ln)'!F$34*Données!V670+'Résultat (Ln)'!F$35*Données!W670+'Résultat (Ln)'!F$36*Données!X670+'Résultat (Ln)'!F$37*Données!Y670</f>
        <v>186143.34748190301</v>
      </c>
      <c r="AA670">
        <f t="shared" si="43"/>
        <v>-20143.347481903009</v>
      </c>
    </row>
    <row r="671" spans="1:27" x14ac:dyDescent="0.25">
      <c r="A671">
        <v>187000</v>
      </c>
      <c r="B671">
        <v>1</v>
      </c>
      <c r="C671">
        <v>30.70000076293945</v>
      </c>
      <c r="D671">
        <v>0</v>
      </c>
      <c r="E671">
        <v>298000</v>
      </c>
      <c r="F671">
        <v>6084</v>
      </c>
      <c r="G671">
        <v>1</v>
      </c>
      <c r="H671">
        <v>0</v>
      </c>
      <c r="I671">
        <v>0</v>
      </c>
      <c r="J671">
        <v>30.229999542236332</v>
      </c>
      <c r="K671">
        <v>1</v>
      </c>
      <c r="L671">
        <f>Résultats!G$32+Résultats!G$33*Données!C671+Résultats!G$34*Données!D671+Résultats!G$35*Données!E671+Résultats!G$36*Données!F671+Résultats!G$37*Données!G671+Résultats!G$38*Données!H671+Résultats!G$39*Données!I671</f>
        <v>189783.97838991342</v>
      </c>
      <c r="M671">
        <f t="shared" si="40"/>
        <v>-2783.97838991342</v>
      </c>
      <c r="Q671">
        <v>100000</v>
      </c>
      <c r="R671">
        <v>1</v>
      </c>
      <c r="S671">
        <v>14</v>
      </c>
      <c r="T671">
        <v>0</v>
      </c>
      <c r="U671">
        <f t="shared" si="41"/>
        <v>12.563747089801989</v>
      </c>
      <c r="V671">
        <f t="shared" si="42"/>
        <v>8.1886891244442008</v>
      </c>
      <c r="W671">
        <v>1</v>
      </c>
      <c r="X671">
        <v>0</v>
      </c>
      <c r="Y671">
        <v>0</v>
      </c>
      <c r="Z671">
        <f>'Résultat (Ln)'!F$30+'Résultat (Ln)'!F$31*Données!S671+'Résultat (Ln)'!F$32*Données!T671+'Résultat (Ln)'!F$33*Données!U671+'Résultat (Ln)'!F$34*Données!V671+'Résultat (Ln)'!F$35*Données!W671+'Résultat (Ln)'!F$36*Données!X671+'Résultat (Ln)'!F$37*Données!Y671</f>
        <v>168228.84289418932</v>
      </c>
      <c r="AA671">
        <f t="shared" si="43"/>
        <v>-68228.842894189322</v>
      </c>
    </row>
    <row r="672" spans="1:27" x14ac:dyDescent="0.25">
      <c r="A672">
        <v>105000</v>
      </c>
      <c r="B672">
        <v>1</v>
      </c>
      <c r="C672">
        <v>32</v>
      </c>
      <c r="D672">
        <v>0</v>
      </c>
      <c r="E672">
        <v>152000</v>
      </c>
      <c r="F672">
        <v>3346</v>
      </c>
      <c r="G672">
        <v>1</v>
      </c>
      <c r="H672">
        <v>0</v>
      </c>
      <c r="I672">
        <v>0</v>
      </c>
      <c r="J672">
        <v>31</v>
      </c>
      <c r="K672">
        <v>1</v>
      </c>
      <c r="L672">
        <f>Résultats!G$32+Résultats!G$33*Données!C672+Résultats!G$34*Données!D672+Résultats!G$35*Données!E672+Résultats!G$36*Données!F672+Résultats!G$37*Données!G672+Résultats!G$38*Données!H672+Résultats!G$39*Données!I672</f>
        <v>117796.40997275857</v>
      </c>
      <c r="M672">
        <f t="shared" si="40"/>
        <v>-12796.409972758571</v>
      </c>
      <c r="Q672">
        <v>187000</v>
      </c>
      <c r="R672">
        <v>1</v>
      </c>
      <c r="S672">
        <v>30.70000076293945</v>
      </c>
      <c r="T672">
        <v>0</v>
      </c>
      <c r="U672">
        <f t="shared" si="41"/>
        <v>12.604848765487542</v>
      </c>
      <c r="V672">
        <f t="shared" si="42"/>
        <v>8.7134176533791834</v>
      </c>
      <c r="W672">
        <v>1</v>
      </c>
      <c r="X672">
        <v>0</v>
      </c>
      <c r="Y672">
        <v>0</v>
      </c>
      <c r="Z672">
        <f>'Résultat (Ln)'!F$30+'Résultat (Ln)'!F$31*Données!S672+'Résultat (Ln)'!F$32*Données!T672+'Résultat (Ln)'!F$33*Données!U672+'Résultat (Ln)'!F$34*Données!V672+'Résultat (Ln)'!F$35*Données!W672+'Résultat (Ln)'!F$36*Données!X672+'Résultat (Ln)'!F$37*Données!Y672</f>
        <v>207759.27306373601</v>
      </c>
      <c r="AA672">
        <f t="shared" si="43"/>
        <v>-20759.273063736007</v>
      </c>
    </row>
    <row r="673" spans="1:27" x14ac:dyDescent="0.25">
      <c r="A673">
        <v>136000</v>
      </c>
      <c r="B673">
        <v>1</v>
      </c>
      <c r="C673">
        <v>38.900001525878913</v>
      </c>
      <c r="D673">
        <v>0</v>
      </c>
      <c r="E673">
        <v>170000</v>
      </c>
      <c r="F673">
        <v>2500</v>
      </c>
      <c r="G673">
        <v>1</v>
      </c>
      <c r="H673">
        <v>0</v>
      </c>
      <c r="I673">
        <v>1</v>
      </c>
      <c r="J673">
        <v>26.530000686645511</v>
      </c>
      <c r="K673">
        <v>1</v>
      </c>
      <c r="L673">
        <f>Résultats!G$32+Résultats!G$33*Données!C673+Résultats!G$34*Données!D673+Résultats!G$35*Données!E673+Résultats!G$36*Données!F673+Résultats!G$37*Données!G673+Résultats!G$38*Données!H673+Résultats!G$39*Données!I673</f>
        <v>142413.4849230494</v>
      </c>
      <c r="M673">
        <f t="shared" si="40"/>
        <v>-6413.4849230494001</v>
      </c>
      <c r="Q673">
        <v>105000</v>
      </c>
      <c r="R673">
        <v>1</v>
      </c>
      <c r="S673">
        <v>32</v>
      </c>
      <c r="T673">
        <v>0</v>
      </c>
      <c r="U673">
        <f t="shared" si="41"/>
        <v>11.931635799828413</v>
      </c>
      <c r="V673">
        <f t="shared" si="42"/>
        <v>8.1155208815467699</v>
      </c>
      <c r="W673">
        <v>1</v>
      </c>
      <c r="X673">
        <v>0</v>
      </c>
      <c r="Y673">
        <v>0</v>
      </c>
      <c r="Z673">
        <f>'Résultat (Ln)'!F$30+'Résultat (Ln)'!F$31*Données!S673+'Résultat (Ln)'!F$32*Données!T673+'Résultat (Ln)'!F$33*Données!U673+'Résultat (Ln)'!F$34*Données!V673+'Résultat (Ln)'!F$35*Données!W673+'Résultat (Ln)'!F$36*Données!X673+'Résultat (Ln)'!F$37*Données!Y673</f>
        <v>120413.99120994082</v>
      </c>
      <c r="AA673">
        <f t="shared" si="43"/>
        <v>-15413.991209940825</v>
      </c>
    </row>
    <row r="674" spans="1:27" x14ac:dyDescent="0.25">
      <c r="A674">
        <v>99000</v>
      </c>
      <c r="B674">
        <v>1</v>
      </c>
      <c r="C674">
        <v>29</v>
      </c>
      <c r="D674">
        <v>0</v>
      </c>
      <c r="E674">
        <v>110000</v>
      </c>
      <c r="F674">
        <v>3992</v>
      </c>
      <c r="G674">
        <v>1</v>
      </c>
      <c r="H674">
        <v>0</v>
      </c>
      <c r="I674">
        <v>0</v>
      </c>
      <c r="J674">
        <v>25</v>
      </c>
      <c r="K674">
        <v>1</v>
      </c>
      <c r="L674">
        <f>Résultats!G$32+Résultats!G$33*Données!C674+Résultats!G$34*Données!D674+Résultats!G$35*Données!E674+Résultats!G$36*Données!F674+Résultats!G$37*Données!G674+Résultats!G$38*Données!H674+Résultats!G$39*Données!I674</f>
        <v>95990.172189433593</v>
      </c>
      <c r="M674">
        <f t="shared" si="40"/>
        <v>3009.8278105664067</v>
      </c>
      <c r="Q674">
        <v>136000</v>
      </c>
      <c r="R674">
        <v>1</v>
      </c>
      <c r="S674">
        <v>38.900001525878913</v>
      </c>
      <c r="T674">
        <v>0</v>
      </c>
      <c r="U674">
        <f t="shared" si="41"/>
        <v>12.043553716032399</v>
      </c>
      <c r="V674">
        <f t="shared" si="42"/>
        <v>7.8240460108562919</v>
      </c>
      <c r="W674">
        <v>1</v>
      </c>
      <c r="X674">
        <v>0</v>
      </c>
      <c r="Y674">
        <v>1</v>
      </c>
      <c r="Z674">
        <f>'Résultat (Ln)'!F$30+'Résultat (Ln)'!F$31*Données!S674+'Résultat (Ln)'!F$32*Données!T674+'Résultat (Ln)'!F$33*Données!U674+'Résultat (Ln)'!F$34*Données!V674+'Résultat (Ln)'!F$35*Données!W674+'Résultat (Ln)'!F$36*Données!X674+'Résultat (Ln)'!F$37*Données!Y674</f>
        <v>146755.46724706798</v>
      </c>
      <c r="AA674">
        <f t="shared" si="43"/>
        <v>-10755.46724706798</v>
      </c>
    </row>
    <row r="675" spans="1:27" x14ac:dyDescent="0.25">
      <c r="A675">
        <v>185000</v>
      </c>
      <c r="B675">
        <v>1</v>
      </c>
      <c r="C675">
        <v>38</v>
      </c>
      <c r="D675">
        <v>0</v>
      </c>
      <c r="E675">
        <v>205000</v>
      </c>
      <c r="F675">
        <v>9675</v>
      </c>
      <c r="G675">
        <v>0</v>
      </c>
      <c r="H675">
        <v>0</v>
      </c>
      <c r="I675">
        <v>1</v>
      </c>
      <c r="J675">
        <v>33</v>
      </c>
      <c r="K675">
        <v>1</v>
      </c>
      <c r="L675">
        <f>Résultats!G$32+Résultats!G$33*Données!C675+Résultats!G$34*Données!D675+Résultats!G$35*Données!E675+Résultats!G$36*Données!F675+Résultats!G$37*Données!G675+Résultats!G$38*Données!H675+Résultats!G$39*Données!I675</f>
        <v>164610.05010090256</v>
      </c>
      <c r="M675">
        <f t="shared" si="40"/>
        <v>20389.949899097439</v>
      </c>
      <c r="Q675">
        <v>99000</v>
      </c>
      <c r="R675">
        <v>1</v>
      </c>
      <c r="S675">
        <v>29</v>
      </c>
      <c r="T675">
        <v>0</v>
      </c>
      <c r="U675">
        <f t="shared" si="41"/>
        <v>11.608235644774552</v>
      </c>
      <c r="V675">
        <f t="shared" si="42"/>
        <v>8.2920476374313541</v>
      </c>
      <c r="W675">
        <v>1</v>
      </c>
      <c r="X675">
        <v>0</v>
      </c>
      <c r="Y675">
        <v>0</v>
      </c>
      <c r="Z675">
        <f>'Résultat (Ln)'!F$30+'Résultat (Ln)'!F$31*Données!S675+'Résultat (Ln)'!F$32*Données!T675+'Résultat (Ln)'!F$33*Données!U675+'Résultat (Ln)'!F$34*Données!V675+'Résultat (Ln)'!F$35*Données!W675+'Résultat (Ln)'!F$36*Données!X675+'Résultat (Ln)'!F$37*Données!Y675</f>
        <v>87031.638344173363</v>
      </c>
      <c r="AA675">
        <f t="shared" si="43"/>
        <v>11968.361655826637</v>
      </c>
    </row>
    <row r="676" spans="1:27" x14ac:dyDescent="0.25">
      <c r="A676">
        <v>90000</v>
      </c>
      <c r="B676">
        <v>1</v>
      </c>
      <c r="C676">
        <v>34</v>
      </c>
      <c r="D676">
        <v>0</v>
      </c>
      <c r="E676">
        <v>131000</v>
      </c>
      <c r="F676">
        <v>3375</v>
      </c>
      <c r="G676">
        <v>1</v>
      </c>
      <c r="H676">
        <v>0</v>
      </c>
      <c r="I676">
        <v>0</v>
      </c>
      <c r="J676">
        <v>29</v>
      </c>
      <c r="K676">
        <v>1</v>
      </c>
      <c r="L676">
        <f>Résultats!G$32+Résultats!G$33*Données!C676+Résultats!G$34*Données!D676+Résultats!G$35*Données!E676+Résultats!G$36*Données!F676+Résultats!G$37*Données!G676+Résultats!G$38*Données!H676+Résultats!G$39*Données!I676</f>
        <v>110343.92792247594</v>
      </c>
      <c r="M676">
        <f t="shared" si="40"/>
        <v>-20343.927922475938</v>
      </c>
      <c r="Q676">
        <v>185000</v>
      </c>
      <c r="R676">
        <v>1</v>
      </c>
      <c r="S676">
        <v>38</v>
      </c>
      <c r="T676">
        <v>0</v>
      </c>
      <c r="U676">
        <f t="shared" si="41"/>
        <v>12.230765258120545</v>
      </c>
      <c r="V676">
        <f t="shared" si="42"/>
        <v>9.177300517897983</v>
      </c>
      <c r="W676">
        <v>0</v>
      </c>
      <c r="X676">
        <v>0</v>
      </c>
      <c r="Y676">
        <v>1</v>
      </c>
      <c r="Z676">
        <f>'Résultat (Ln)'!F$30+'Résultat (Ln)'!F$31*Données!S676+'Résultat (Ln)'!F$32*Données!T676+'Résultat (Ln)'!F$33*Données!U676+'Résultat (Ln)'!F$34*Données!V676+'Résultat (Ln)'!F$35*Données!W676+'Résultat (Ln)'!F$36*Données!X676+'Résultat (Ln)'!F$37*Données!Y676</f>
        <v>199162.94055677691</v>
      </c>
      <c r="AA676">
        <f t="shared" si="43"/>
        <v>-14162.940556776914</v>
      </c>
    </row>
    <row r="677" spans="1:27" x14ac:dyDescent="0.25">
      <c r="A677">
        <v>188000</v>
      </c>
      <c r="B677">
        <v>1</v>
      </c>
      <c r="C677">
        <v>35</v>
      </c>
      <c r="D677">
        <v>0</v>
      </c>
      <c r="E677">
        <v>233000</v>
      </c>
      <c r="F677">
        <v>3554</v>
      </c>
      <c r="G677">
        <v>0</v>
      </c>
      <c r="H677">
        <v>0</v>
      </c>
      <c r="I677">
        <v>0</v>
      </c>
      <c r="J677">
        <v>27</v>
      </c>
      <c r="K677">
        <v>1</v>
      </c>
      <c r="L677">
        <f>Résultats!G$32+Résultats!G$33*Données!C677+Résultats!G$34*Données!D677+Résultats!G$35*Données!E677+Résultats!G$36*Données!F677+Résultats!G$37*Données!G677+Résultats!G$38*Données!H677+Résultats!G$39*Données!I677</f>
        <v>152452.07716362257</v>
      </c>
      <c r="M677">
        <f t="shared" si="40"/>
        <v>35547.922836377431</v>
      </c>
      <c r="Q677">
        <v>90000</v>
      </c>
      <c r="R677">
        <v>1</v>
      </c>
      <c r="S677">
        <v>34</v>
      </c>
      <c r="T677">
        <v>0</v>
      </c>
      <c r="U677">
        <f t="shared" si="41"/>
        <v>11.782952602183288</v>
      </c>
      <c r="V677">
        <f t="shared" si="42"/>
        <v>8.1241506033066297</v>
      </c>
      <c r="W677">
        <v>1</v>
      </c>
      <c r="X677">
        <v>0</v>
      </c>
      <c r="Y677">
        <v>0</v>
      </c>
      <c r="Z677">
        <f>'Résultat (Ln)'!F$30+'Résultat (Ln)'!F$31*Données!S677+'Résultat (Ln)'!F$32*Données!T677+'Résultat (Ln)'!F$33*Données!U677+'Résultat (Ln)'!F$34*Données!V677+'Résultat (Ln)'!F$35*Données!W677+'Résultat (Ln)'!F$36*Données!X677+'Résultat (Ln)'!F$37*Données!Y677</f>
        <v>107161.92095403357</v>
      </c>
      <c r="AA677">
        <f t="shared" si="43"/>
        <v>-17161.920954033572</v>
      </c>
    </row>
    <row r="678" spans="1:27" x14ac:dyDescent="0.25">
      <c r="A678">
        <v>90000</v>
      </c>
      <c r="B678">
        <v>1</v>
      </c>
      <c r="C678">
        <v>16</v>
      </c>
      <c r="D678">
        <v>0</v>
      </c>
      <c r="E678">
        <v>268000</v>
      </c>
      <c r="F678">
        <v>4167</v>
      </c>
      <c r="G678">
        <v>1</v>
      </c>
      <c r="H678">
        <v>0</v>
      </c>
      <c r="I678">
        <v>0</v>
      </c>
      <c r="J678">
        <v>16</v>
      </c>
      <c r="K678">
        <v>0</v>
      </c>
      <c r="L678">
        <f>Résultats!G$32+Résultats!G$33*Données!C678+Résultats!G$34*Données!D678+Résultats!G$35*Données!E678+Résultats!G$36*Données!F678+Résultats!G$37*Données!G678+Résultats!G$38*Données!H678+Résultats!G$39*Données!I678</f>
        <v>155175.18650018433</v>
      </c>
      <c r="M678">
        <f t="shared" si="40"/>
        <v>-65175.186500184325</v>
      </c>
      <c r="Q678">
        <v>188000</v>
      </c>
      <c r="R678">
        <v>1</v>
      </c>
      <c r="S678">
        <v>35</v>
      </c>
      <c r="T678">
        <v>0</v>
      </c>
      <c r="U678">
        <f t="shared" si="41"/>
        <v>12.358793732547838</v>
      </c>
      <c r="V678">
        <f t="shared" si="42"/>
        <v>8.1758290087145973</v>
      </c>
      <c r="W678">
        <v>0</v>
      </c>
      <c r="X678">
        <v>0</v>
      </c>
      <c r="Y678">
        <v>0</v>
      </c>
      <c r="Z678">
        <f>'Résultat (Ln)'!F$30+'Résultat (Ln)'!F$31*Données!S678+'Résultat (Ln)'!F$32*Données!T678+'Résultat (Ln)'!F$33*Données!U678+'Résultat (Ln)'!F$34*Données!V678+'Résultat (Ln)'!F$35*Données!W678+'Résultat (Ln)'!F$36*Données!X678+'Résultat (Ln)'!F$37*Données!Y678</f>
        <v>167046.90903365443</v>
      </c>
      <c r="AA678">
        <f t="shared" si="43"/>
        <v>20953.090966345568</v>
      </c>
    </row>
    <row r="679" spans="1:27" x14ac:dyDescent="0.25">
      <c r="A679">
        <v>122000</v>
      </c>
      <c r="B679">
        <v>1</v>
      </c>
      <c r="C679">
        <v>19</v>
      </c>
      <c r="D679">
        <v>0</v>
      </c>
      <c r="E679">
        <v>153000</v>
      </c>
      <c r="F679">
        <v>11167</v>
      </c>
      <c r="G679">
        <v>0</v>
      </c>
      <c r="H679">
        <v>0</v>
      </c>
      <c r="I679">
        <v>0</v>
      </c>
      <c r="J679">
        <v>12</v>
      </c>
      <c r="K679">
        <v>1</v>
      </c>
      <c r="L679">
        <f>Résultats!G$32+Résultats!G$33*Données!C679+Résultats!G$34*Données!D679+Résultats!G$35*Données!E679+Résultats!G$36*Données!F679+Résultats!G$37*Données!G679+Résultats!G$38*Données!H679+Résultats!G$39*Données!I679</f>
        <v>111469.46481942828</v>
      </c>
      <c r="M679">
        <f t="shared" si="40"/>
        <v>10530.535180571722</v>
      </c>
      <c r="Q679">
        <v>90000</v>
      </c>
      <c r="R679">
        <v>1</v>
      </c>
      <c r="S679">
        <v>16</v>
      </c>
      <c r="T679">
        <v>0</v>
      </c>
      <c r="U679">
        <f t="shared" si="41"/>
        <v>12.498742259492994</v>
      </c>
      <c r="V679">
        <f t="shared" si="42"/>
        <v>8.3349516314224541</v>
      </c>
      <c r="W679">
        <v>1</v>
      </c>
      <c r="X679">
        <v>0</v>
      </c>
      <c r="Y679">
        <v>0</v>
      </c>
      <c r="Z679">
        <f>'Résultat (Ln)'!F$30+'Résultat (Ln)'!F$31*Données!S679+'Résultat (Ln)'!F$32*Données!T679+'Résultat (Ln)'!F$33*Données!U679+'Résultat (Ln)'!F$34*Données!V679+'Résultat (Ln)'!F$35*Données!W679+'Résultat (Ln)'!F$36*Données!X679+'Résultat (Ln)'!F$37*Données!Y679</f>
        <v>167806.74320742022</v>
      </c>
      <c r="AA679">
        <f t="shared" si="43"/>
        <v>-77806.743207420222</v>
      </c>
    </row>
    <row r="680" spans="1:27" x14ac:dyDescent="0.25">
      <c r="A680">
        <v>135000</v>
      </c>
      <c r="B680">
        <v>1</v>
      </c>
      <c r="C680">
        <v>36</v>
      </c>
      <c r="D680">
        <v>0</v>
      </c>
      <c r="E680">
        <v>196000</v>
      </c>
      <c r="F680">
        <v>3500</v>
      </c>
      <c r="G680">
        <v>1</v>
      </c>
      <c r="H680">
        <v>0</v>
      </c>
      <c r="I680">
        <v>0</v>
      </c>
      <c r="J680">
        <v>33</v>
      </c>
      <c r="K680">
        <v>1</v>
      </c>
      <c r="L680">
        <f>Résultats!G$32+Résultats!G$33*Données!C680+Résultats!G$34*Données!D680+Résultats!G$35*Données!E680+Résultats!G$36*Données!F680+Résultats!G$37*Données!G680+Résultats!G$38*Données!H680+Résultats!G$39*Données!I680</f>
        <v>143235.45456515119</v>
      </c>
      <c r="M680">
        <f t="shared" si="40"/>
        <v>-8235.4545651511871</v>
      </c>
      <c r="Q680">
        <v>122000</v>
      </c>
      <c r="R680">
        <v>1</v>
      </c>
      <c r="S680">
        <v>19</v>
      </c>
      <c r="T680">
        <v>0</v>
      </c>
      <c r="U680">
        <f t="shared" si="41"/>
        <v>11.938193200374572</v>
      </c>
      <c r="V680">
        <f t="shared" si="42"/>
        <v>9.3207182794457921</v>
      </c>
      <c r="W680">
        <v>0</v>
      </c>
      <c r="X680">
        <v>0</v>
      </c>
      <c r="Y680">
        <v>0</v>
      </c>
      <c r="Z680">
        <f>'Résultat (Ln)'!F$30+'Résultat (Ln)'!F$31*Données!S680+'Résultat (Ln)'!F$32*Données!T680+'Résultat (Ln)'!F$33*Données!U680+'Résultat (Ln)'!F$34*Données!V680+'Résultat (Ln)'!F$35*Données!W680+'Résultat (Ln)'!F$36*Données!X680+'Résultat (Ln)'!F$37*Données!Y680</f>
        <v>134517.06861270667</v>
      </c>
      <c r="AA680">
        <f t="shared" si="43"/>
        <v>-12517.068612706673</v>
      </c>
    </row>
    <row r="681" spans="1:27" x14ac:dyDescent="0.25">
      <c r="A681">
        <v>150000</v>
      </c>
      <c r="B681">
        <v>1</v>
      </c>
      <c r="C681">
        <v>21</v>
      </c>
      <c r="D681">
        <v>0</v>
      </c>
      <c r="E681">
        <v>250000</v>
      </c>
      <c r="F681">
        <v>5500</v>
      </c>
      <c r="G681">
        <v>1</v>
      </c>
      <c r="H681">
        <v>0</v>
      </c>
      <c r="I681">
        <v>0</v>
      </c>
      <c r="J681">
        <v>18</v>
      </c>
      <c r="K681">
        <v>1</v>
      </c>
      <c r="L681">
        <f>Résultats!G$32+Résultats!G$33*Données!C681+Résultats!G$34*Données!D681+Résultats!G$35*Données!E681+Résultats!G$36*Données!F681+Résultats!G$37*Données!G681+Résultats!G$38*Données!H681+Résultats!G$39*Données!I681</f>
        <v>155096.45011821832</v>
      </c>
      <c r="M681">
        <f t="shared" si="40"/>
        <v>-5096.4501182183158</v>
      </c>
      <c r="Q681">
        <v>135000</v>
      </c>
      <c r="R681">
        <v>1</v>
      </c>
      <c r="S681">
        <v>36</v>
      </c>
      <c r="T681">
        <v>0</v>
      </c>
      <c r="U681">
        <f t="shared" si="41"/>
        <v>12.185869938212655</v>
      </c>
      <c r="V681">
        <f t="shared" si="42"/>
        <v>8.1605182474775049</v>
      </c>
      <c r="W681">
        <v>1</v>
      </c>
      <c r="X681">
        <v>0</v>
      </c>
      <c r="Y681">
        <v>0</v>
      </c>
      <c r="Z681">
        <f>'Résultat (Ln)'!F$30+'Résultat (Ln)'!F$31*Données!S681+'Résultat (Ln)'!F$32*Données!T681+'Résultat (Ln)'!F$33*Données!U681+'Résultat (Ln)'!F$34*Données!V681+'Résultat (Ln)'!F$35*Données!W681+'Résultat (Ln)'!F$36*Données!X681+'Résultat (Ln)'!F$37*Données!Y681</f>
        <v>153816.91435240523</v>
      </c>
      <c r="AA681">
        <f t="shared" si="43"/>
        <v>-18816.914352405234</v>
      </c>
    </row>
    <row r="682" spans="1:27" x14ac:dyDescent="0.25">
      <c r="A682">
        <v>152000</v>
      </c>
      <c r="B682">
        <v>1</v>
      </c>
      <c r="C682">
        <v>11</v>
      </c>
      <c r="D682">
        <v>0</v>
      </c>
      <c r="E682">
        <v>190000</v>
      </c>
      <c r="F682">
        <v>19500</v>
      </c>
      <c r="G682">
        <v>1</v>
      </c>
      <c r="H682">
        <v>0</v>
      </c>
      <c r="I682">
        <v>0</v>
      </c>
      <c r="J682">
        <v>6</v>
      </c>
      <c r="K682">
        <v>1</v>
      </c>
      <c r="L682">
        <f>Résultats!G$32+Résultats!G$33*Données!C682+Résultats!G$34*Données!D682+Résultats!G$35*Données!E682+Résultats!G$36*Données!F682+Résultats!G$37*Données!G682+Résultats!G$38*Données!H682+Résultats!G$39*Données!I682</f>
        <v>142721.57332726524</v>
      </c>
      <c r="M682">
        <f t="shared" si="40"/>
        <v>9278.4266727347567</v>
      </c>
      <c r="Q682">
        <v>150000</v>
      </c>
      <c r="R682">
        <v>1</v>
      </c>
      <c r="S682">
        <v>21</v>
      </c>
      <c r="T682">
        <v>0</v>
      </c>
      <c r="U682">
        <f t="shared" si="41"/>
        <v>12.429216196844383</v>
      </c>
      <c r="V682">
        <f t="shared" si="42"/>
        <v>8.6125033712205621</v>
      </c>
      <c r="W682">
        <v>1</v>
      </c>
      <c r="X682">
        <v>0</v>
      </c>
      <c r="Y682">
        <v>0</v>
      </c>
      <c r="Z682">
        <f>'Résultat (Ln)'!F$30+'Résultat (Ln)'!F$31*Données!S682+'Résultat (Ln)'!F$32*Données!T682+'Résultat (Ln)'!F$33*Données!U682+'Résultat (Ln)'!F$34*Données!V682+'Résultat (Ln)'!F$35*Données!W682+'Résultat (Ln)'!F$36*Données!X682+'Résultat (Ln)'!F$37*Données!Y682</f>
        <v>174248.22099908307</v>
      </c>
      <c r="AA682">
        <f t="shared" si="43"/>
        <v>-24248.220999083074</v>
      </c>
    </row>
    <row r="683" spans="1:27" x14ac:dyDescent="0.25">
      <c r="A683">
        <v>124000</v>
      </c>
      <c r="B683">
        <v>1</v>
      </c>
      <c r="C683">
        <v>35</v>
      </c>
      <c r="D683">
        <v>0</v>
      </c>
      <c r="E683">
        <v>165000</v>
      </c>
      <c r="F683">
        <v>3917</v>
      </c>
      <c r="G683">
        <v>1</v>
      </c>
      <c r="H683">
        <v>0</v>
      </c>
      <c r="I683">
        <v>1</v>
      </c>
      <c r="J683">
        <v>32</v>
      </c>
      <c r="K683">
        <v>1</v>
      </c>
      <c r="L683">
        <f>Résultats!G$32+Résultats!G$33*Données!C683+Résultats!G$34*Données!D683+Résultats!G$35*Données!E683+Résultats!G$36*Données!F683+Résultats!G$37*Données!G683+Résultats!G$38*Données!H683+Résultats!G$39*Données!I683</f>
        <v>138344.74704567122</v>
      </c>
      <c r="M683">
        <f t="shared" si="40"/>
        <v>-14344.747045671218</v>
      </c>
      <c r="Q683">
        <v>152000</v>
      </c>
      <c r="R683">
        <v>1</v>
      </c>
      <c r="S683">
        <v>11</v>
      </c>
      <c r="T683">
        <v>0</v>
      </c>
      <c r="U683">
        <f t="shared" si="41"/>
        <v>12.154779351142624</v>
      </c>
      <c r="V683">
        <f t="shared" si="42"/>
        <v>9.8781697445518386</v>
      </c>
      <c r="W683">
        <v>1</v>
      </c>
      <c r="X683">
        <v>0</v>
      </c>
      <c r="Y683">
        <v>0</v>
      </c>
      <c r="Z683">
        <f>'Résultat (Ln)'!F$30+'Résultat (Ln)'!F$31*Données!S683+'Résultat (Ln)'!F$32*Données!T683+'Résultat (Ln)'!F$33*Données!U683+'Résultat (Ln)'!F$34*Données!V683+'Résultat (Ln)'!F$35*Données!W683+'Résultat (Ln)'!F$36*Données!X683+'Résultat (Ln)'!F$37*Données!Y683</f>
        <v>168106.01515627655</v>
      </c>
      <c r="AA683">
        <f t="shared" si="43"/>
        <v>-16106.015156276553</v>
      </c>
    </row>
    <row r="684" spans="1:27" x14ac:dyDescent="0.25">
      <c r="A684">
        <v>120000</v>
      </c>
      <c r="B684">
        <v>1</v>
      </c>
      <c r="C684">
        <v>30.39999961853027</v>
      </c>
      <c r="D684">
        <v>0</v>
      </c>
      <c r="E684">
        <v>150000</v>
      </c>
      <c r="F684">
        <v>4408</v>
      </c>
      <c r="G684">
        <v>0</v>
      </c>
      <c r="H684">
        <v>6</v>
      </c>
      <c r="I684">
        <v>0</v>
      </c>
      <c r="J684">
        <v>27.5</v>
      </c>
      <c r="K684">
        <v>0</v>
      </c>
      <c r="L684">
        <f>Résultats!G$32+Résultats!G$33*Données!C684+Résultats!G$34*Données!D684+Résultats!G$35*Données!E684+Résultats!G$36*Données!F684+Résultats!G$37*Données!G684+Résultats!G$38*Données!H684+Résultats!G$39*Données!I684</f>
        <v>100314.28321696181</v>
      </c>
      <c r="M684">
        <f t="shared" si="40"/>
        <v>19685.716783038195</v>
      </c>
      <c r="Q684">
        <v>124000</v>
      </c>
      <c r="R684">
        <v>1</v>
      </c>
      <c r="S684">
        <v>35</v>
      </c>
      <c r="T684">
        <v>0</v>
      </c>
      <c r="U684">
        <f t="shared" si="41"/>
        <v>12.013700752882718</v>
      </c>
      <c r="V684">
        <f t="shared" si="42"/>
        <v>8.2730813336658304</v>
      </c>
      <c r="W684">
        <v>1</v>
      </c>
      <c r="X684">
        <v>0</v>
      </c>
      <c r="Y684">
        <v>1</v>
      </c>
      <c r="Z684">
        <f>'Résultat (Ln)'!F$30+'Résultat (Ln)'!F$31*Données!S684+'Résultat (Ln)'!F$32*Données!T684+'Résultat (Ln)'!F$33*Données!U684+'Résultat (Ln)'!F$34*Données!V684+'Résultat (Ln)'!F$35*Données!W684+'Résultat (Ln)'!F$36*Données!X684+'Résultat (Ln)'!F$37*Données!Y684</f>
        <v>151382.95196865834</v>
      </c>
      <c r="AA684">
        <f t="shared" si="43"/>
        <v>-27382.951968658337</v>
      </c>
    </row>
    <row r="685" spans="1:27" x14ac:dyDescent="0.25">
      <c r="A685">
        <v>80000</v>
      </c>
      <c r="B685">
        <v>1</v>
      </c>
      <c r="C685">
        <v>30</v>
      </c>
      <c r="D685">
        <v>0</v>
      </c>
      <c r="E685">
        <v>100000</v>
      </c>
      <c r="F685">
        <v>3244</v>
      </c>
      <c r="G685">
        <v>0</v>
      </c>
      <c r="H685">
        <v>0</v>
      </c>
      <c r="I685">
        <v>0</v>
      </c>
      <c r="J685">
        <v>26</v>
      </c>
      <c r="K685">
        <v>0</v>
      </c>
      <c r="L685">
        <f>Résultats!G$32+Résultats!G$33*Données!C685+Résultats!G$34*Données!D685+Résultats!G$35*Données!E685+Résultats!G$36*Données!F685+Résultats!G$37*Données!G685+Résultats!G$38*Données!H685+Résultats!G$39*Données!I685</f>
        <v>84003.22645119112</v>
      </c>
      <c r="M685">
        <f t="shared" si="40"/>
        <v>-4003.2264511911198</v>
      </c>
      <c r="Q685">
        <v>120000</v>
      </c>
      <c r="R685">
        <v>1</v>
      </c>
      <c r="S685">
        <v>30.39999961853027</v>
      </c>
      <c r="T685">
        <v>0</v>
      </c>
      <c r="U685">
        <f t="shared" si="41"/>
        <v>11.918390573078392</v>
      </c>
      <c r="V685">
        <f t="shared" si="42"/>
        <v>8.391176350832751</v>
      </c>
      <c r="W685">
        <v>0</v>
      </c>
      <c r="X685">
        <v>6</v>
      </c>
      <c r="Y685">
        <v>0</v>
      </c>
      <c r="Z685">
        <f>'Résultat (Ln)'!F$30+'Résultat (Ln)'!F$31*Données!S685+'Résultat (Ln)'!F$32*Données!T685+'Résultat (Ln)'!F$33*Données!U685+'Résultat (Ln)'!F$34*Données!V685+'Résultat (Ln)'!F$35*Données!W685+'Résultat (Ln)'!F$36*Données!X685+'Résultat (Ln)'!F$37*Données!Y685</f>
        <v>119190.60650866439</v>
      </c>
      <c r="AA685">
        <f t="shared" si="43"/>
        <v>809.39349133560609</v>
      </c>
    </row>
    <row r="686" spans="1:27" x14ac:dyDescent="0.25">
      <c r="A686">
        <v>77000</v>
      </c>
      <c r="B686">
        <v>1</v>
      </c>
      <c r="C686">
        <v>38</v>
      </c>
      <c r="D686">
        <v>0</v>
      </c>
      <c r="E686">
        <v>103000</v>
      </c>
      <c r="F686">
        <v>2292</v>
      </c>
      <c r="G686">
        <v>0</v>
      </c>
      <c r="H686">
        <v>1</v>
      </c>
      <c r="I686">
        <v>0</v>
      </c>
      <c r="J686">
        <v>36</v>
      </c>
      <c r="K686">
        <v>0</v>
      </c>
      <c r="L686">
        <f>Résultats!G$32+Résultats!G$33*Données!C686+Résultats!G$34*Données!D686+Résultats!G$35*Données!E686+Résultats!G$36*Données!F686+Résultats!G$37*Données!G686+Résultats!G$38*Données!H686+Résultats!G$39*Données!I686</f>
        <v>91123.399238773942</v>
      </c>
      <c r="M686">
        <f t="shared" si="40"/>
        <v>-14123.399238773942</v>
      </c>
      <c r="Q686">
        <v>80000</v>
      </c>
      <c r="R686">
        <v>1</v>
      </c>
      <c r="S686">
        <v>30</v>
      </c>
      <c r="T686">
        <v>0</v>
      </c>
      <c r="U686">
        <f t="shared" si="41"/>
        <v>11.512925464970229</v>
      </c>
      <c r="V686">
        <f t="shared" si="42"/>
        <v>8.0845624152353039</v>
      </c>
      <c r="W686">
        <v>0</v>
      </c>
      <c r="X686">
        <v>0</v>
      </c>
      <c r="Y686">
        <v>0</v>
      </c>
      <c r="Z686">
        <f>'Résultat (Ln)'!F$30+'Résultat (Ln)'!F$31*Données!S686+'Résultat (Ln)'!F$32*Données!T686+'Résultat (Ln)'!F$33*Données!U686+'Résultat (Ln)'!F$34*Données!V686+'Résultat (Ln)'!F$35*Données!W686+'Résultat (Ln)'!F$36*Données!X686+'Résultat (Ln)'!F$37*Données!Y686</f>
        <v>67703.73217548235</v>
      </c>
      <c r="AA686">
        <f t="shared" si="43"/>
        <v>12296.26782451765</v>
      </c>
    </row>
    <row r="687" spans="1:27" x14ac:dyDescent="0.25">
      <c r="A687">
        <v>70000</v>
      </c>
      <c r="B687">
        <v>1</v>
      </c>
      <c r="C687">
        <v>32</v>
      </c>
      <c r="D687">
        <v>0</v>
      </c>
      <c r="E687">
        <v>70000</v>
      </c>
      <c r="F687">
        <v>3321</v>
      </c>
      <c r="G687">
        <v>1</v>
      </c>
      <c r="H687">
        <v>0</v>
      </c>
      <c r="I687">
        <v>0</v>
      </c>
      <c r="J687">
        <v>11</v>
      </c>
      <c r="K687">
        <v>1</v>
      </c>
      <c r="L687">
        <f>Résultats!G$32+Résultats!G$33*Données!C687+Résultats!G$34*Données!D687+Résultats!G$35*Données!E687+Résultats!G$36*Données!F687+Résultats!G$37*Données!G687+Résultats!G$38*Données!H687+Résultats!G$39*Données!I687</f>
        <v>79457.797257459839</v>
      </c>
      <c r="M687">
        <f t="shared" si="40"/>
        <v>-9457.7972574598389</v>
      </c>
      <c r="Q687">
        <v>77000</v>
      </c>
      <c r="R687">
        <v>1</v>
      </c>
      <c r="S687">
        <v>38</v>
      </c>
      <c r="T687">
        <v>0</v>
      </c>
      <c r="U687">
        <f t="shared" si="41"/>
        <v>11.542484267211773</v>
      </c>
      <c r="V687">
        <f t="shared" si="42"/>
        <v>7.7371800778346298</v>
      </c>
      <c r="W687">
        <v>0</v>
      </c>
      <c r="X687">
        <v>1</v>
      </c>
      <c r="Y687">
        <v>0</v>
      </c>
      <c r="Z687">
        <f>'Résultat (Ln)'!F$30+'Résultat (Ln)'!F$31*Données!S687+'Résultat (Ln)'!F$32*Données!T687+'Résultat (Ln)'!F$33*Données!U687+'Résultat (Ln)'!F$34*Données!V687+'Résultat (Ln)'!F$35*Données!W687+'Résultat (Ln)'!F$36*Données!X687+'Résultat (Ln)'!F$37*Données!Y687</f>
        <v>70728.480321049443</v>
      </c>
      <c r="AA687">
        <f t="shared" si="43"/>
        <v>6271.5196789505571</v>
      </c>
    </row>
    <row r="688" spans="1:27" x14ac:dyDescent="0.25">
      <c r="A688">
        <v>159000</v>
      </c>
      <c r="B688">
        <v>1</v>
      </c>
      <c r="C688">
        <v>33.700000762939453</v>
      </c>
      <c r="D688">
        <v>0</v>
      </c>
      <c r="E688">
        <v>177000</v>
      </c>
      <c r="F688">
        <v>5416</v>
      </c>
      <c r="G688">
        <v>1</v>
      </c>
      <c r="H688">
        <v>0</v>
      </c>
      <c r="I688">
        <v>0</v>
      </c>
      <c r="J688">
        <v>25.379999160766602</v>
      </c>
      <c r="K688">
        <v>1</v>
      </c>
      <c r="L688">
        <f>Résultats!G$32+Résultats!G$33*Données!C688+Résultats!G$34*Données!D688+Résultats!G$35*Données!E688+Résultats!G$36*Données!F688+Résultats!G$37*Données!G688+Résultats!G$38*Données!H688+Résultats!G$39*Données!I688</f>
        <v>135434.20205755474</v>
      </c>
      <c r="M688">
        <f t="shared" si="40"/>
        <v>23565.797942445264</v>
      </c>
      <c r="Q688">
        <v>70000</v>
      </c>
      <c r="R688">
        <v>1</v>
      </c>
      <c r="S688">
        <v>32</v>
      </c>
      <c r="T688">
        <v>0</v>
      </c>
      <c r="U688">
        <f t="shared" si="41"/>
        <v>11.156250521031495</v>
      </c>
      <c r="V688">
        <f t="shared" si="42"/>
        <v>8.1080212213767471</v>
      </c>
      <c r="W688">
        <v>1</v>
      </c>
      <c r="X688">
        <v>0</v>
      </c>
      <c r="Y688">
        <v>0</v>
      </c>
      <c r="Z688">
        <f>'Résultat (Ln)'!F$30+'Résultat (Ln)'!F$31*Données!S688+'Résultat (Ln)'!F$32*Données!T688+'Résultat (Ln)'!F$33*Données!U688+'Résultat (Ln)'!F$34*Données!V688+'Résultat (Ln)'!F$35*Données!W688+'Résultat (Ln)'!F$36*Données!X688+'Résultat (Ln)'!F$37*Données!Y688</f>
        <v>37085.793164308845</v>
      </c>
      <c r="AA688">
        <f t="shared" si="43"/>
        <v>32914.206835691155</v>
      </c>
    </row>
    <row r="689" spans="1:27" x14ac:dyDescent="0.25">
      <c r="A689">
        <v>55000</v>
      </c>
      <c r="B689">
        <v>1</v>
      </c>
      <c r="C689">
        <v>38</v>
      </c>
      <c r="D689">
        <v>0</v>
      </c>
      <c r="E689">
        <v>90000</v>
      </c>
      <c r="F689">
        <v>3975</v>
      </c>
      <c r="G689">
        <v>0</v>
      </c>
      <c r="H689">
        <v>0</v>
      </c>
      <c r="I689">
        <v>0</v>
      </c>
      <c r="J689">
        <v>11</v>
      </c>
      <c r="K689">
        <v>1</v>
      </c>
      <c r="L689">
        <f>Résultats!G$32+Résultats!G$33*Données!C689+Résultats!G$34*Données!D689+Résultats!G$35*Données!E689+Résultats!G$36*Données!F689+Résultats!G$37*Données!G689+Résultats!G$38*Données!H689+Résultats!G$39*Données!I689</f>
        <v>89939.579361774289</v>
      </c>
      <c r="M689">
        <f t="shared" si="40"/>
        <v>-34939.579361774289</v>
      </c>
      <c r="Q689">
        <v>159000</v>
      </c>
      <c r="R689">
        <v>1</v>
      </c>
      <c r="S689">
        <v>33.700000762939453</v>
      </c>
      <c r="T689">
        <v>0</v>
      </c>
      <c r="U689">
        <f t="shared" si="41"/>
        <v>12.083905011555967</v>
      </c>
      <c r="V689">
        <f t="shared" si="42"/>
        <v>8.5971128145921103</v>
      </c>
      <c r="W689">
        <v>1</v>
      </c>
      <c r="X689">
        <v>0</v>
      </c>
      <c r="Y689">
        <v>0</v>
      </c>
      <c r="Z689">
        <f>'Résultat (Ln)'!F$30+'Résultat (Ln)'!F$31*Données!S689+'Résultat (Ln)'!F$32*Données!T689+'Résultat (Ln)'!F$33*Données!U689+'Résultat (Ln)'!F$34*Données!V689+'Résultat (Ln)'!F$35*Données!W689+'Résultat (Ln)'!F$36*Données!X689+'Résultat (Ln)'!F$37*Données!Y689</f>
        <v>152320.67379317753</v>
      </c>
      <c r="AA689">
        <f t="shared" si="43"/>
        <v>6679.3262068224722</v>
      </c>
    </row>
    <row r="690" spans="1:27" x14ac:dyDescent="0.25">
      <c r="A690">
        <v>59000</v>
      </c>
      <c r="B690">
        <v>1</v>
      </c>
      <c r="C690">
        <v>32.900001525878913</v>
      </c>
      <c r="D690">
        <v>0</v>
      </c>
      <c r="E690">
        <v>65000</v>
      </c>
      <c r="F690">
        <v>2479</v>
      </c>
      <c r="G690">
        <v>0</v>
      </c>
      <c r="H690">
        <v>0</v>
      </c>
      <c r="I690">
        <v>1</v>
      </c>
      <c r="J690">
        <v>28.889999389648441</v>
      </c>
      <c r="K690">
        <v>1</v>
      </c>
      <c r="L690">
        <f>Résultats!G$32+Résultats!G$33*Données!C690+Résultats!G$34*Données!D690+Résultats!G$35*Données!E690+Résultats!G$36*Données!F690+Résultats!G$37*Données!G690+Résultats!G$38*Données!H690+Résultats!G$39*Données!I690</f>
        <v>79434.057421988371</v>
      </c>
      <c r="M690">
        <f t="shared" si="40"/>
        <v>-20434.057421988371</v>
      </c>
      <c r="Q690">
        <v>55000</v>
      </c>
      <c r="R690">
        <v>1</v>
      </c>
      <c r="S690">
        <v>38</v>
      </c>
      <c r="T690">
        <v>0</v>
      </c>
      <c r="U690">
        <f t="shared" si="41"/>
        <v>11.407564949312402</v>
      </c>
      <c r="V690">
        <f t="shared" si="42"/>
        <v>8.2877800270884325</v>
      </c>
      <c r="W690">
        <v>0</v>
      </c>
      <c r="X690">
        <v>0</v>
      </c>
      <c r="Y690">
        <v>0</v>
      </c>
      <c r="Z690">
        <f>'Résultat (Ln)'!F$30+'Résultat (Ln)'!F$31*Données!S690+'Résultat (Ln)'!F$32*Données!T690+'Résultat (Ln)'!F$33*Données!U690+'Résultat (Ln)'!F$34*Données!V690+'Résultat (Ln)'!F$35*Données!W690+'Résultat (Ln)'!F$36*Données!X690+'Résultat (Ln)'!F$37*Données!Y690</f>
        <v>71885.278832621756</v>
      </c>
      <c r="AA690">
        <f t="shared" si="43"/>
        <v>-16885.278832621756</v>
      </c>
    </row>
    <row r="691" spans="1:27" x14ac:dyDescent="0.25">
      <c r="A691">
        <v>126000</v>
      </c>
      <c r="B691">
        <v>1</v>
      </c>
      <c r="C691">
        <v>32</v>
      </c>
      <c r="D691">
        <v>0</v>
      </c>
      <c r="E691">
        <v>158000</v>
      </c>
      <c r="F691">
        <v>2583</v>
      </c>
      <c r="G691">
        <v>0</v>
      </c>
      <c r="H691">
        <v>0</v>
      </c>
      <c r="I691">
        <v>0</v>
      </c>
      <c r="J691">
        <v>23</v>
      </c>
      <c r="K691">
        <v>1</v>
      </c>
      <c r="L691">
        <f>Résultats!G$32+Résultats!G$33*Données!C691+Résultats!G$34*Données!D691+Résultats!G$35*Données!E691+Résultats!G$36*Données!F691+Résultats!G$37*Données!G691+Résultats!G$38*Données!H691+Résultats!G$39*Données!I691</f>
        <v>112102.97934367396</v>
      </c>
      <c r="M691">
        <f t="shared" si="40"/>
        <v>13897.020656326044</v>
      </c>
      <c r="Q691">
        <v>59000</v>
      </c>
      <c r="R691">
        <v>1</v>
      </c>
      <c r="S691">
        <v>32.900001525878913</v>
      </c>
      <c r="T691">
        <v>0</v>
      </c>
      <c r="U691">
        <f t="shared" si="41"/>
        <v>11.082142548877775</v>
      </c>
      <c r="V691">
        <f t="shared" si="42"/>
        <v>7.8156105320351905</v>
      </c>
      <c r="W691">
        <v>0</v>
      </c>
      <c r="X691">
        <v>0</v>
      </c>
      <c r="Y691">
        <v>1</v>
      </c>
      <c r="Z691">
        <f>'Résultat (Ln)'!F$30+'Résultat (Ln)'!F$31*Données!S691+'Résultat (Ln)'!F$32*Données!T691+'Résultat (Ln)'!F$33*Données!U691+'Résultat (Ln)'!F$34*Données!V691+'Résultat (Ln)'!F$35*Données!W691+'Résultat (Ln)'!F$36*Données!X691+'Résultat (Ln)'!F$37*Données!Y691</f>
        <v>31613.596279463934</v>
      </c>
      <c r="AA691">
        <f t="shared" si="43"/>
        <v>27386.403720536066</v>
      </c>
    </row>
    <row r="692" spans="1:27" x14ac:dyDescent="0.25">
      <c r="A692">
        <v>105000</v>
      </c>
      <c r="B692">
        <v>1</v>
      </c>
      <c r="C692">
        <v>7</v>
      </c>
      <c r="D692">
        <v>0</v>
      </c>
      <c r="E692">
        <v>205000</v>
      </c>
      <c r="F692">
        <v>29000</v>
      </c>
      <c r="G692">
        <v>0</v>
      </c>
      <c r="H692">
        <v>0</v>
      </c>
      <c r="I692">
        <v>1</v>
      </c>
      <c r="J692">
        <v>4</v>
      </c>
      <c r="K692">
        <v>1</v>
      </c>
      <c r="L692">
        <f>Résultats!G$32+Résultats!G$33*Données!C692+Résultats!G$34*Données!D692+Résultats!G$35*Données!E692+Résultats!G$36*Données!F692+Résultats!G$37*Données!G692+Résultats!G$38*Données!H692+Résultats!G$39*Données!I692</f>
        <v>166449.00919148407</v>
      </c>
      <c r="M692">
        <f t="shared" si="40"/>
        <v>-61449.009191484074</v>
      </c>
      <c r="Q692">
        <v>126000</v>
      </c>
      <c r="R692">
        <v>1</v>
      </c>
      <c r="S692">
        <v>32</v>
      </c>
      <c r="T692">
        <v>0</v>
      </c>
      <c r="U692">
        <f t="shared" si="41"/>
        <v>11.970350312009105</v>
      </c>
      <c r="V692">
        <f t="shared" si="42"/>
        <v>7.8567067930958405</v>
      </c>
      <c r="W692">
        <v>0</v>
      </c>
      <c r="X692">
        <v>0</v>
      </c>
      <c r="Y692">
        <v>0</v>
      </c>
      <c r="Z692">
        <f>'Résultat (Ln)'!F$30+'Résultat (Ln)'!F$31*Données!S692+'Résultat (Ln)'!F$32*Données!T692+'Résultat (Ln)'!F$33*Données!U692+'Résultat (Ln)'!F$34*Données!V692+'Résultat (Ln)'!F$35*Données!W692+'Résultat (Ln)'!F$36*Données!X692+'Résultat (Ln)'!F$37*Données!Y692</f>
        <v>112791.33808723296</v>
      </c>
      <c r="AA692">
        <f t="shared" si="43"/>
        <v>13208.661912767042</v>
      </c>
    </row>
    <row r="693" spans="1:27" x14ac:dyDescent="0.25">
      <c r="A693">
        <v>127000</v>
      </c>
      <c r="B693">
        <v>1</v>
      </c>
      <c r="C693">
        <v>36</v>
      </c>
      <c r="D693">
        <v>0</v>
      </c>
      <c r="E693">
        <v>152000</v>
      </c>
      <c r="F693">
        <v>3418</v>
      </c>
      <c r="G693">
        <v>0</v>
      </c>
      <c r="H693">
        <v>0</v>
      </c>
      <c r="I693">
        <v>0</v>
      </c>
      <c r="J693">
        <v>35</v>
      </c>
      <c r="K693">
        <v>1</v>
      </c>
      <c r="L693">
        <f>Résultats!G$32+Résultats!G$33*Données!C693+Résultats!G$34*Données!D693+Résultats!G$35*Données!E693+Résultats!G$36*Données!F693+Résultats!G$37*Données!G693+Résultats!G$38*Données!H693+Résultats!G$39*Données!I693</f>
        <v>115513.99369851527</v>
      </c>
      <c r="M693">
        <f t="shared" si="40"/>
        <v>11486.006301484726</v>
      </c>
      <c r="Q693">
        <v>105000</v>
      </c>
      <c r="R693">
        <v>1</v>
      </c>
      <c r="S693">
        <v>7</v>
      </c>
      <c r="T693">
        <v>0</v>
      </c>
      <c r="U693">
        <f t="shared" si="41"/>
        <v>12.230765258120545</v>
      </c>
      <c r="V693">
        <f t="shared" si="42"/>
        <v>10.275051108968611</v>
      </c>
      <c r="W693">
        <v>0</v>
      </c>
      <c r="X693">
        <v>0</v>
      </c>
      <c r="Y693">
        <v>1</v>
      </c>
      <c r="Z693">
        <f>'Résultat (Ln)'!F$30+'Résultat (Ln)'!F$31*Données!S693+'Résultat (Ln)'!F$32*Données!T693+'Résultat (Ln)'!F$33*Données!U693+'Résultat (Ln)'!F$34*Données!V693+'Résultat (Ln)'!F$35*Données!W693+'Résultat (Ln)'!F$36*Données!X693+'Résultat (Ln)'!F$37*Données!Y693</f>
        <v>192066.9562165119</v>
      </c>
      <c r="AA693">
        <f t="shared" si="43"/>
        <v>-87066.956216511899</v>
      </c>
    </row>
    <row r="694" spans="1:27" x14ac:dyDescent="0.25">
      <c r="A694">
        <v>124000</v>
      </c>
      <c r="B694">
        <v>1</v>
      </c>
      <c r="C694">
        <v>26</v>
      </c>
      <c r="D694">
        <v>0</v>
      </c>
      <c r="E694">
        <v>155000</v>
      </c>
      <c r="F694">
        <v>3333</v>
      </c>
      <c r="G694">
        <v>1</v>
      </c>
      <c r="H694">
        <v>0</v>
      </c>
      <c r="I694">
        <v>0</v>
      </c>
      <c r="J694">
        <v>26</v>
      </c>
      <c r="K694">
        <v>1</v>
      </c>
      <c r="L694">
        <f>Résultats!G$32+Résultats!G$33*Données!C694+Résultats!G$34*Données!D694+Résultats!G$35*Données!E694+Résultats!G$36*Données!F694+Résultats!G$37*Données!G694+Résultats!G$38*Données!H694+Résultats!G$39*Données!I694</f>
        <v>112280.05626831521</v>
      </c>
      <c r="M694">
        <f t="shared" si="40"/>
        <v>11719.943731684791</v>
      </c>
      <c r="Q694">
        <v>127000</v>
      </c>
      <c r="R694">
        <v>1</v>
      </c>
      <c r="S694">
        <v>36</v>
      </c>
      <c r="T694">
        <v>0</v>
      </c>
      <c r="U694">
        <f t="shared" si="41"/>
        <v>11.931635799828413</v>
      </c>
      <c r="V694">
        <f t="shared" si="42"/>
        <v>8.136810863675537</v>
      </c>
      <c r="W694">
        <v>0</v>
      </c>
      <c r="X694">
        <v>0</v>
      </c>
      <c r="Y694">
        <v>0</v>
      </c>
      <c r="Z694">
        <f>'Résultat (Ln)'!F$30+'Résultat (Ln)'!F$31*Données!S694+'Résultat (Ln)'!F$32*Données!T694+'Résultat (Ln)'!F$33*Données!U694+'Résultat (Ln)'!F$34*Données!V694+'Résultat (Ln)'!F$35*Données!W694+'Résultat (Ln)'!F$36*Données!X694+'Résultat (Ln)'!F$37*Données!Y694</f>
        <v>121385.21865358599</v>
      </c>
      <c r="AA694">
        <f t="shared" si="43"/>
        <v>5614.7813464140054</v>
      </c>
    </row>
    <row r="695" spans="1:27" x14ac:dyDescent="0.25">
      <c r="A695">
        <v>181000</v>
      </c>
      <c r="B695">
        <v>1</v>
      </c>
      <c r="C695">
        <v>24.70000076293945</v>
      </c>
      <c r="D695">
        <v>0</v>
      </c>
      <c r="E695">
        <v>227000</v>
      </c>
      <c r="F695">
        <v>4683</v>
      </c>
      <c r="G695">
        <v>0</v>
      </c>
      <c r="H695">
        <v>0</v>
      </c>
      <c r="I695">
        <v>0</v>
      </c>
      <c r="J695">
        <v>22.780000686645511</v>
      </c>
      <c r="K695">
        <v>1</v>
      </c>
      <c r="L695">
        <f>Résultats!G$32+Résultats!G$33*Données!C695+Résultats!G$34*Données!D695+Résultats!G$35*Données!E695+Résultats!G$36*Données!F695+Résultats!G$37*Données!G695+Résultats!G$38*Données!H695+Résultats!G$39*Données!I695</f>
        <v>140006.81545897847</v>
      </c>
      <c r="M695">
        <f t="shared" si="40"/>
        <v>40993.184541021532</v>
      </c>
      <c r="Q695">
        <v>124000</v>
      </c>
      <c r="R695">
        <v>1</v>
      </c>
      <c r="S695">
        <v>26</v>
      </c>
      <c r="T695">
        <v>0</v>
      </c>
      <c r="U695">
        <f t="shared" si="41"/>
        <v>11.951180395901384</v>
      </c>
      <c r="V695">
        <f t="shared" si="42"/>
        <v>8.1116280783077404</v>
      </c>
      <c r="W695">
        <v>1</v>
      </c>
      <c r="X695">
        <v>0</v>
      </c>
      <c r="Y695">
        <v>0</v>
      </c>
      <c r="Z695">
        <f>'Résultat (Ln)'!F$30+'Résultat (Ln)'!F$31*Données!S695+'Résultat (Ln)'!F$32*Données!T695+'Résultat (Ln)'!F$33*Données!U695+'Résultat (Ln)'!F$34*Données!V695+'Résultat (Ln)'!F$35*Données!W695+'Résultat (Ln)'!F$36*Données!X695+'Résultat (Ln)'!F$37*Données!Y695</f>
        <v>115067.66268550097</v>
      </c>
      <c r="AA695">
        <f t="shared" si="43"/>
        <v>8932.3373144990328</v>
      </c>
    </row>
    <row r="696" spans="1:27" x14ac:dyDescent="0.25">
      <c r="A696">
        <v>55000</v>
      </c>
      <c r="B696">
        <v>1</v>
      </c>
      <c r="C696">
        <v>48</v>
      </c>
      <c r="D696">
        <v>0</v>
      </c>
      <c r="E696">
        <v>105000</v>
      </c>
      <c r="F696">
        <v>1800</v>
      </c>
      <c r="G696">
        <v>0</v>
      </c>
      <c r="H696">
        <v>0</v>
      </c>
      <c r="I696">
        <v>1</v>
      </c>
      <c r="J696">
        <v>34</v>
      </c>
      <c r="K696">
        <v>1</v>
      </c>
      <c r="L696">
        <f>Résultats!G$32+Résultats!G$33*Données!C696+Résultats!G$34*Données!D696+Résultats!G$35*Données!E696+Résultats!G$36*Données!F696+Résultats!G$37*Données!G696+Résultats!G$38*Données!H696+Résultats!G$39*Données!I696</f>
        <v>114141.35151949083</v>
      </c>
      <c r="M696">
        <f t="shared" si="40"/>
        <v>-59141.351519490825</v>
      </c>
      <c r="Q696">
        <v>181000</v>
      </c>
      <c r="R696">
        <v>1</v>
      </c>
      <c r="S696">
        <v>24.70000076293945</v>
      </c>
      <c r="T696">
        <v>0</v>
      </c>
      <c r="U696">
        <f t="shared" si="41"/>
        <v>12.332705296463539</v>
      </c>
      <c r="V696">
        <f t="shared" si="42"/>
        <v>8.4516942091835414</v>
      </c>
      <c r="W696">
        <v>0</v>
      </c>
      <c r="X696">
        <v>0</v>
      </c>
      <c r="Y696">
        <v>0</v>
      </c>
      <c r="Z696">
        <f>'Résultat (Ln)'!F$30+'Résultat (Ln)'!F$31*Données!S696+'Résultat (Ln)'!F$32*Données!T696+'Résultat (Ln)'!F$33*Données!U696+'Résultat (Ln)'!F$34*Données!V696+'Résultat (Ln)'!F$35*Données!W696+'Résultat (Ln)'!F$36*Données!X696+'Résultat (Ln)'!F$37*Données!Y696</f>
        <v>159400.18157387947</v>
      </c>
      <c r="AA696">
        <f t="shared" si="43"/>
        <v>21599.818426120532</v>
      </c>
    </row>
    <row r="697" spans="1:27" x14ac:dyDescent="0.25">
      <c r="A697">
        <v>100000</v>
      </c>
      <c r="B697">
        <v>1</v>
      </c>
      <c r="C697">
        <v>37</v>
      </c>
      <c r="D697">
        <v>0</v>
      </c>
      <c r="E697">
        <v>125000</v>
      </c>
      <c r="F697">
        <v>10065</v>
      </c>
      <c r="G697">
        <v>1</v>
      </c>
      <c r="H697">
        <v>0</v>
      </c>
      <c r="I697">
        <v>0</v>
      </c>
      <c r="J697">
        <v>16</v>
      </c>
      <c r="K697">
        <v>1</v>
      </c>
      <c r="L697">
        <f>Résultats!G$32+Résultats!G$33*Données!C697+Résultats!G$34*Données!D697+Résultats!G$35*Données!E697+Résultats!G$36*Données!F697+Résultats!G$37*Données!G697+Résultats!G$38*Données!H697+Résultats!G$39*Données!I697</f>
        <v>123952.01692469986</v>
      </c>
      <c r="M697">
        <f t="shared" si="40"/>
        <v>-23952.016924699856</v>
      </c>
      <c r="Q697">
        <v>55000</v>
      </c>
      <c r="R697">
        <v>1</v>
      </c>
      <c r="S697">
        <v>48</v>
      </c>
      <c r="T697">
        <v>0</v>
      </c>
      <c r="U697">
        <f t="shared" si="41"/>
        <v>11.561715629139661</v>
      </c>
      <c r="V697">
        <f t="shared" si="42"/>
        <v>7.4955419438842563</v>
      </c>
      <c r="W697">
        <v>0</v>
      </c>
      <c r="X697">
        <v>0</v>
      </c>
      <c r="Y697">
        <v>1</v>
      </c>
      <c r="Z697">
        <f>'Résultat (Ln)'!F$30+'Résultat (Ln)'!F$31*Données!S697+'Résultat (Ln)'!F$32*Données!T697+'Résultat (Ln)'!F$33*Données!U697+'Résultat (Ln)'!F$34*Données!V697+'Résultat (Ln)'!F$35*Données!W697+'Résultat (Ln)'!F$36*Données!X697+'Résultat (Ln)'!F$37*Données!Y697</f>
        <v>92497.943685837759</v>
      </c>
      <c r="AA697">
        <f t="shared" si="43"/>
        <v>-37497.943685837759</v>
      </c>
    </row>
    <row r="698" spans="1:27" x14ac:dyDescent="0.25">
      <c r="A698">
        <v>214000</v>
      </c>
      <c r="B698">
        <v>1</v>
      </c>
      <c r="C698">
        <v>31</v>
      </c>
      <c r="D698">
        <v>0</v>
      </c>
      <c r="E698">
        <v>314000</v>
      </c>
      <c r="F698">
        <v>10000</v>
      </c>
      <c r="G698">
        <v>0</v>
      </c>
      <c r="H698">
        <v>0</v>
      </c>
      <c r="I698">
        <v>0</v>
      </c>
      <c r="J698">
        <v>26</v>
      </c>
      <c r="K698">
        <v>0</v>
      </c>
      <c r="L698">
        <f>Résultats!G$32+Résultats!G$33*Données!C698+Résultats!G$34*Données!D698+Résultats!G$35*Données!E698+Résultats!G$36*Données!F698+Résultats!G$37*Données!G698+Résultats!G$38*Données!H698+Résultats!G$39*Données!I698</f>
        <v>198171.58776929587</v>
      </c>
      <c r="M698">
        <f t="shared" si="40"/>
        <v>15828.412230704125</v>
      </c>
      <c r="Q698">
        <v>100000</v>
      </c>
      <c r="R698">
        <v>1</v>
      </c>
      <c r="S698">
        <v>37</v>
      </c>
      <c r="T698">
        <v>0</v>
      </c>
      <c r="U698">
        <f t="shared" si="41"/>
        <v>11.736069016284437</v>
      </c>
      <c r="V698">
        <f t="shared" si="42"/>
        <v>9.2168193380738916</v>
      </c>
      <c r="W698">
        <v>1</v>
      </c>
      <c r="X698">
        <v>0</v>
      </c>
      <c r="Y698">
        <v>0</v>
      </c>
      <c r="Z698">
        <f>'Résultat (Ln)'!F$30+'Résultat (Ln)'!F$31*Données!S698+'Résultat (Ln)'!F$32*Données!T698+'Résultat (Ln)'!F$33*Données!U698+'Résultat (Ln)'!F$34*Données!V698+'Résultat (Ln)'!F$35*Données!W698+'Résultat (Ln)'!F$36*Données!X698+'Résultat (Ln)'!F$37*Données!Y698</f>
        <v>136447.09234233425</v>
      </c>
      <c r="AA698">
        <f t="shared" si="43"/>
        <v>-36447.092342334246</v>
      </c>
    </row>
    <row r="699" spans="1:27" x14ac:dyDescent="0.25">
      <c r="A699">
        <v>158000</v>
      </c>
      <c r="B699">
        <v>1</v>
      </c>
      <c r="C699">
        <v>36</v>
      </c>
      <c r="D699">
        <v>0</v>
      </c>
      <c r="E699">
        <v>188000</v>
      </c>
      <c r="F699">
        <v>3149</v>
      </c>
      <c r="G699">
        <v>0</v>
      </c>
      <c r="H699">
        <v>0</v>
      </c>
      <c r="I699">
        <v>0</v>
      </c>
      <c r="J699">
        <v>27</v>
      </c>
      <c r="K699">
        <v>1</v>
      </c>
      <c r="L699">
        <f>Résultats!G$32+Résultats!G$33*Données!C699+Résultats!G$34*Données!D699+Résultats!G$35*Données!E699+Résultats!G$36*Données!F699+Résultats!G$37*Données!G699+Résultats!G$38*Données!H699+Résultats!G$39*Données!I699</f>
        <v>131803.04656934127</v>
      </c>
      <c r="M699">
        <f t="shared" si="40"/>
        <v>26196.95343065873</v>
      </c>
      <c r="Q699">
        <v>214000</v>
      </c>
      <c r="R699">
        <v>1</v>
      </c>
      <c r="S699">
        <v>31</v>
      </c>
      <c r="T699">
        <v>0</v>
      </c>
      <c r="U699">
        <f t="shared" si="41"/>
        <v>12.65714826489039</v>
      </c>
      <c r="V699">
        <f t="shared" si="42"/>
        <v>9.2103403719761836</v>
      </c>
      <c r="W699">
        <v>0</v>
      </c>
      <c r="X699">
        <v>0</v>
      </c>
      <c r="Y699">
        <v>0</v>
      </c>
      <c r="Z699">
        <f>'Résultat (Ln)'!F$30+'Résultat (Ln)'!F$31*Données!S699+'Résultat (Ln)'!F$32*Données!T699+'Résultat (Ln)'!F$33*Données!U699+'Résultat (Ln)'!F$34*Données!V699+'Résultat (Ln)'!F$35*Données!W699+'Résultat (Ln)'!F$36*Données!X699+'Résultat (Ln)'!F$37*Données!Y699</f>
        <v>223154.71966341246</v>
      </c>
      <c r="AA699">
        <f t="shared" si="43"/>
        <v>-9154.7196634124557</v>
      </c>
    </row>
    <row r="700" spans="1:27" x14ac:dyDescent="0.25">
      <c r="A700">
        <v>126000</v>
      </c>
      <c r="B700">
        <v>1</v>
      </c>
      <c r="C700">
        <v>34</v>
      </c>
      <c r="D700">
        <v>0</v>
      </c>
      <c r="E700">
        <v>140100.0061035156</v>
      </c>
      <c r="F700">
        <v>1962</v>
      </c>
      <c r="G700">
        <v>0</v>
      </c>
      <c r="H700">
        <v>0</v>
      </c>
      <c r="I700">
        <v>0</v>
      </c>
      <c r="J700">
        <v>29.20000076293945</v>
      </c>
      <c r="K700">
        <v>1</v>
      </c>
      <c r="L700">
        <f>Résultats!G$32+Résultats!G$33*Données!C700+Résultats!G$34*Données!D700+Résultats!G$35*Données!E700+Résultats!G$36*Données!F700+Résultats!G$37*Données!G700+Résultats!G$38*Données!H700+Résultats!G$39*Données!I700</f>
        <v>104838.4934885917</v>
      </c>
      <c r="M700">
        <f t="shared" si="40"/>
        <v>21161.506511408297</v>
      </c>
      <c r="Q700">
        <v>158000</v>
      </c>
      <c r="R700">
        <v>1</v>
      </c>
      <c r="S700">
        <v>36</v>
      </c>
      <c r="T700">
        <v>0</v>
      </c>
      <c r="U700">
        <f t="shared" si="41"/>
        <v>12.144197241812087</v>
      </c>
      <c r="V700">
        <f t="shared" si="42"/>
        <v>8.0548402211010242</v>
      </c>
      <c r="W700">
        <v>0</v>
      </c>
      <c r="X700">
        <v>0</v>
      </c>
      <c r="Y700">
        <v>0</v>
      </c>
      <c r="Z700">
        <f>'Résultat (Ln)'!F$30+'Résultat (Ln)'!F$31*Données!S700+'Résultat (Ln)'!F$32*Données!T700+'Résultat (Ln)'!F$33*Données!U700+'Résultat (Ln)'!F$34*Données!V700+'Résultat (Ln)'!F$35*Données!W700+'Résultat (Ln)'!F$36*Données!X700+'Résultat (Ln)'!F$37*Données!Y700</f>
        <v>141871.93115524895</v>
      </c>
      <c r="AA700">
        <f t="shared" si="43"/>
        <v>16128.068844751047</v>
      </c>
    </row>
    <row r="701" spans="1:27" x14ac:dyDescent="0.25">
      <c r="A701">
        <v>128000</v>
      </c>
      <c r="B701">
        <v>1</v>
      </c>
      <c r="C701">
        <v>34</v>
      </c>
      <c r="D701">
        <v>0</v>
      </c>
      <c r="E701">
        <v>160000</v>
      </c>
      <c r="F701">
        <v>3430</v>
      </c>
      <c r="G701">
        <v>1</v>
      </c>
      <c r="H701">
        <v>0</v>
      </c>
      <c r="I701">
        <v>0</v>
      </c>
      <c r="J701">
        <v>31</v>
      </c>
      <c r="K701">
        <v>1</v>
      </c>
      <c r="L701">
        <f>Résultats!G$32+Résultats!G$33*Données!C701+Résultats!G$34*Données!D701+Résultats!G$35*Données!E701+Résultats!G$36*Données!F701+Résultats!G$37*Données!G701+Résultats!G$38*Données!H701+Résultats!G$39*Données!I701</f>
        <v>123992.15101909848</v>
      </c>
      <c r="M701">
        <f t="shared" si="40"/>
        <v>4007.8489809015155</v>
      </c>
      <c r="Q701">
        <v>126000</v>
      </c>
      <c r="R701">
        <v>1</v>
      </c>
      <c r="S701">
        <v>34</v>
      </c>
      <c r="T701">
        <v>0</v>
      </c>
      <c r="U701">
        <f t="shared" si="41"/>
        <v>11.85011177589052</v>
      </c>
      <c r="V701">
        <f t="shared" si="42"/>
        <v>7.581719640125308</v>
      </c>
      <c r="W701">
        <v>0</v>
      </c>
      <c r="X701">
        <v>0</v>
      </c>
      <c r="Y701">
        <v>0</v>
      </c>
      <c r="Z701">
        <f>'Résultat (Ln)'!F$30+'Résultat (Ln)'!F$31*Données!S701+'Résultat (Ln)'!F$32*Données!T701+'Résultat (Ln)'!F$33*Données!U701+'Résultat (Ln)'!F$34*Données!V701+'Résultat (Ln)'!F$35*Données!W701+'Résultat (Ln)'!F$36*Données!X701+'Résultat (Ln)'!F$37*Données!Y701</f>
        <v>94634.149307689164</v>
      </c>
      <c r="AA701">
        <f t="shared" si="43"/>
        <v>31365.850692310836</v>
      </c>
    </row>
    <row r="702" spans="1:27" x14ac:dyDescent="0.25">
      <c r="A702">
        <v>104000</v>
      </c>
      <c r="B702">
        <v>1</v>
      </c>
      <c r="C702">
        <v>24</v>
      </c>
      <c r="D702">
        <v>0</v>
      </c>
      <c r="E702">
        <v>130000</v>
      </c>
      <c r="F702">
        <v>5555</v>
      </c>
      <c r="G702">
        <v>0</v>
      </c>
      <c r="H702">
        <v>0</v>
      </c>
      <c r="I702">
        <v>1</v>
      </c>
      <c r="J702">
        <v>19</v>
      </c>
      <c r="K702">
        <v>0</v>
      </c>
      <c r="L702">
        <f>Résultats!G$32+Résultats!G$33*Données!C702+Résultats!G$34*Données!D702+Résultats!G$35*Données!E702+Résultats!G$36*Données!F702+Résultats!G$37*Données!G702+Résultats!G$38*Données!H702+Résultats!G$39*Données!I702</f>
        <v>105523.48569589383</v>
      </c>
      <c r="M702">
        <f t="shared" si="40"/>
        <v>-1523.4856958938326</v>
      </c>
      <c r="Q702">
        <v>128000</v>
      </c>
      <c r="R702">
        <v>1</v>
      </c>
      <c r="S702">
        <v>34</v>
      </c>
      <c r="T702">
        <v>0</v>
      </c>
      <c r="U702">
        <f t="shared" si="41"/>
        <v>11.982929094215963</v>
      </c>
      <c r="V702">
        <f t="shared" si="42"/>
        <v>8.1403155401599854</v>
      </c>
      <c r="W702">
        <v>1</v>
      </c>
      <c r="X702">
        <v>0</v>
      </c>
      <c r="Y702">
        <v>0</v>
      </c>
      <c r="Z702">
        <f>'Résultat (Ln)'!F$30+'Résultat (Ln)'!F$31*Données!S702+'Résultat (Ln)'!F$32*Données!T702+'Résultat (Ln)'!F$33*Données!U702+'Résultat (Ln)'!F$34*Données!V702+'Résultat (Ln)'!F$35*Données!W702+'Résultat (Ln)'!F$36*Données!X702+'Résultat (Ln)'!F$37*Données!Y702</f>
        <v>129051.87275277825</v>
      </c>
      <c r="AA702">
        <f t="shared" si="43"/>
        <v>-1051.8727527782466</v>
      </c>
    </row>
    <row r="703" spans="1:27" x14ac:dyDescent="0.25">
      <c r="A703">
        <v>240000</v>
      </c>
      <c r="B703">
        <v>1</v>
      </c>
      <c r="C703">
        <v>38</v>
      </c>
      <c r="D703">
        <v>0</v>
      </c>
      <c r="E703">
        <v>300000</v>
      </c>
      <c r="F703">
        <v>7787</v>
      </c>
      <c r="G703">
        <v>1</v>
      </c>
      <c r="H703">
        <v>0</v>
      </c>
      <c r="I703">
        <v>0</v>
      </c>
      <c r="J703">
        <v>28</v>
      </c>
      <c r="K703">
        <v>1</v>
      </c>
      <c r="L703">
        <f>Résultats!G$32+Résultats!G$33*Données!C703+Résultats!G$34*Données!D703+Résultats!G$35*Données!E703+Résultats!G$36*Données!F703+Résultats!G$37*Données!G703+Résultats!G$38*Données!H703+Résultats!G$39*Données!I703</f>
        <v>202403.22970233436</v>
      </c>
      <c r="M703">
        <f t="shared" si="40"/>
        <v>37596.770297665644</v>
      </c>
      <c r="Q703">
        <v>104000</v>
      </c>
      <c r="R703">
        <v>1</v>
      </c>
      <c r="S703">
        <v>24</v>
      </c>
      <c r="T703">
        <v>0</v>
      </c>
      <c r="U703">
        <f t="shared" si="41"/>
        <v>11.77528972943772</v>
      </c>
      <c r="V703">
        <f t="shared" si="42"/>
        <v>8.6224537020737309</v>
      </c>
      <c r="W703">
        <v>0</v>
      </c>
      <c r="X703">
        <v>0</v>
      </c>
      <c r="Y703">
        <v>1</v>
      </c>
      <c r="Z703">
        <f>'Résultat (Ln)'!F$30+'Résultat (Ln)'!F$31*Données!S703+'Résultat (Ln)'!F$32*Données!T703+'Résultat (Ln)'!F$33*Données!U703+'Résultat (Ln)'!F$34*Données!V703+'Résultat (Ln)'!F$35*Données!W703+'Résultat (Ln)'!F$36*Données!X703+'Résultat (Ln)'!F$37*Données!Y703</f>
        <v>117668.29083256109</v>
      </c>
      <c r="AA703">
        <f t="shared" si="43"/>
        <v>-13668.290832561092</v>
      </c>
    </row>
    <row r="704" spans="1:27" x14ac:dyDescent="0.25">
      <c r="A704">
        <v>112000</v>
      </c>
      <c r="B704">
        <v>1</v>
      </c>
      <c r="C704">
        <v>34</v>
      </c>
      <c r="D704">
        <v>0</v>
      </c>
      <c r="E704">
        <v>125000</v>
      </c>
      <c r="F704">
        <v>2869</v>
      </c>
      <c r="G704">
        <v>1</v>
      </c>
      <c r="H704">
        <v>0</v>
      </c>
      <c r="I704">
        <v>0</v>
      </c>
      <c r="J704">
        <v>30</v>
      </c>
      <c r="K704">
        <v>1</v>
      </c>
      <c r="L704">
        <f>Résultats!G$32+Résultats!G$33*Données!C704+Résultats!G$34*Données!D704+Résultats!G$35*Données!E704+Résultats!G$36*Données!F704+Résultats!G$37*Données!G704+Résultats!G$38*Données!H704+Résultats!G$39*Données!I704</f>
        <v>106561.68790336778</v>
      </c>
      <c r="M704">
        <f t="shared" si="40"/>
        <v>5438.3120966322167</v>
      </c>
      <c r="Q704">
        <v>240000</v>
      </c>
      <c r="R704">
        <v>1</v>
      </c>
      <c r="S704">
        <v>38</v>
      </c>
      <c r="T704">
        <v>0</v>
      </c>
      <c r="U704">
        <f t="shared" si="41"/>
        <v>12.611537753638338</v>
      </c>
      <c r="V704">
        <f t="shared" si="42"/>
        <v>8.9602109555769864</v>
      </c>
      <c r="W704">
        <v>1</v>
      </c>
      <c r="X704">
        <v>0</v>
      </c>
      <c r="Y704">
        <v>0</v>
      </c>
      <c r="Z704">
        <f>'Résultat (Ln)'!F$30+'Résultat (Ln)'!F$31*Données!S704+'Résultat (Ln)'!F$32*Données!T704+'Résultat (Ln)'!F$33*Données!U704+'Résultat (Ln)'!F$34*Données!V704+'Résultat (Ln)'!F$35*Données!W704+'Résultat (Ln)'!F$36*Données!X704+'Résultat (Ln)'!F$37*Données!Y704</f>
        <v>224318.71492030963</v>
      </c>
      <c r="AA704">
        <f t="shared" si="43"/>
        <v>15681.285079690366</v>
      </c>
    </row>
    <row r="705" spans="1:27" x14ac:dyDescent="0.25">
      <c r="A705">
        <v>130000</v>
      </c>
      <c r="B705">
        <v>1</v>
      </c>
      <c r="C705">
        <v>24</v>
      </c>
      <c r="D705">
        <v>0</v>
      </c>
      <c r="E705">
        <v>195000</v>
      </c>
      <c r="F705">
        <v>5703</v>
      </c>
      <c r="G705">
        <v>1</v>
      </c>
      <c r="H705">
        <v>0</v>
      </c>
      <c r="I705">
        <v>0</v>
      </c>
      <c r="J705">
        <v>24</v>
      </c>
      <c r="K705">
        <v>1</v>
      </c>
      <c r="L705">
        <f>Résultats!G$32+Résultats!G$33*Données!C705+Résultats!G$34*Données!D705+Résultats!G$35*Données!E705+Résultats!G$36*Données!F705+Résultats!G$37*Données!G705+Résultats!G$38*Données!H705+Résultats!G$39*Données!I705</f>
        <v>133253.40231382582</v>
      </c>
      <c r="M705">
        <f t="shared" si="40"/>
        <v>-3253.4023138258199</v>
      </c>
      <c r="Q705">
        <v>112000</v>
      </c>
      <c r="R705">
        <v>1</v>
      </c>
      <c r="S705">
        <v>34</v>
      </c>
      <c r="T705">
        <v>0</v>
      </c>
      <c r="U705">
        <f t="shared" si="41"/>
        <v>11.736069016284437</v>
      </c>
      <c r="V705">
        <f t="shared" si="42"/>
        <v>7.9617188159813645</v>
      </c>
      <c r="W705">
        <v>1</v>
      </c>
      <c r="X705">
        <v>0</v>
      </c>
      <c r="Y705">
        <v>0</v>
      </c>
      <c r="Z705">
        <f>'Résultat (Ln)'!F$30+'Résultat (Ln)'!F$31*Données!S705+'Résultat (Ln)'!F$32*Données!T705+'Résultat (Ln)'!F$33*Données!U705+'Résultat (Ln)'!F$34*Données!V705+'Résultat (Ln)'!F$35*Données!W705+'Résultat (Ln)'!F$36*Données!X705+'Résultat (Ln)'!F$37*Données!Y705</f>
        <v>97580.680144415339</v>
      </c>
      <c r="AA705">
        <f t="shared" si="43"/>
        <v>14419.319855584661</v>
      </c>
    </row>
    <row r="706" spans="1:27" x14ac:dyDescent="0.25">
      <c r="A706">
        <v>137000</v>
      </c>
      <c r="B706">
        <v>1</v>
      </c>
      <c r="C706">
        <v>27</v>
      </c>
      <c r="D706">
        <v>0</v>
      </c>
      <c r="E706">
        <v>177000</v>
      </c>
      <c r="F706">
        <v>3173</v>
      </c>
      <c r="G706">
        <v>1</v>
      </c>
      <c r="H706">
        <v>0</v>
      </c>
      <c r="I706">
        <v>0</v>
      </c>
      <c r="J706">
        <v>22</v>
      </c>
      <c r="K706">
        <v>1</v>
      </c>
      <c r="L706">
        <f>Résultats!G$32+Résultats!G$33*Données!C706+Résultats!G$34*Données!D706+Résultats!G$35*Données!E706+Résultats!G$36*Données!F706+Résultats!G$37*Données!G706+Résultats!G$38*Données!H706+Résultats!G$39*Données!I706</f>
        <v>123391.65257970965</v>
      </c>
      <c r="M706">
        <f t="shared" si="40"/>
        <v>13608.347420290345</v>
      </c>
      <c r="Q706">
        <v>130000</v>
      </c>
      <c r="R706">
        <v>1</v>
      </c>
      <c r="S706">
        <v>24</v>
      </c>
      <c r="T706">
        <v>0</v>
      </c>
      <c r="U706">
        <f t="shared" si="41"/>
        <v>12.180754837545884</v>
      </c>
      <c r="V706">
        <f t="shared" si="42"/>
        <v>8.6487476311565388</v>
      </c>
      <c r="W706">
        <v>1</v>
      </c>
      <c r="X706">
        <v>0</v>
      </c>
      <c r="Y706">
        <v>0</v>
      </c>
      <c r="Z706">
        <f>'Résultat (Ln)'!F$30+'Résultat (Ln)'!F$31*Données!S706+'Résultat (Ln)'!F$32*Données!T706+'Résultat (Ln)'!F$33*Données!U706+'Résultat (Ln)'!F$34*Données!V706+'Résultat (Ln)'!F$35*Données!W706+'Résultat (Ln)'!F$36*Données!X706+'Résultat (Ln)'!F$37*Données!Y706</f>
        <v>152296.88677928137</v>
      </c>
      <c r="AA706">
        <f t="shared" si="43"/>
        <v>-22296.886779281369</v>
      </c>
    </row>
    <row r="707" spans="1:27" x14ac:dyDescent="0.25">
      <c r="A707">
        <v>50000</v>
      </c>
      <c r="B707">
        <v>1</v>
      </c>
      <c r="C707">
        <v>39</v>
      </c>
      <c r="D707">
        <v>0</v>
      </c>
      <c r="E707">
        <v>56000</v>
      </c>
      <c r="F707">
        <v>2463</v>
      </c>
      <c r="G707">
        <v>0</v>
      </c>
      <c r="H707">
        <v>0</v>
      </c>
      <c r="I707">
        <v>0</v>
      </c>
      <c r="J707">
        <v>27</v>
      </c>
      <c r="K707">
        <v>1</v>
      </c>
      <c r="L707">
        <f>Résultats!G$32+Résultats!G$33*Données!C707+Résultats!G$34*Données!D707+Résultats!G$35*Données!E707+Résultats!G$36*Données!F707+Résultats!G$37*Données!G707+Résultats!G$38*Données!H707+Résultats!G$39*Données!I707</f>
        <v>72281.904109000156</v>
      </c>
      <c r="M707">
        <f t="shared" ref="M707:M770" si="44">A707-L707</f>
        <v>-22281.904109000156</v>
      </c>
      <c r="Q707">
        <v>137000</v>
      </c>
      <c r="R707">
        <v>1</v>
      </c>
      <c r="S707">
        <v>27</v>
      </c>
      <c r="T707">
        <v>0</v>
      </c>
      <c r="U707">
        <f t="shared" si="41"/>
        <v>12.083905011555967</v>
      </c>
      <c r="V707">
        <f t="shared" si="42"/>
        <v>8.0624327915831948</v>
      </c>
      <c r="W707">
        <v>1</v>
      </c>
      <c r="X707">
        <v>0</v>
      </c>
      <c r="Y707">
        <v>0</v>
      </c>
      <c r="Z707">
        <f>'Résultat (Ln)'!F$30+'Résultat (Ln)'!F$31*Données!S707+'Résultat (Ln)'!F$32*Données!T707+'Résultat (Ln)'!F$33*Données!U707+'Résultat (Ln)'!F$34*Données!V707+'Résultat (Ln)'!F$35*Données!W707+'Résultat (Ln)'!F$36*Données!X707+'Résultat (Ln)'!F$37*Données!Y707</f>
        <v>129137.47318148114</v>
      </c>
      <c r="AA707">
        <f t="shared" si="43"/>
        <v>7862.5268185188615</v>
      </c>
    </row>
    <row r="708" spans="1:27" x14ac:dyDescent="0.25">
      <c r="A708">
        <v>132000</v>
      </c>
      <c r="B708">
        <v>1</v>
      </c>
      <c r="C708">
        <v>51.799999237060547</v>
      </c>
      <c r="D708">
        <v>0</v>
      </c>
      <c r="E708">
        <v>165000</v>
      </c>
      <c r="F708">
        <v>3391</v>
      </c>
      <c r="G708">
        <v>0</v>
      </c>
      <c r="H708">
        <v>1</v>
      </c>
      <c r="I708">
        <v>0</v>
      </c>
      <c r="J708">
        <v>37.700000762939453</v>
      </c>
      <c r="K708">
        <v>1</v>
      </c>
      <c r="L708">
        <f>Résultats!G$32+Résultats!G$33*Données!C708+Résultats!G$34*Données!D708+Résultats!G$35*Données!E708+Résultats!G$36*Données!F708+Résultats!G$37*Données!G708+Résultats!G$38*Données!H708+Résultats!G$39*Données!I708</f>
        <v>138055.78056690076</v>
      </c>
      <c r="M708">
        <f t="shared" si="44"/>
        <v>-6055.7805669007648</v>
      </c>
      <c r="Q708">
        <v>50000</v>
      </c>
      <c r="R708">
        <v>1</v>
      </c>
      <c r="S708">
        <v>39</v>
      </c>
      <c r="T708">
        <v>0</v>
      </c>
      <c r="U708">
        <f t="shared" ref="U708:U771" si="45">LN(E707)</f>
        <v>10.933106969717286</v>
      </c>
      <c r="V708">
        <f t="shared" ref="V708:V771" si="46">LN(F707)</f>
        <v>7.8091353981205378</v>
      </c>
      <c r="W708">
        <v>0</v>
      </c>
      <c r="X708">
        <v>0</v>
      </c>
      <c r="Y708">
        <v>0</v>
      </c>
      <c r="Z708">
        <f>'Résultat (Ln)'!F$30+'Résultat (Ln)'!F$31*Données!S708+'Résultat (Ln)'!F$32*Données!T708+'Résultat (Ln)'!F$33*Données!U708+'Résultat (Ln)'!F$34*Données!V708+'Résultat (Ln)'!F$35*Données!W708+'Résultat (Ln)'!F$36*Données!X708+'Résultat (Ln)'!F$37*Données!Y708</f>
        <v>8823.5598235453072</v>
      </c>
      <c r="AA708">
        <f t="shared" ref="AA708:AA771" si="47">Q708-Z708</f>
        <v>41176.440176454693</v>
      </c>
    </row>
    <row r="709" spans="1:27" x14ac:dyDescent="0.25">
      <c r="A709">
        <v>65000</v>
      </c>
      <c r="B709">
        <v>1</v>
      </c>
      <c r="C709">
        <v>32</v>
      </c>
      <c r="D709">
        <v>0</v>
      </c>
      <c r="E709">
        <v>106099.99847412109</v>
      </c>
      <c r="F709">
        <v>4071</v>
      </c>
      <c r="G709">
        <v>1</v>
      </c>
      <c r="H709">
        <v>0</v>
      </c>
      <c r="I709">
        <v>1</v>
      </c>
      <c r="J709">
        <v>13</v>
      </c>
      <c r="K709">
        <v>1</v>
      </c>
      <c r="L709">
        <f>Résultats!G$32+Résultats!G$33*Données!C709+Résultats!G$34*Données!D709+Résultats!G$35*Données!E709+Résultats!G$36*Données!F709+Résultats!G$37*Données!G709+Résultats!G$38*Données!H709+Résultats!G$39*Données!I709</f>
        <v>107693.60692531295</v>
      </c>
      <c r="M709">
        <f t="shared" si="44"/>
        <v>-42693.606925312954</v>
      </c>
      <c r="Q709">
        <v>132000</v>
      </c>
      <c r="R709">
        <v>1</v>
      </c>
      <c r="S709">
        <v>51.799999237060547</v>
      </c>
      <c r="T709">
        <v>0</v>
      </c>
      <c r="U709">
        <f t="shared" si="45"/>
        <v>12.013700752882718</v>
      </c>
      <c r="V709">
        <f t="shared" si="46"/>
        <v>8.128880142125638</v>
      </c>
      <c r="W709">
        <v>0</v>
      </c>
      <c r="X709">
        <v>1</v>
      </c>
      <c r="Y709">
        <v>0</v>
      </c>
      <c r="Z709">
        <f>'Résultat (Ln)'!F$30+'Résultat (Ln)'!F$31*Données!S709+'Résultat (Ln)'!F$32*Données!T709+'Résultat (Ln)'!F$33*Données!U709+'Résultat (Ln)'!F$34*Données!V709+'Résultat (Ln)'!F$35*Données!W709+'Résultat (Ln)'!F$36*Données!X709+'Résultat (Ln)'!F$37*Données!Y709</f>
        <v>149090.50171588975</v>
      </c>
      <c r="AA709">
        <f t="shared" si="47"/>
        <v>-17090.501715889754</v>
      </c>
    </row>
    <row r="710" spans="1:27" x14ac:dyDescent="0.25">
      <c r="A710">
        <v>100000</v>
      </c>
      <c r="B710">
        <v>1</v>
      </c>
      <c r="C710">
        <v>34</v>
      </c>
      <c r="D710">
        <v>0</v>
      </c>
      <c r="E710">
        <v>185000</v>
      </c>
      <c r="F710">
        <v>3850</v>
      </c>
      <c r="G710">
        <v>1</v>
      </c>
      <c r="H710">
        <v>0</v>
      </c>
      <c r="I710">
        <v>0</v>
      </c>
      <c r="J710">
        <v>24</v>
      </c>
      <c r="K710">
        <v>1</v>
      </c>
      <c r="L710">
        <f>Résultats!G$32+Résultats!G$33*Données!C710+Résultats!G$34*Données!D710+Résultats!G$35*Données!E710+Résultats!G$36*Données!F710+Résultats!G$37*Données!G710+Résultats!G$38*Données!H710+Résultats!G$39*Données!I710</f>
        <v>136479.85342953142</v>
      </c>
      <c r="M710">
        <f t="shared" si="44"/>
        <v>-36479.853429531417</v>
      </c>
      <c r="Q710">
        <v>65000</v>
      </c>
      <c r="R710">
        <v>1</v>
      </c>
      <c r="S710">
        <v>32</v>
      </c>
      <c r="T710">
        <v>0</v>
      </c>
      <c r="U710">
        <f t="shared" si="45"/>
        <v>11.572137310220558</v>
      </c>
      <c r="V710">
        <f t="shared" si="46"/>
        <v>8.3116439485029794</v>
      </c>
      <c r="W710">
        <v>1</v>
      </c>
      <c r="X710">
        <v>0</v>
      </c>
      <c r="Y710">
        <v>1</v>
      </c>
      <c r="Z710">
        <f>'Résultat (Ln)'!F$30+'Résultat (Ln)'!F$31*Données!S710+'Résultat (Ln)'!F$32*Données!T710+'Résultat (Ln)'!F$33*Données!U710+'Résultat (Ln)'!F$34*Données!V710+'Résultat (Ln)'!F$35*Données!W710+'Résultat (Ln)'!F$36*Données!X710+'Résultat (Ln)'!F$37*Données!Y710</f>
        <v>101464.70483636936</v>
      </c>
      <c r="AA710">
        <f t="shared" si="47"/>
        <v>-36464.704836369361</v>
      </c>
    </row>
    <row r="711" spans="1:27" x14ac:dyDescent="0.25">
      <c r="A711">
        <v>77000</v>
      </c>
      <c r="B711">
        <v>1</v>
      </c>
      <c r="C711">
        <v>32</v>
      </c>
      <c r="D711">
        <v>0</v>
      </c>
      <c r="E711">
        <v>107000</v>
      </c>
      <c r="F711">
        <v>3254</v>
      </c>
      <c r="G711">
        <v>0</v>
      </c>
      <c r="H711">
        <v>0</v>
      </c>
      <c r="I711">
        <v>0</v>
      </c>
      <c r="J711">
        <v>28</v>
      </c>
      <c r="K711">
        <v>0</v>
      </c>
      <c r="L711">
        <f>Résultats!G$32+Résultats!G$33*Données!C711+Résultats!G$34*Données!D711+Résultats!G$35*Données!E711+Résultats!G$36*Données!F711+Résultats!G$37*Données!G711+Résultats!G$38*Données!H711+Résultats!G$39*Données!I711</f>
        <v>89588.617963792494</v>
      </c>
      <c r="M711">
        <f t="shared" si="44"/>
        <v>-12588.617963792494</v>
      </c>
      <c r="Q711">
        <v>100000</v>
      </c>
      <c r="R711">
        <v>1</v>
      </c>
      <c r="S711">
        <v>34</v>
      </c>
      <c r="T711">
        <v>0</v>
      </c>
      <c r="U711">
        <f t="shared" si="45"/>
        <v>12.128111104060462</v>
      </c>
      <c r="V711">
        <f t="shared" si="46"/>
        <v>8.2558284272818305</v>
      </c>
      <c r="W711">
        <v>1</v>
      </c>
      <c r="X711">
        <v>0</v>
      </c>
      <c r="Y711">
        <v>0</v>
      </c>
      <c r="Z711">
        <f>'Résultat (Ln)'!F$30+'Résultat (Ln)'!F$31*Données!S711+'Résultat (Ln)'!F$32*Données!T711+'Résultat (Ln)'!F$33*Données!U711+'Résultat (Ln)'!F$34*Données!V711+'Résultat (Ln)'!F$35*Données!W711+'Résultat (Ln)'!F$36*Données!X711+'Résultat (Ln)'!F$37*Données!Y711</f>
        <v>147854.39103494678</v>
      </c>
      <c r="AA711">
        <f t="shared" si="47"/>
        <v>-47854.391034946777</v>
      </c>
    </row>
    <row r="712" spans="1:27" x14ac:dyDescent="0.25">
      <c r="A712">
        <v>135000</v>
      </c>
      <c r="B712">
        <v>1</v>
      </c>
      <c r="C712">
        <v>78</v>
      </c>
      <c r="D712">
        <v>0</v>
      </c>
      <c r="E712">
        <v>150000</v>
      </c>
      <c r="F712">
        <v>150</v>
      </c>
      <c r="G712">
        <v>1</v>
      </c>
      <c r="H712">
        <v>0</v>
      </c>
      <c r="I712">
        <v>0</v>
      </c>
      <c r="J712">
        <v>72</v>
      </c>
      <c r="K712">
        <v>1</v>
      </c>
      <c r="L712">
        <f>Résultats!G$32+Résultats!G$33*Données!C712+Résultats!G$34*Données!D712+Résultats!G$35*Données!E712+Résultats!G$36*Données!F712+Résultats!G$37*Données!G712+Résultats!G$38*Données!H712+Résultats!G$39*Données!I712</f>
        <v>163508.17245387347</v>
      </c>
      <c r="M712">
        <f t="shared" si="44"/>
        <v>-28508.172453873471</v>
      </c>
      <c r="Q712">
        <v>77000</v>
      </c>
      <c r="R712">
        <v>1</v>
      </c>
      <c r="S712">
        <v>32</v>
      </c>
      <c r="T712">
        <v>0</v>
      </c>
      <c r="U712">
        <f t="shared" si="45"/>
        <v>11.580584113444043</v>
      </c>
      <c r="V712">
        <f t="shared" si="46"/>
        <v>8.0876402877789833</v>
      </c>
      <c r="W712">
        <v>0</v>
      </c>
      <c r="X712">
        <v>0</v>
      </c>
      <c r="Y712">
        <v>0</v>
      </c>
      <c r="Z712">
        <f>'Résultat (Ln)'!F$30+'Résultat (Ln)'!F$31*Données!S712+'Résultat (Ln)'!F$32*Données!T712+'Résultat (Ln)'!F$33*Données!U712+'Résultat (Ln)'!F$34*Données!V712+'Résultat (Ln)'!F$35*Données!W712+'Résultat (Ln)'!F$36*Données!X712+'Résultat (Ln)'!F$37*Données!Y712</f>
        <v>77486.842634560773</v>
      </c>
      <c r="AA712">
        <f t="shared" si="47"/>
        <v>-486.84263456077315</v>
      </c>
    </row>
    <row r="713" spans="1:27" x14ac:dyDescent="0.25">
      <c r="A713">
        <v>108000</v>
      </c>
      <c r="B713">
        <v>1</v>
      </c>
      <c r="C713">
        <v>41</v>
      </c>
      <c r="D713">
        <v>0</v>
      </c>
      <c r="E713">
        <v>120000</v>
      </c>
      <c r="F713">
        <v>3570</v>
      </c>
      <c r="G713">
        <v>1</v>
      </c>
      <c r="H713">
        <v>0</v>
      </c>
      <c r="I713">
        <v>0</v>
      </c>
      <c r="J713">
        <v>40</v>
      </c>
      <c r="K713">
        <v>1</v>
      </c>
      <c r="L713">
        <f>Résultats!G$32+Résultats!G$33*Données!C713+Résultats!G$34*Données!D713+Résultats!G$35*Données!E713+Résultats!G$36*Données!F713+Résultats!G$37*Données!G713+Résultats!G$38*Données!H713+Résultats!G$39*Données!I713</f>
        <v>113626.00315722362</v>
      </c>
      <c r="M713">
        <f t="shared" si="44"/>
        <v>-5626.0031572236185</v>
      </c>
      <c r="Q713">
        <v>135000</v>
      </c>
      <c r="R713">
        <v>1</v>
      </c>
      <c r="S713">
        <v>78</v>
      </c>
      <c r="T713">
        <v>0</v>
      </c>
      <c r="U713">
        <f t="shared" si="45"/>
        <v>11.918390573078392</v>
      </c>
      <c r="V713">
        <f t="shared" si="46"/>
        <v>5.0106352940962555</v>
      </c>
      <c r="W713">
        <v>1</v>
      </c>
      <c r="X713">
        <v>0</v>
      </c>
      <c r="Y713">
        <v>0</v>
      </c>
      <c r="Z713">
        <f>'Résultat (Ln)'!F$30+'Résultat (Ln)'!F$31*Données!S713+'Résultat (Ln)'!F$32*Données!T713+'Résultat (Ln)'!F$33*Données!U713+'Résultat (Ln)'!F$34*Données!V713+'Résultat (Ln)'!F$35*Données!W713+'Résultat (Ln)'!F$36*Données!X713+'Résultat (Ln)'!F$37*Données!Y713</f>
        <v>88129.068113254951</v>
      </c>
      <c r="AA713">
        <f t="shared" si="47"/>
        <v>46870.931886745049</v>
      </c>
    </row>
    <row r="714" spans="1:27" x14ac:dyDescent="0.25">
      <c r="A714">
        <v>115000</v>
      </c>
      <c r="B714">
        <v>1</v>
      </c>
      <c r="C714">
        <v>34</v>
      </c>
      <c r="D714">
        <v>0</v>
      </c>
      <c r="E714">
        <v>144000</v>
      </c>
      <c r="F714">
        <v>3673</v>
      </c>
      <c r="G714">
        <v>1</v>
      </c>
      <c r="H714">
        <v>0</v>
      </c>
      <c r="I714">
        <v>1</v>
      </c>
      <c r="J714">
        <v>27</v>
      </c>
      <c r="K714">
        <v>1</v>
      </c>
      <c r="L714">
        <f>Résultats!G$32+Résultats!G$33*Données!C714+Résultats!G$34*Données!D714+Résultats!G$35*Données!E714+Résultats!G$36*Données!F714+Résultats!G$37*Données!G714+Résultats!G$38*Données!H714+Résultats!G$39*Données!I714</f>
        <v>126917.23790718406</v>
      </c>
      <c r="M714">
        <f t="shared" si="44"/>
        <v>-11917.237907184055</v>
      </c>
      <c r="Q714">
        <v>108000</v>
      </c>
      <c r="R714">
        <v>1</v>
      </c>
      <c r="S714">
        <v>41</v>
      </c>
      <c r="T714">
        <v>0</v>
      </c>
      <c r="U714">
        <f t="shared" si="45"/>
        <v>11.695247021764184</v>
      </c>
      <c r="V714">
        <f t="shared" si="46"/>
        <v>8.1803208747736846</v>
      </c>
      <c r="W714">
        <v>1</v>
      </c>
      <c r="X714">
        <v>0</v>
      </c>
      <c r="Y714">
        <v>0</v>
      </c>
      <c r="Z714">
        <f>'Résultat (Ln)'!F$30+'Résultat (Ln)'!F$31*Données!S714+'Résultat (Ln)'!F$32*Données!T714+'Résultat (Ln)'!F$33*Données!U714+'Résultat (Ln)'!F$34*Données!V714+'Résultat (Ln)'!F$35*Données!W714+'Résultat (Ln)'!F$36*Données!X714+'Résultat (Ln)'!F$37*Données!Y714</f>
        <v>107889.89817174266</v>
      </c>
      <c r="AA714">
        <f t="shared" si="47"/>
        <v>110.101828257335</v>
      </c>
    </row>
    <row r="715" spans="1:27" x14ac:dyDescent="0.25">
      <c r="A715">
        <v>148000</v>
      </c>
      <c r="B715">
        <v>1</v>
      </c>
      <c r="C715">
        <v>37</v>
      </c>
      <c r="D715">
        <v>0</v>
      </c>
      <c r="E715">
        <v>156000</v>
      </c>
      <c r="F715">
        <v>3873</v>
      </c>
      <c r="G715">
        <v>1</v>
      </c>
      <c r="H715">
        <v>0</v>
      </c>
      <c r="I715">
        <v>0</v>
      </c>
      <c r="J715">
        <v>25</v>
      </c>
      <c r="K715">
        <v>1</v>
      </c>
      <c r="L715">
        <f>Résultats!G$32+Résultats!G$33*Données!C715+Résultats!G$34*Données!D715+Résultats!G$35*Données!E715+Résultats!G$36*Données!F715+Résultats!G$37*Données!G715+Résultats!G$38*Données!H715+Résultats!G$39*Données!I715</f>
        <v>126428.78888479102</v>
      </c>
      <c r="M715">
        <f t="shared" si="44"/>
        <v>21571.211115208978</v>
      </c>
      <c r="Q715">
        <v>115000</v>
      </c>
      <c r="R715">
        <v>1</v>
      </c>
      <c r="S715">
        <v>34</v>
      </c>
      <c r="T715">
        <v>0</v>
      </c>
      <c r="U715">
        <f t="shared" si="45"/>
        <v>11.877568578558138</v>
      </c>
      <c r="V715">
        <f t="shared" si="46"/>
        <v>8.2087640458196667</v>
      </c>
      <c r="W715">
        <v>1</v>
      </c>
      <c r="X715">
        <v>0</v>
      </c>
      <c r="Y715">
        <v>1</v>
      </c>
      <c r="Z715">
        <f>'Résultat (Ln)'!F$30+'Résultat (Ln)'!F$31*Données!S715+'Résultat (Ln)'!F$32*Données!T715+'Résultat (Ln)'!F$33*Données!U715+'Résultat (Ln)'!F$34*Données!V715+'Résultat (Ln)'!F$35*Données!W715+'Résultat (Ln)'!F$36*Données!X715+'Résultat (Ln)'!F$37*Données!Y715</f>
        <v>133764.3161350654</v>
      </c>
      <c r="AA715">
        <f t="shared" si="47"/>
        <v>-18764.316135065397</v>
      </c>
    </row>
    <row r="716" spans="1:27" x14ac:dyDescent="0.25">
      <c r="A716">
        <v>131000</v>
      </c>
      <c r="B716">
        <v>1</v>
      </c>
      <c r="C716">
        <v>34</v>
      </c>
      <c r="D716">
        <v>0</v>
      </c>
      <c r="E716">
        <v>131000</v>
      </c>
      <c r="F716">
        <v>3727</v>
      </c>
      <c r="G716">
        <v>1</v>
      </c>
      <c r="H716">
        <v>0</v>
      </c>
      <c r="I716">
        <v>0</v>
      </c>
      <c r="J716">
        <v>27</v>
      </c>
      <c r="K716">
        <v>1</v>
      </c>
      <c r="L716">
        <f>Résultats!G$32+Résultats!G$33*Données!C716+Résultats!G$34*Données!D716+Résultats!G$35*Données!E716+Résultats!G$36*Données!F716+Résultats!G$37*Données!G716+Résultats!G$38*Données!H716+Résultats!G$39*Données!I716</f>
        <v>111026.02907522199</v>
      </c>
      <c r="M716">
        <f t="shared" si="44"/>
        <v>19973.970924778012</v>
      </c>
      <c r="Q716">
        <v>148000</v>
      </c>
      <c r="R716">
        <v>1</v>
      </c>
      <c r="S716">
        <v>37</v>
      </c>
      <c r="T716">
        <v>0</v>
      </c>
      <c r="U716">
        <f t="shared" si="45"/>
        <v>11.957611286231675</v>
      </c>
      <c r="V716">
        <f t="shared" si="46"/>
        <v>8.2617846795147525</v>
      </c>
      <c r="W716">
        <v>1</v>
      </c>
      <c r="X716">
        <v>0</v>
      </c>
      <c r="Y716">
        <v>0</v>
      </c>
      <c r="Z716">
        <f>'Résultat (Ln)'!F$30+'Résultat (Ln)'!F$31*Données!S716+'Résultat (Ln)'!F$32*Données!T716+'Résultat (Ln)'!F$33*Données!U716+'Résultat (Ln)'!F$34*Données!V716+'Résultat (Ln)'!F$35*Données!W716+'Résultat (Ln)'!F$36*Données!X716+'Résultat (Ln)'!F$37*Données!Y716</f>
        <v>133410.73721863245</v>
      </c>
      <c r="AA716">
        <f t="shared" si="47"/>
        <v>14589.26278136755</v>
      </c>
    </row>
    <row r="717" spans="1:27" x14ac:dyDescent="0.25">
      <c r="A717">
        <v>110000</v>
      </c>
      <c r="B717">
        <v>1</v>
      </c>
      <c r="C717">
        <v>24</v>
      </c>
      <c r="D717">
        <v>0</v>
      </c>
      <c r="E717">
        <v>150000</v>
      </c>
      <c r="F717">
        <v>2500</v>
      </c>
      <c r="G717">
        <v>1</v>
      </c>
      <c r="H717">
        <v>0</v>
      </c>
      <c r="I717">
        <v>1</v>
      </c>
      <c r="J717">
        <v>24</v>
      </c>
      <c r="K717">
        <v>1</v>
      </c>
      <c r="L717">
        <f>Résultats!G$32+Résultats!G$33*Données!C717+Résultats!G$34*Données!D717+Résultats!G$35*Données!E717+Résultats!G$36*Données!F717+Résultats!G$37*Données!G717+Résultats!G$38*Données!H717+Résultats!G$39*Données!I717</f>
        <v>115959.22914801087</v>
      </c>
      <c r="M717">
        <f t="shared" si="44"/>
        <v>-5959.2291480108688</v>
      </c>
      <c r="Q717">
        <v>131000</v>
      </c>
      <c r="R717">
        <v>1</v>
      </c>
      <c r="S717">
        <v>34</v>
      </c>
      <c r="T717">
        <v>0</v>
      </c>
      <c r="U717">
        <f t="shared" si="45"/>
        <v>11.782952602183288</v>
      </c>
      <c r="V717">
        <f t="shared" si="46"/>
        <v>8.2233588994792584</v>
      </c>
      <c r="W717">
        <v>1</v>
      </c>
      <c r="X717">
        <v>0</v>
      </c>
      <c r="Y717">
        <v>0</v>
      </c>
      <c r="Z717">
        <f>'Résultat (Ln)'!F$30+'Résultat (Ln)'!F$31*Données!S717+'Résultat (Ln)'!F$32*Données!T717+'Résultat (Ln)'!F$33*Données!U717+'Résultat (Ln)'!F$34*Données!V717+'Résultat (Ln)'!F$35*Données!W717+'Résultat (Ln)'!F$36*Données!X717+'Résultat (Ln)'!F$37*Données!Y717</f>
        <v>109944.29628072672</v>
      </c>
      <c r="AA717">
        <f t="shared" si="47"/>
        <v>21055.703719273282</v>
      </c>
    </row>
    <row r="718" spans="1:27" x14ac:dyDescent="0.25">
      <c r="A718">
        <v>105000</v>
      </c>
      <c r="B718">
        <v>1</v>
      </c>
      <c r="C718">
        <v>35</v>
      </c>
      <c r="D718">
        <v>0</v>
      </c>
      <c r="E718">
        <v>140000</v>
      </c>
      <c r="F718">
        <v>3343</v>
      </c>
      <c r="G718">
        <v>1</v>
      </c>
      <c r="H718">
        <v>0</v>
      </c>
      <c r="I718">
        <v>1</v>
      </c>
      <c r="J718">
        <v>23</v>
      </c>
      <c r="K718">
        <v>1</v>
      </c>
      <c r="L718">
        <f>Résultats!G$32+Résultats!G$33*Données!C718+Résultats!G$34*Données!D718+Résultats!G$35*Données!E718+Résultats!G$36*Données!F718+Résultats!G$37*Données!G718+Résultats!G$38*Données!H718+Résultats!G$39*Données!I718</f>
        <v>125558.62538091188</v>
      </c>
      <c r="M718">
        <f t="shared" si="44"/>
        <v>-20558.625380911879</v>
      </c>
      <c r="Q718">
        <v>110000</v>
      </c>
      <c r="R718">
        <v>1</v>
      </c>
      <c r="S718">
        <v>24</v>
      </c>
      <c r="T718">
        <v>0</v>
      </c>
      <c r="U718">
        <f t="shared" si="45"/>
        <v>11.918390573078392</v>
      </c>
      <c r="V718">
        <f t="shared" si="46"/>
        <v>7.8240460108562919</v>
      </c>
      <c r="W718">
        <v>1</v>
      </c>
      <c r="X718">
        <v>0</v>
      </c>
      <c r="Y718">
        <v>1</v>
      </c>
      <c r="Z718">
        <f>'Résultat (Ln)'!F$30+'Résultat (Ln)'!F$31*Données!S718+'Résultat (Ln)'!F$32*Données!T718+'Résultat (Ln)'!F$33*Données!U718+'Résultat (Ln)'!F$34*Données!V718+'Résultat (Ln)'!F$35*Données!W718+'Résultat (Ln)'!F$36*Données!X718+'Résultat (Ln)'!F$37*Données!Y718</f>
        <v>115130.12093708456</v>
      </c>
      <c r="AA718">
        <f t="shared" si="47"/>
        <v>-5130.1209370845609</v>
      </c>
    </row>
    <row r="719" spans="1:27" x14ac:dyDescent="0.25">
      <c r="A719">
        <v>113000</v>
      </c>
      <c r="B719">
        <v>1</v>
      </c>
      <c r="C719">
        <v>32</v>
      </c>
      <c r="D719">
        <v>0</v>
      </c>
      <c r="E719">
        <v>165000</v>
      </c>
      <c r="F719">
        <v>3683</v>
      </c>
      <c r="G719">
        <v>0</v>
      </c>
      <c r="H719">
        <v>0</v>
      </c>
      <c r="I719">
        <v>1</v>
      </c>
      <c r="J719">
        <v>30.989999771118161</v>
      </c>
      <c r="K719">
        <v>0</v>
      </c>
      <c r="L719">
        <f>Résultats!G$32+Résultats!G$33*Données!C719+Résultats!G$34*Données!D719+Résultats!G$35*Données!E719+Résultats!G$36*Données!F719+Résultats!G$37*Données!G719+Résultats!G$38*Données!H719+Résultats!G$39*Données!I719</f>
        <v>127428.67518368251</v>
      </c>
      <c r="M719">
        <f t="shared" si="44"/>
        <v>-14428.675183682513</v>
      </c>
      <c r="Q719">
        <v>105000</v>
      </c>
      <c r="R719">
        <v>1</v>
      </c>
      <c r="S719">
        <v>35</v>
      </c>
      <c r="T719">
        <v>0</v>
      </c>
      <c r="U719">
        <f t="shared" si="45"/>
        <v>11.849397701591441</v>
      </c>
      <c r="V719">
        <f t="shared" si="46"/>
        <v>8.1146238864200981</v>
      </c>
      <c r="W719">
        <v>1</v>
      </c>
      <c r="X719">
        <v>0</v>
      </c>
      <c r="Y719">
        <v>1</v>
      </c>
      <c r="Z719">
        <f>'Résultat (Ln)'!F$30+'Résultat (Ln)'!F$31*Données!S719+'Résultat (Ln)'!F$32*Données!T719+'Résultat (Ln)'!F$33*Données!U719+'Résultat (Ln)'!F$34*Données!V719+'Résultat (Ln)'!F$35*Données!W719+'Résultat (Ln)'!F$36*Données!X719+'Résultat (Ln)'!F$37*Données!Y719</f>
        <v>129326.32857999876</v>
      </c>
      <c r="AA719">
        <f t="shared" si="47"/>
        <v>-24326.328579998764</v>
      </c>
    </row>
    <row r="720" spans="1:27" x14ac:dyDescent="0.25">
      <c r="A720">
        <v>300000</v>
      </c>
      <c r="B720">
        <v>1</v>
      </c>
      <c r="C720">
        <v>15.5</v>
      </c>
      <c r="D720">
        <v>0</v>
      </c>
      <c r="E720">
        <v>375000</v>
      </c>
      <c r="F720">
        <v>23743</v>
      </c>
      <c r="G720">
        <v>1</v>
      </c>
      <c r="H720">
        <v>0</v>
      </c>
      <c r="I720">
        <v>1</v>
      </c>
      <c r="J720">
        <v>13.30000019073486</v>
      </c>
      <c r="K720">
        <v>1</v>
      </c>
      <c r="L720">
        <f>Résultats!G$32+Résultats!G$33*Données!C720+Résultats!G$34*Données!D720+Résultats!G$35*Données!E720+Résultats!G$36*Données!F720+Résultats!G$37*Données!G720+Résultats!G$38*Données!H720+Résultats!G$39*Données!I720</f>
        <v>252424.43338760053</v>
      </c>
      <c r="M720">
        <f t="shared" si="44"/>
        <v>47575.566612399474</v>
      </c>
      <c r="Q720">
        <v>113000</v>
      </c>
      <c r="R720">
        <v>1</v>
      </c>
      <c r="S720">
        <v>32</v>
      </c>
      <c r="T720">
        <v>0</v>
      </c>
      <c r="U720">
        <f t="shared" si="45"/>
        <v>12.013700752882718</v>
      </c>
      <c r="V720">
        <f t="shared" si="46"/>
        <v>8.2114829164450658</v>
      </c>
      <c r="W720">
        <v>0</v>
      </c>
      <c r="X720">
        <v>0</v>
      </c>
      <c r="Y720">
        <v>1</v>
      </c>
      <c r="Z720">
        <f>'Résultat (Ln)'!F$30+'Résultat (Ln)'!F$31*Données!S720+'Résultat (Ln)'!F$32*Données!T720+'Résultat (Ln)'!F$33*Données!U720+'Résultat (Ln)'!F$34*Données!V720+'Résultat (Ln)'!F$35*Données!W720+'Résultat (Ln)'!F$36*Données!X720+'Résultat (Ln)'!F$37*Données!Y720</f>
        <v>141475.22174534795</v>
      </c>
      <c r="AA720">
        <f t="shared" si="47"/>
        <v>-28475.221745347953</v>
      </c>
    </row>
    <row r="721" spans="1:27" x14ac:dyDescent="0.25">
      <c r="A721">
        <v>400000</v>
      </c>
      <c r="B721">
        <v>1</v>
      </c>
      <c r="C721">
        <v>27</v>
      </c>
      <c r="D721">
        <v>0</v>
      </c>
      <c r="E721">
        <v>474000</v>
      </c>
      <c r="F721">
        <v>13371</v>
      </c>
      <c r="G721">
        <v>1</v>
      </c>
      <c r="H721">
        <v>0</v>
      </c>
      <c r="I721">
        <v>1</v>
      </c>
      <c r="J721">
        <v>20</v>
      </c>
      <c r="K721">
        <v>1</v>
      </c>
      <c r="L721">
        <f>Résultats!G$32+Résultats!G$33*Données!C721+Résultats!G$34*Données!D721+Résultats!G$35*Données!E721+Résultats!G$36*Données!F721+Résultats!G$37*Données!G721+Résultats!G$38*Données!H721+Résultats!G$39*Données!I721</f>
        <v>291763.78578842443</v>
      </c>
      <c r="M721">
        <f t="shared" si="44"/>
        <v>108236.21421157557</v>
      </c>
      <c r="Q721">
        <v>300000</v>
      </c>
      <c r="R721">
        <v>1</v>
      </c>
      <c r="S721">
        <v>15.5</v>
      </c>
      <c r="T721">
        <v>0</v>
      </c>
      <c r="U721">
        <f t="shared" si="45"/>
        <v>12.834681304952548</v>
      </c>
      <c r="V721">
        <f t="shared" si="46"/>
        <v>10.075043029177243</v>
      </c>
      <c r="W721">
        <v>1</v>
      </c>
      <c r="X721">
        <v>0</v>
      </c>
      <c r="Y721">
        <v>1</v>
      </c>
      <c r="Z721">
        <f>'Résultat (Ln)'!F$30+'Résultat (Ln)'!F$31*Données!S721+'Résultat (Ln)'!F$32*Données!T721+'Résultat (Ln)'!F$33*Données!U721+'Résultat (Ln)'!F$34*Données!V721+'Résultat (Ln)'!F$35*Données!W721+'Résultat (Ln)'!F$36*Données!X721+'Résultat (Ln)'!F$37*Données!Y721</f>
        <v>266096.07283123303</v>
      </c>
      <c r="AA721">
        <f t="shared" si="47"/>
        <v>33903.927168766968</v>
      </c>
    </row>
    <row r="722" spans="1:27" x14ac:dyDescent="0.25">
      <c r="A722">
        <v>72000</v>
      </c>
      <c r="B722">
        <v>1</v>
      </c>
      <c r="C722">
        <v>8</v>
      </c>
      <c r="D722">
        <v>1</v>
      </c>
      <c r="E722">
        <v>92000</v>
      </c>
      <c r="F722">
        <v>5000</v>
      </c>
      <c r="G722">
        <v>1</v>
      </c>
      <c r="H722">
        <v>0</v>
      </c>
      <c r="I722">
        <v>1</v>
      </c>
      <c r="J722">
        <v>8</v>
      </c>
      <c r="K722">
        <v>1</v>
      </c>
      <c r="L722">
        <f>Résultats!G$32+Résultats!G$33*Données!C722+Résultats!G$34*Données!D722+Résultats!G$35*Données!E722+Résultats!G$36*Données!F722+Résultats!G$37*Données!G722+Résultats!G$38*Données!H722+Résultats!G$39*Données!I722</f>
        <v>80189.930628795264</v>
      </c>
      <c r="M722">
        <f t="shared" si="44"/>
        <v>-8189.9306287952641</v>
      </c>
      <c r="Q722">
        <v>400000</v>
      </c>
      <c r="R722">
        <v>1</v>
      </c>
      <c r="S722">
        <v>27</v>
      </c>
      <c r="T722">
        <v>0</v>
      </c>
      <c r="U722">
        <f t="shared" si="45"/>
        <v>13.068962600677214</v>
      </c>
      <c r="V722">
        <f t="shared" si="46"/>
        <v>9.5008434616146662</v>
      </c>
      <c r="W722">
        <v>1</v>
      </c>
      <c r="X722">
        <v>0</v>
      </c>
      <c r="Y722">
        <v>1</v>
      </c>
      <c r="Z722">
        <f>'Résultat (Ln)'!F$30+'Résultat (Ln)'!F$31*Données!S722+'Résultat (Ln)'!F$32*Données!T722+'Résultat (Ln)'!F$33*Données!U722+'Résultat (Ln)'!F$34*Données!V722+'Résultat (Ln)'!F$35*Données!W722+'Résultat (Ln)'!F$36*Données!X722+'Résultat (Ln)'!F$37*Données!Y722</f>
        <v>289159.57802462584</v>
      </c>
      <c r="AA722">
        <f t="shared" si="47"/>
        <v>110840.42197537416</v>
      </c>
    </row>
    <row r="723" spans="1:27" x14ac:dyDescent="0.25">
      <c r="A723">
        <v>268000</v>
      </c>
      <c r="B723">
        <v>1</v>
      </c>
      <c r="C723">
        <v>32</v>
      </c>
      <c r="D723">
        <v>0</v>
      </c>
      <c r="E723">
        <v>335000</v>
      </c>
      <c r="F723">
        <v>9334</v>
      </c>
      <c r="G723">
        <v>1</v>
      </c>
      <c r="H723">
        <v>0</v>
      </c>
      <c r="I723">
        <v>1</v>
      </c>
      <c r="J723">
        <v>31</v>
      </c>
      <c r="K723">
        <v>1</v>
      </c>
      <c r="L723">
        <f>Résultats!G$32+Résultats!G$33*Données!C723+Résultats!G$34*Données!D723+Résultats!G$35*Données!E723+Résultats!G$36*Données!F723+Résultats!G$37*Données!G723+Résultats!G$38*Données!H723+Résultats!G$39*Données!I723</f>
        <v>224777.7857429627</v>
      </c>
      <c r="M723">
        <f t="shared" si="44"/>
        <v>43222.214257037296</v>
      </c>
      <c r="Q723">
        <v>72000</v>
      </c>
      <c r="R723">
        <v>1</v>
      </c>
      <c r="S723">
        <v>8</v>
      </c>
      <c r="T723">
        <v>1</v>
      </c>
      <c r="U723">
        <f t="shared" si="45"/>
        <v>11.429543856031177</v>
      </c>
      <c r="V723">
        <f t="shared" si="46"/>
        <v>8.5171931914162382</v>
      </c>
      <c r="W723">
        <v>1</v>
      </c>
      <c r="X723">
        <v>0</v>
      </c>
      <c r="Y723">
        <v>1</v>
      </c>
      <c r="Z723">
        <f>'Résultat (Ln)'!F$30+'Résultat (Ln)'!F$31*Données!S723+'Résultat (Ln)'!F$32*Données!T723+'Résultat (Ln)'!F$33*Données!U723+'Résultat (Ln)'!F$34*Données!V723+'Résultat (Ln)'!F$35*Données!W723+'Résultat (Ln)'!F$36*Données!X723+'Résultat (Ln)'!F$37*Données!Y723</f>
        <v>66963.938974187826</v>
      </c>
      <c r="AA723">
        <f t="shared" si="47"/>
        <v>5036.0610258121742</v>
      </c>
    </row>
    <row r="724" spans="1:27" x14ac:dyDescent="0.25">
      <c r="A724">
        <v>127000</v>
      </c>
      <c r="B724">
        <v>1</v>
      </c>
      <c r="C724">
        <v>34.700000762939453</v>
      </c>
      <c r="D724">
        <v>0</v>
      </c>
      <c r="E724">
        <v>141000</v>
      </c>
      <c r="F724">
        <v>4283</v>
      </c>
      <c r="G724">
        <v>1</v>
      </c>
      <c r="H724">
        <v>0</v>
      </c>
      <c r="I724">
        <v>0</v>
      </c>
      <c r="J724">
        <v>20.5</v>
      </c>
      <c r="K724">
        <v>0</v>
      </c>
      <c r="L724">
        <f>Résultats!G$32+Résultats!G$33*Données!C724+Résultats!G$34*Données!D724+Résultats!G$35*Données!E724+Résultats!G$36*Données!F724+Résultats!G$37*Données!G724+Résultats!G$38*Données!H724+Résultats!G$39*Données!I724</f>
        <v>117577.04167905677</v>
      </c>
      <c r="M724">
        <f t="shared" si="44"/>
        <v>9422.9583209432312</v>
      </c>
      <c r="Q724">
        <v>268000</v>
      </c>
      <c r="R724">
        <v>1</v>
      </c>
      <c r="S724">
        <v>32</v>
      </c>
      <c r="T724">
        <v>0</v>
      </c>
      <c r="U724">
        <f t="shared" si="45"/>
        <v>12.721885810807203</v>
      </c>
      <c r="V724">
        <f t="shared" si="46"/>
        <v>9.1414189265097612</v>
      </c>
      <c r="W724">
        <v>1</v>
      </c>
      <c r="X724">
        <v>0</v>
      </c>
      <c r="Y724">
        <v>1</v>
      </c>
      <c r="Z724">
        <f>'Résultat (Ln)'!F$30+'Résultat (Ln)'!F$31*Données!S724+'Résultat (Ln)'!F$32*Données!T724+'Résultat (Ln)'!F$33*Données!U724+'Résultat (Ln)'!F$34*Données!V724+'Résultat (Ln)'!F$35*Données!W724+'Résultat (Ln)'!F$36*Données!X724+'Résultat (Ln)'!F$37*Données!Y724</f>
        <v>247984.34373323683</v>
      </c>
      <c r="AA724">
        <f t="shared" si="47"/>
        <v>20015.656266763166</v>
      </c>
    </row>
    <row r="725" spans="1:27" x14ac:dyDescent="0.25">
      <c r="A725">
        <v>90000</v>
      </c>
      <c r="B725">
        <v>1</v>
      </c>
      <c r="C725">
        <v>30</v>
      </c>
      <c r="D725">
        <v>0</v>
      </c>
      <c r="E725">
        <v>90000</v>
      </c>
      <c r="F725">
        <v>3620</v>
      </c>
      <c r="G725">
        <v>0</v>
      </c>
      <c r="H725">
        <v>0</v>
      </c>
      <c r="I725">
        <v>0</v>
      </c>
      <c r="J725">
        <v>21</v>
      </c>
      <c r="K725">
        <v>0</v>
      </c>
      <c r="L725">
        <f>Résultats!G$32+Résultats!G$33*Données!C725+Résultats!G$34*Données!D725+Résultats!G$35*Données!E725+Résultats!G$36*Données!F725+Résultats!G$37*Données!G725+Résultats!G$38*Données!H725+Résultats!G$39*Données!I725</f>
        <v>80062.301813989121</v>
      </c>
      <c r="M725">
        <f t="shared" si="44"/>
        <v>9937.698186010879</v>
      </c>
      <c r="Q725">
        <v>127000</v>
      </c>
      <c r="R725">
        <v>1</v>
      </c>
      <c r="S725">
        <v>34.700000762939453</v>
      </c>
      <c r="T725">
        <v>0</v>
      </c>
      <c r="U725">
        <f t="shared" si="45"/>
        <v>11.856515169360305</v>
      </c>
      <c r="V725">
        <f t="shared" si="46"/>
        <v>8.3624089776153703</v>
      </c>
      <c r="W725">
        <v>1</v>
      </c>
      <c r="X725">
        <v>0</v>
      </c>
      <c r="Y725">
        <v>0</v>
      </c>
      <c r="Z725">
        <f>'Résultat (Ln)'!F$30+'Résultat (Ln)'!F$31*Données!S725+'Résultat (Ln)'!F$32*Données!T725+'Résultat (Ln)'!F$33*Données!U725+'Résultat (Ln)'!F$34*Données!V725+'Résultat (Ln)'!F$35*Données!W725+'Résultat (Ln)'!F$36*Données!X725+'Résultat (Ln)'!F$37*Données!Y725</f>
        <v>122585.07663694794</v>
      </c>
      <c r="AA725">
        <f t="shared" si="47"/>
        <v>4414.9233630520612</v>
      </c>
    </row>
    <row r="726" spans="1:27" x14ac:dyDescent="0.25">
      <c r="A726">
        <v>60000</v>
      </c>
      <c r="B726">
        <v>1</v>
      </c>
      <c r="C726">
        <v>30</v>
      </c>
      <c r="D726">
        <v>1</v>
      </c>
      <c r="E726">
        <v>120000</v>
      </c>
      <c r="F726">
        <v>2221</v>
      </c>
      <c r="G726">
        <v>1</v>
      </c>
      <c r="H726">
        <v>0</v>
      </c>
      <c r="I726">
        <v>0</v>
      </c>
      <c r="J726">
        <v>30</v>
      </c>
      <c r="K726">
        <v>1</v>
      </c>
      <c r="L726">
        <f>Résultats!G$32+Résultats!G$33*Données!C726+Résultats!G$34*Données!D726+Résultats!G$35*Données!E726+Résultats!G$36*Données!F726+Résultats!G$37*Données!G726+Résultats!G$38*Données!H726+Résultats!G$39*Données!I726</f>
        <v>103224.80254581451</v>
      </c>
      <c r="M726">
        <f t="shared" si="44"/>
        <v>-43224.802545814513</v>
      </c>
      <c r="Q726">
        <v>90000</v>
      </c>
      <c r="R726">
        <v>1</v>
      </c>
      <c r="S726">
        <v>30</v>
      </c>
      <c r="T726">
        <v>0</v>
      </c>
      <c r="U726">
        <f t="shared" si="45"/>
        <v>11.407564949312402</v>
      </c>
      <c r="V726">
        <f t="shared" si="46"/>
        <v>8.1942293048198174</v>
      </c>
      <c r="W726">
        <v>0</v>
      </c>
      <c r="X726">
        <v>0</v>
      </c>
      <c r="Y726">
        <v>0</v>
      </c>
      <c r="Z726">
        <f>'Résultat (Ln)'!F$30+'Résultat (Ln)'!F$31*Données!S726+'Résultat (Ln)'!F$32*Données!T726+'Résultat (Ln)'!F$33*Données!U726+'Résultat (Ln)'!F$34*Données!V726+'Résultat (Ln)'!F$35*Données!W726+'Résultat (Ln)'!F$36*Données!X726+'Résultat (Ln)'!F$37*Données!Y726</f>
        <v>59485.246895940567</v>
      </c>
      <c r="AA726">
        <f t="shared" si="47"/>
        <v>30514.753104059433</v>
      </c>
    </row>
    <row r="727" spans="1:27" x14ac:dyDescent="0.25">
      <c r="A727">
        <v>83000</v>
      </c>
      <c r="B727">
        <v>1</v>
      </c>
      <c r="C727">
        <v>27</v>
      </c>
      <c r="D727">
        <v>1</v>
      </c>
      <c r="E727">
        <v>110000</v>
      </c>
      <c r="F727">
        <v>4000</v>
      </c>
      <c r="G727">
        <v>0</v>
      </c>
      <c r="H727">
        <v>1</v>
      </c>
      <c r="I727">
        <v>0</v>
      </c>
      <c r="J727">
        <v>23</v>
      </c>
      <c r="K727">
        <v>1</v>
      </c>
      <c r="L727">
        <f>Résultats!G$32+Résultats!G$33*Données!C727+Résultats!G$34*Données!D727+Résultats!G$35*Données!E727+Résultats!G$36*Données!F727+Résultats!G$37*Données!G727+Résultats!G$38*Données!H727+Résultats!G$39*Données!I727</f>
        <v>89914.687485188711</v>
      </c>
      <c r="M727">
        <f t="shared" si="44"/>
        <v>-6914.6874851887114</v>
      </c>
      <c r="Q727">
        <v>60000</v>
      </c>
      <c r="R727">
        <v>1</v>
      </c>
      <c r="S727">
        <v>30</v>
      </c>
      <c r="T727">
        <v>1</v>
      </c>
      <c r="U727">
        <f t="shared" si="45"/>
        <v>11.695247021764184</v>
      </c>
      <c r="V727">
        <f t="shared" si="46"/>
        <v>7.7057128238944275</v>
      </c>
      <c r="W727">
        <v>1</v>
      </c>
      <c r="X727">
        <v>0</v>
      </c>
      <c r="Y727">
        <v>0</v>
      </c>
      <c r="Z727">
        <f>'Résultat (Ln)'!F$30+'Résultat (Ln)'!F$31*Données!S727+'Résultat (Ln)'!F$32*Données!T727+'Résultat (Ln)'!F$33*Données!U727+'Résultat (Ln)'!F$34*Données!V727+'Résultat (Ln)'!F$35*Données!W727+'Résultat (Ln)'!F$36*Données!X727+'Résultat (Ln)'!F$37*Données!Y727</f>
        <v>85485.500408734122</v>
      </c>
      <c r="AA727">
        <f t="shared" si="47"/>
        <v>-25485.500408734122</v>
      </c>
    </row>
    <row r="728" spans="1:27" x14ac:dyDescent="0.25">
      <c r="A728">
        <v>150000</v>
      </c>
      <c r="B728">
        <v>1</v>
      </c>
      <c r="C728">
        <v>33</v>
      </c>
      <c r="D728">
        <v>0</v>
      </c>
      <c r="E728">
        <v>187000</v>
      </c>
      <c r="F728">
        <v>6000</v>
      </c>
      <c r="G728">
        <v>1</v>
      </c>
      <c r="H728">
        <v>0</v>
      </c>
      <c r="I728">
        <v>0</v>
      </c>
      <c r="J728">
        <v>21</v>
      </c>
      <c r="K728">
        <v>1</v>
      </c>
      <c r="L728">
        <f>Résultats!G$32+Résultats!G$33*Données!C728+Résultats!G$34*Données!D728+Résultats!G$35*Données!E728+Résultats!G$36*Données!F728+Résultats!G$37*Données!G728+Résultats!G$38*Données!H728+Résultats!G$39*Données!I728</f>
        <v>140431.33242413396</v>
      </c>
      <c r="M728">
        <f t="shared" si="44"/>
        <v>9568.6675758660422</v>
      </c>
      <c r="Q728">
        <v>83000</v>
      </c>
      <c r="R728">
        <v>1</v>
      </c>
      <c r="S728">
        <v>27</v>
      </c>
      <c r="T728">
        <v>1</v>
      </c>
      <c r="U728">
        <f t="shared" si="45"/>
        <v>11.608235644774552</v>
      </c>
      <c r="V728">
        <f t="shared" si="46"/>
        <v>8.2940496401020276</v>
      </c>
      <c r="W728">
        <v>0</v>
      </c>
      <c r="X728">
        <v>1</v>
      </c>
      <c r="Y728">
        <v>0</v>
      </c>
      <c r="Z728">
        <f>'Résultat (Ln)'!F$30+'Résultat (Ln)'!F$31*Données!S728+'Résultat (Ln)'!F$32*Données!T728+'Résultat (Ln)'!F$33*Données!U728+'Résultat (Ln)'!F$34*Données!V728+'Résultat (Ln)'!F$35*Données!W728+'Résultat (Ln)'!F$36*Données!X728+'Résultat (Ln)'!F$37*Données!Y728</f>
        <v>84300.946218045268</v>
      </c>
      <c r="AA728">
        <f t="shared" si="47"/>
        <v>-1300.9462180452683</v>
      </c>
    </row>
    <row r="729" spans="1:27" x14ac:dyDescent="0.25">
      <c r="A729">
        <v>125000</v>
      </c>
      <c r="B729">
        <v>1</v>
      </c>
      <c r="C729">
        <v>35.5</v>
      </c>
      <c r="D729">
        <v>0</v>
      </c>
      <c r="E729">
        <v>225000</v>
      </c>
      <c r="F729">
        <v>4258</v>
      </c>
      <c r="G729">
        <v>1</v>
      </c>
      <c r="H729">
        <v>0</v>
      </c>
      <c r="I729">
        <v>0</v>
      </c>
      <c r="J729">
        <v>33.099998474121087</v>
      </c>
      <c r="K729">
        <v>1</v>
      </c>
      <c r="L729">
        <f>Résultats!G$32+Résultats!G$33*Données!C729+Résultats!G$34*Données!D729+Résultats!G$35*Données!E729+Résultats!G$36*Données!F729+Résultats!G$37*Données!G729+Résultats!G$38*Données!H729+Résultats!G$39*Données!I729</f>
        <v>157671.60699034121</v>
      </c>
      <c r="M729">
        <f t="shared" si="44"/>
        <v>-32671.606990341214</v>
      </c>
      <c r="Q729">
        <v>150000</v>
      </c>
      <c r="R729">
        <v>1</v>
      </c>
      <c r="S729">
        <v>33</v>
      </c>
      <c r="T729">
        <v>0</v>
      </c>
      <c r="U729">
        <f t="shared" si="45"/>
        <v>12.138863895836725</v>
      </c>
      <c r="V729">
        <f t="shared" si="46"/>
        <v>8.6995147482101913</v>
      </c>
      <c r="W729">
        <v>1</v>
      </c>
      <c r="X729">
        <v>0</v>
      </c>
      <c r="Y729">
        <v>0</v>
      </c>
      <c r="Z729">
        <f>'Résultat (Ln)'!F$30+'Résultat (Ln)'!F$31*Données!S729+'Résultat (Ln)'!F$32*Données!T729+'Résultat (Ln)'!F$33*Données!U729+'Résultat (Ln)'!F$34*Données!V729+'Résultat (Ln)'!F$35*Données!W729+'Résultat (Ln)'!F$36*Données!X729+'Résultat (Ln)'!F$37*Données!Y729</f>
        <v>160228.53633176876</v>
      </c>
      <c r="AA729">
        <f t="shared" si="47"/>
        <v>-10228.536331768759</v>
      </c>
    </row>
    <row r="730" spans="1:27" x14ac:dyDescent="0.25">
      <c r="A730">
        <v>600000</v>
      </c>
      <c r="B730">
        <v>1</v>
      </c>
      <c r="C730">
        <v>36</v>
      </c>
      <c r="D730">
        <v>0</v>
      </c>
      <c r="E730">
        <v>1010000</v>
      </c>
      <c r="F730">
        <v>8090</v>
      </c>
      <c r="G730">
        <v>1</v>
      </c>
      <c r="H730">
        <v>0</v>
      </c>
      <c r="I730">
        <v>1</v>
      </c>
      <c r="J730">
        <v>22</v>
      </c>
      <c r="K730">
        <v>1</v>
      </c>
      <c r="L730">
        <f>Résultats!G$32+Résultats!G$33*Données!C730+Résultats!G$34*Données!D730+Résultats!G$35*Données!E730+Résultats!G$36*Données!F730+Résultats!G$37*Données!G730+Résultats!G$38*Données!H730+Résultats!G$39*Données!I730</f>
        <v>542155.31613045186</v>
      </c>
      <c r="M730">
        <f t="shared" si="44"/>
        <v>57844.683869548142</v>
      </c>
      <c r="Q730">
        <v>125000</v>
      </c>
      <c r="R730">
        <v>1</v>
      </c>
      <c r="S730">
        <v>35.5</v>
      </c>
      <c r="T730">
        <v>0</v>
      </c>
      <c r="U730">
        <f t="shared" si="45"/>
        <v>12.323855681186558</v>
      </c>
      <c r="V730">
        <f t="shared" si="46"/>
        <v>8.3565548454534255</v>
      </c>
      <c r="W730">
        <v>1</v>
      </c>
      <c r="X730">
        <v>0</v>
      </c>
      <c r="Y730">
        <v>0</v>
      </c>
      <c r="Z730">
        <f>'Résultat (Ln)'!F$30+'Résultat (Ln)'!F$31*Données!S730+'Résultat (Ln)'!F$32*Données!T730+'Résultat (Ln)'!F$33*Données!U730+'Résultat (Ln)'!F$34*Données!V730+'Résultat (Ln)'!F$35*Données!W730+'Résultat (Ln)'!F$36*Données!X730+'Résultat (Ln)'!F$37*Données!Y730</f>
        <v>173495.35556350523</v>
      </c>
      <c r="AA730">
        <f t="shared" si="47"/>
        <v>-48495.355563505233</v>
      </c>
    </row>
    <row r="731" spans="1:27" x14ac:dyDescent="0.25">
      <c r="A731">
        <v>104000</v>
      </c>
      <c r="B731">
        <v>1</v>
      </c>
      <c r="C731">
        <v>32</v>
      </c>
      <c r="D731">
        <v>0</v>
      </c>
      <c r="E731">
        <v>134000</v>
      </c>
      <c r="F731">
        <v>1561</v>
      </c>
      <c r="G731">
        <v>0</v>
      </c>
      <c r="H731">
        <v>6</v>
      </c>
      <c r="I731">
        <v>0</v>
      </c>
      <c r="J731">
        <v>19</v>
      </c>
      <c r="K731">
        <v>0</v>
      </c>
      <c r="L731">
        <f>Résultats!G$32+Résultats!G$33*Données!C731+Résultats!G$34*Données!D731+Résultats!G$35*Données!E731+Résultats!G$36*Données!F731+Résultats!G$37*Données!G731+Résultats!G$38*Données!H731+Résultats!G$39*Données!I731</f>
        <v>89164.023332664408</v>
      </c>
      <c r="M731">
        <f t="shared" si="44"/>
        <v>14835.976667335592</v>
      </c>
      <c r="Q731">
        <v>600000</v>
      </c>
      <c r="R731">
        <v>1</v>
      </c>
      <c r="S731">
        <v>36</v>
      </c>
      <c r="T731">
        <v>0</v>
      </c>
      <c r="U731">
        <f t="shared" si="45"/>
        <v>13.825460888817442</v>
      </c>
      <c r="V731">
        <f t="shared" si="46"/>
        <v>8.9983840100525381</v>
      </c>
      <c r="W731">
        <v>1</v>
      </c>
      <c r="X731">
        <v>0</v>
      </c>
      <c r="Y731">
        <v>1</v>
      </c>
      <c r="Z731">
        <f>'Résultat (Ln)'!F$30+'Résultat (Ln)'!F$31*Données!S731+'Résultat (Ln)'!F$32*Données!T731+'Résultat (Ln)'!F$33*Données!U731+'Résultat (Ln)'!F$34*Données!V731+'Résultat (Ln)'!F$35*Données!W731+'Résultat (Ln)'!F$36*Données!X731+'Résultat (Ln)'!F$37*Données!Y731</f>
        <v>367159.33550861682</v>
      </c>
      <c r="AA731">
        <f t="shared" si="47"/>
        <v>232840.66449138318</v>
      </c>
    </row>
    <row r="732" spans="1:27" x14ac:dyDescent="0.25">
      <c r="A732">
        <v>147000</v>
      </c>
      <c r="B732">
        <v>1</v>
      </c>
      <c r="C732">
        <v>33.599998474121087</v>
      </c>
      <c r="D732">
        <v>0</v>
      </c>
      <c r="E732">
        <v>184000</v>
      </c>
      <c r="F732">
        <v>4500</v>
      </c>
      <c r="G732">
        <v>1</v>
      </c>
      <c r="H732">
        <v>0</v>
      </c>
      <c r="I732">
        <v>0</v>
      </c>
      <c r="J732">
        <v>32.459999084472663</v>
      </c>
      <c r="K732">
        <v>1</v>
      </c>
      <c r="L732">
        <f>Résultats!G$32+Résultats!G$33*Données!C732+Résultats!G$34*Données!D732+Résultats!G$35*Données!E732+Résultats!G$36*Données!F732+Résultats!G$37*Données!G732+Résultats!G$38*Données!H732+Résultats!G$39*Données!I732</f>
        <v>136812.99204422109</v>
      </c>
      <c r="M732">
        <f t="shared" si="44"/>
        <v>10187.007955778914</v>
      </c>
      <c r="Q732">
        <v>104000</v>
      </c>
      <c r="R732">
        <v>1</v>
      </c>
      <c r="S732">
        <v>32</v>
      </c>
      <c r="T732">
        <v>0</v>
      </c>
      <c r="U732">
        <f t="shared" si="45"/>
        <v>11.805595078933049</v>
      </c>
      <c r="V732">
        <f t="shared" si="46"/>
        <v>7.3530819205154323</v>
      </c>
      <c r="W732">
        <v>0</v>
      </c>
      <c r="X732">
        <v>6</v>
      </c>
      <c r="Y732">
        <v>0</v>
      </c>
      <c r="Z732">
        <f>'Résultat (Ln)'!F$30+'Résultat (Ln)'!F$31*Données!S732+'Résultat (Ln)'!F$32*Données!T732+'Résultat (Ln)'!F$33*Données!U732+'Résultat (Ln)'!F$34*Données!V732+'Résultat (Ln)'!F$35*Données!W732+'Résultat (Ln)'!F$36*Données!X732+'Résultat (Ln)'!F$37*Données!Y732</f>
        <v>79940.514259797681</v>
      </c>
      <c r="AA732">
        <f t="shared" si="47"/>
        <v>24059.485740202319</v>
      </c>
    </row>
    <row r="733" spans="1:27" x14ac:dyDescent="0.25">
      <c r="A733">
        <v>116000</v>
      </c>
      <c r="B733">
        <v>1</v>
      </c>
      <c r="C733">
        <v>35</v>
      </c>
      <c r="D733">
        <v>0</v>
      </c>
      <c r="E733">
        <v>145000</v>
      </c>
      <c r="F733">
        <v>4009</v>
      </c>
      <c r="G733">
        <v>1</v>
      </c>
      <c r="H733">
        <v>0</v>
      </c>
      <c r="I733">
        <v>1</v>
      </c>
      <c r="J733">
        <v>20</v>
      </c>
      <c r="K733">
        <v>1</v>
      </c>
      <c r="L733">
        <f>Résultats!G$32+Résultats!G$33*Données!C733+Résultats!G$34*Données!D733+Résultats!G$35*Données!E733+Résultats!G$36*Données!F733+Résultats!G$37*Données!G733+Résultats!G$38*Données!H733+Résultats!G$39*Données!I733</f>
        <v>129183.95810986834</v>
      </c>
      <c r="M733">
        <f t="shared" si="44"/>
        <v>-13183.958109868341</v>
      </c>
      <c r="Q733">
        <v>147000</v>
      </c>
      <c r="R733">
        <v>1</v>
      </c>
      <c r="S733">
        <v>33.599998474121087</v>
      </c>
      <c r="T733">
        <v>0</v>
      </c>
      <c r="U733">
        <f t="shared" si="45"/>
        <v>12.122691036591123</v>
      </c>
      <c r="V733">
        <f t="shared" si="46"/>
        <v>8.4118326757584114</v>
      </c>
      <c r="W733">
        <v>1</v>
      </c>
      <c r="X733">
        <v>0</v>
      </c>
      <c r="Y733">
        <v>0</v>
      </c>
      <c r="Z733">
        <f>'Résultat (Ln)'!F$30+'Résultat (Ln)'!F$31*Données!S733+'Résultat (Ln)'!F$32*Données!T733+'Résultat (Ln)'!F$33*Données!U733+'Résultat (Ln)'!F$34*Données!V733+'Résultat (Ln)'!F$35*Données!W733+'Résultat (Ln)'!F$36*Données!X733+'Résultat (Ln)'!F$37*Données!Y733</f>
        <v>151159.82842180532</v>
      </c>
      <c r="AA733">
        <f t="shared" si="47"/>
        <v>-4159.8284218053159</v>
      </c>
    </row>
    <row r="734" spans="1:27" x14ac:dyDescent="0.25">
      <c r="A734">
        <v>144000</v>
      </c>
      <c r="B734">
        <v>1</v>
      </c>
      <c r="C734">
        <v>36</v>
      </c>
      <c r="D734">
        <v>0</v>
      </c>
      <c r="E734">
        <v>152000</v>
      </c>
      <c r="F734">
        <v>2971</v>
      </c>
      <c r="G734">
        <v>0</v>
      </c>
      <c r="H734">
        <v>0</v>
      </c>
      <c r="I734">
        <v>1</v>
      </c>
      <c r="J734">
        <v>25</v>
      </c>
      <c r="K734">
        <v>1</v>
      </c>
      <c r="L734">
        <f>Résultats!G$32+Résultats!G$33*Données!C734+Résultats!G$34*Données!D734+Résultats!G$35*Données!E734+Résultats!G$36*Données!F734+Résultats!G$37*Données!G734+Résultats!G$38*Données!H734+Résultats!G$39*Données!I734</f>
        <v>124573.25960299124</v>
      </c>
      <c r="M734">
        <f t="shared" si="44"/>
        <v>19426.740397008762</v>
      </c>
      <c r="Q734">
        <v>116000</v>
      </c>
      <c r="R734">
        <v>1</v>
      </c>
      <c r="S734">
        <v>35</v>
      </c>
      <c r="T734">
        <v>0</v>
      </c>
      <c r="U734">
        <f t="shared" si="45"/>
        <v>11.884489021402711</v>
      </c>
      <c r="V734">
        <f t="shared" si="46"/>
        <v>8.2962971126425078</v>
      </c>
      <c r="W734">
        <v>1</v>
      </c>
      <c r="X734">
        <v>0</v>
      </c>
      <c r="Y734">
        <v>1</v>
      </c>
      <c r="Z734">
        <f>'Résultat (Ln)'!F$30+'Résultat (Ln)'!F$31*Données!S734+'Résultat (Ln)'!F$32*Données!T734+'Résultat (Ln)'!F$33*Données!U734+'Résultat (Ln)'!F$34*Données!V734+'Résultat (Ln)'!F$35*Données!W734+'Résultat (Ln)'!F$36*Données!X734+'Résultat (Ln)'!F$37*Données!Y734</f>
        <v>138183.13215742947</v>
      </c>
      <c r="AA734">
        <f t="shared" si="47"/>
        <v>-22183.132157429471</v>
      </c>
    </row>
    <row r="735" spans="1:27" x14ac:dyDescent="0.25">
      <c r="A735">
        <v>116000</v>
      </c>
      <c r="B735">
        <v>1</v>
      </c>
      <c r="C735">
        <v>14.60000038146973</v>
      </c>
      <c r="D735">
        <v>0</v>
      </c>
      <c r="E735">
        <v>151000</v>
      </c>
      <c r="F735">
        <v>3055</v>
      </c>
      <c r="G735">
        <v>1</v>
      </c>
      <c r="H735">
        <v>0</v>
      </c>
      <c r="I735">
        <v>0</v>
      </c>
      <c r="J735">
        <v>13.10000038146973</v>
      </c>
      <c r="K735">
        <v>1</v>
      </c>
      <c r="L735">
        <f>Résultats!G$32+Résultats!G$33*Données!C735+Résultats!G$34*Données!D735+Résultats!G$35*Données!E735+Résultats!G$36*Données!F735+Résultats!G$37*Données!G735+Résultats!G$38*Données!H735+Résultats!G$39*Données!I735</f>
        <v>96778.696422185443</v>
      </c>
      <c r="M735">
        <f t="shared" si="44"/>
        <v>19221.303577814557</v>
      </c>
      <c r="Q735">
        <v>144000</v>
      </c>
      <c r="R735">
        <v>1</v>
      </c>
      <c r="S735">
        <v>36</v>
      </c>
      <c r="T735">
        <v>0</v>
      </c>
      <c r="U735">
        <f t="shared" si="45"/>
        <v>11.931635799828413</v>
      </c>
      <c r="V735">
        <f t="shared" si="46"/>
        <v>7.9966538754626075</v>
      </c>
      <c r="W735">
        <v>0</v>
      </c>
      <c r="X735">
        <v>0</v>
      </c>
      <c r="Y735">
        <v>1</v>
      </c>
      <c r="Z735">
        <f>'Résultat (Ln)'!F$30+'Résultat (Ln)'!F$31*Données!S735+'Résultat (Ln)'!F$32*Données!T735+'Résultat (Ln)'!F$33*Données!U735+'Résultat (Ln)'!F$34*Données!V735+'Résultat (Ln)'!F$35*Données!W735+'Résultat (Ln)'!F$36*Données!X735+'Résultat (Ln)'!F$37*Données!Y735</f>
        <v>131541.33571145727</v>
      </c>
      <c r="AA735">
        <f t="shared" si="47"/>
        <v>12458.664288542728</v>
      </c>
    </row>
    <row r="736" spans="1:27" x14ac:dyDescent="0.25">
      <c r="A736">
        <v>175000</v>
      </c>
      <c r="B736">
        <v>1</v>
      </c>
      <c r="C736">
        <v>24</v>
      </c>
      <c r="D736">
        <v>0</v>
      </c>
      <c r="E736">
        <v>331000</v>
      </c>
      <c r="F736">
        <v>8333</v>
      </c>
      <c r="G736">
        <v>1</v>
      </c>
      <c r="H736">
        <v>0</v>
      </c>
      <c r="I736">
        <v>0</v>
      </c>
      <c r="J736">
        <v>20</v>
      </c>
      <c r="K736">
        <v>1</v>
      </c>
      <c r="L736">
        <f>Résultats!G$32+Résultats!G$33*Données!C736+Résultats!G$34*Données!D736+Résultats!G$35*Données!E736+Résultats!G$36*Données!F736+Résultats!G$37*Données!G736+Résultats!G$38*Données!H736+Résultats!G$39*Données!I736</f>
        <v>201855.42762523997</v>
      </c>
      <c r="M736">
        <f t="shared" si="44"/>
        <v>-26855.427625239972</v>
      </c>
      <c r="Q736">
        <v>116000</v>
      </c>
      <c r="R736">
        <v>1</v>
      </c>
      <c r="S736">
        <v>14.60000038146973</v>
      </c>
      <c r="T736">
        <v>0</v>
      </c>
      <c r="U736">
        <f t="shared" si="45"/>
        <v>11.925035115797062</v>
      </c>
      <c r="V736">
        <f t="shared" si="46"/>
        <v>8.0245348716056952</v>
      </c>
      <c r="W736">
        <v>1</v>
      </c>
      <c r="X736">
        <v>0</v>
      </c>
      <c r="Y736">
        <v>0</v>
      </c>
      <c r="Z736">
        <f>'Résultat (Ln)'!F$30+'Résultat (Ln)'!F$31*Données!S736+'Résultat (Ln)'!F$32*Données!T736+'Résultat (Ln)'!F$33*Données!U736+'Résultat (Ln)'!F$34*Données!V736+'Résultat (Ln)'!F$35*Données!W736+'Résultat (Ln)'!F$36*Données!X736+'Résultat (Ln)'!F$37*Données!Y736</f>
        <v>95891.139953677673</v>
      </c>
      <c r="AA736">
        <f t="shared" si="47"/>
        <v>20108.860046322327</v>
      </c>
    </row>
    <row r="737" spans="1:27" x14ac:dyDescent="0.25">
      <c r="A737">
        <v>299000</v>
      </c>
      <c r="B737">
        <v>1</v>
      </c>
      <c r="C737">
        <v>38</v>
      </c>
      <c r="D737">
        <v>0</v>
      </c>
      <c r="E737">
        <v>320000</v>
      </c>
      <c r="F737">
        <v>7919</v>
      </c>
      <c r="G737">
        <v>1</v>
      </c>
      <c r="H737">
        <v>0</v>
      </c>
      <c r="I737">
        <v>1</v>
      </c>
      <c r="J737">
        <v>27</v>
      </c>
      <c r="K737">
        <v>1</v>
      </c>
      <c r="L737">
        <f>Résultats!G$32+Résultats!G$33*Données!C737+Résultats!G$34*Données!D737+Résultats!G$35*Données!E737+Résultats!G$36*Données!F737+Résultats!G$37*Données!G737+Résultats!G$38*Données!H737+Résultats!G$39*Données!I737</f>
        <v>221923.5398650353</v>
      </c>
      <c r="M737">
        <f t="shared" si="44"/>
        <v>77076.460134964698</v>
      </c>
      <c r="Q737">
        <v>175000</v>
      </c>
      <c r="R737">
        <v>1</v>
      </c>
      <c r="S737">
        <v>24</v>
      </c>
      <c r="T737">
        <v>0</v>
      </c>
      <c r="U737">
        <f t="shared" si="45"/>
        <v>12.7098736543592</v>
      </c>
      <c r="V737">
        <f t="shared" si="46"/>
        <v>9.0279788143822071</v>
      </c>
      <c r="W737">
        <v>1</v>
      </c>
      <c r="X737">
        <v>0</v>
      </c>
      <c r="Y737">
        <v>0</v>
      </c>
      <c r="Z737">
        <f>'Résultat (Ln)'!F$30+'Résultat (Ln)'!F$31*Données!S737+'Résultat (Ln)'!F$32*Données!T737+'Résultat (Ln)'!F$33*Données!U737+'Résultat (Ln)'!F$34*Données!V737+'Résultat (Ln)'!F$35*Données!W737+'Résultat (Ln)'!F$36*Données!X737+'Résultat (Ln)'!F$37*Données!Y737</f>
        <v>219651.91725368131</v>
      </c>
      <c r="AA737">
        <f t="shared" si="47"/>
        <v>-44651.917253681313</v>
      </c>
    </row>
    <row r="738" spans="1:27" x14ac:dyDescent="0.25">
      <c r="A738">
        <v>175000</v>
      </c>
      <c r="B738">
        <v>1</v>
      </c>
      <c r="C738">
        <v>19</v>
      </c>
      <c r="D738">
        <v>0</v>
      </c>
      <c r="E738">
        <v>358000</v>
      </c>
      <c r="F738">
        <v>15000</v>
      </c>
      <c r="G738">
        <v>1</v>
      </c>
      <c r="H738">
        <v>0</v>
      </c>
      <c r="I738">
        <v>0</v>
      </c>
      <c r="J738">
        <v>13</v>
      </c>
      <c r="K738">
        <v>1</v>
      </c>
      <c r="L738">
        <f>Résultats!G$32+Résultats!G$33*Données!C738+Résultats!G$34*Données!D738+Résultats!G$35*Données!E738+Résultats!G$36*Données!F738+Résultats!G$37*Données!G738+Résultats!G$38*Données!H738+Résultats!G$39*Données!I738</f>
        <v>221639.0423513061</v>
      </c>
      <c r="M738">
        <f t="shared" si="44"/>
        <v>-46639.042351306096</v>
      </c>
      <c r="Q738">
        <v>299000</v>
      </c>
      <c r="R738">
        <v>1</v>
      </c>
      <c r="S738">
        <v>38</v>
      </c>
      <c r="T738">
        <v>0</v>
      </c>
      <c r="U738">
        <f t="shared" si="45"/>
        <v>12.676076274775909</v>
      </c>
      <c r="V738">
        <f t="shared" si="46"/>
        <v>8.9770202142104125</v>
      </c>
      <c r="W738">
        <v>1</v>
      </c>
      <c r="X738">
        <v>0</v>
      </c>
      <c r="Y738">
        <v>1</v>
      </c>
      <c r="Z738">
        <f>'Résultat (Ln)'!F$30+'Résultat (Ln)'!F$31*Données!S738+'Résultat (Ln)'!F$32*Données!T738+'Résultat (Ln)'!F$33*Données!U738+'Résultat (Ln)'!F$34*Données!V738+'Résultat (Ln)'!F$35*Données!W738+'Résultat (Ln)'!F$36*Données!X738+'Résultat (Ln)'!F$37*Données!Y738</f>
        <v>245795.31815400039</v>
      </c>
      <c r="AA738">
        <f t="shared" si="47"/>
        <v>53204.681845999614</v>
      </c>
    </row>
    <row r="739" spans="1:27" x14ac:dyDescent="0.25">
      <c r="A739">
        <v>175000</v>
      </c>
      <c r="B739">
        <v>1</v>
      </c>
      <c r="C739">
        <v>29.5</v>
      </c>
      <c r="D739">
        <v>0</v>
      </c>
      <c r="E739">
        <v>195000</v>
      </c>
      <c r="F739">
        <v>7578</v>
      </c>
      <c r="G739">
        <v>1</v>
      </c>
      <c r="H739">
        <v>0</v>
      </c>
      <c r="I739">
        <v>1</v>
      </c>
      <c r="J739">
        <v>21.39999961853027</v>
      </c>
      <c r="K739">
        <v>1</v>
      </c>
      <c r="L739">
        <f>Résultats!G$32+Résultats!G$33*Données!C739+Résultats!G$34*Données!D739+Résultats!G$35*Données!E739+Résultats!G$36*Données!F739+Résultats!G$37*Données!G739+Résultats!G$38*Données!H739+Résultats!G$39*Données!I739</f>
        <v>153129.89756673435</v>
      </c>
      <c r="M739">
        <f t="shared" si="44"/>
        <v>21870.102433265653</v>
      </c>
      <c r="Q739">
        <v>175000</v>
      </c>
      <c r="R739">
        <v>1</v>
      </c>
      <c r="S739">
        <v>19</v>
      </c>
      <c r="T739">
        <v>0</v>
      </c>
      <c r="U739">
        <f t="shared" si="45"/>
        <v>12.788288265382837</v>
      </c>
      <c r="V739">
        <f t="shared" si="46"/>
        <v>9.6158054800843473</v>
      </c>
      <c r="W739">
        <v>1</v>
      </c>
      <c r="X739">
        <v>0</v>
      </c>
      <c r="Y739">
        <v>0</v>
      </c>
      <c r="Z739">
        <f>'Résultat (Ln)'!F$30+'Résultat (Ln)'!F$31*Données!S739+'Résultat (Ln)'!F$32*Données!T739+'Résultat (Ln)'!F$33*Données!U739+'Résultat (Ln)'!F$34*Données!V739+'Résultat (Ln)'!F$35*Données!W739+'Résultat (Ln)'!F$36*Données!X739+'Résultat (Ln)'!F$37*Données!Y739</f>
        <v>238433.47596518366</v>
      </c>
      <c r="AA739">
        <f t="shared" si="47"/>
        <v>-63433.475965183665</v>
      </c>
    </row>
    <row r="740" spans="1:27" x14ac:dyDescent="0.25">
      <c r="A740">
        <v>128000</v>
      </c>
      <c r="B740">
        <v>1</v>
      </c>
      <c r="C740">
        <v>35.200000762939453</v>
      </c>
      <c r="D740">
        <v>0</v>
      </c>
      <c r="E740">
        <v>160000</v>
      </c>
      <c r="F740">
        <v>6250</v>
      </c>
      <c r="G740">
        <v>1</v>
      </c>
      <c r="H740">
        <v>0</v>
      </c>
      <c r="I740">
        <v>0</v>
      </c>
      <c r="J740">
        <v>23.70000076293945</v>
      </c>
      <c r="K740">
        <v>1</v>
      </c>
      <c r="L740">
        <f>Résultats!G$32+Résultats!G$33*Données!C740+Résultats!G$34*Données!D740+Résultats!G$35*Données!E740+Résultats!G$36*Données!F740+Résultats!G$37*Données!G740+Résultats!G$38*Données!H740+Résultats!G$39*Données!I740</f>
        <v>130835.11672183714</v>
      </c>
      <c r="M740">
        <f t="shared" si="44"/>
        <v>-2835.1167218371411</v>
      </c>
      <c r="Q740">
        <v>175000</v>
      </c>
      <c r="R740">
        <v>1</v>
      </c>
      <c r="S740">
        <v>29.5</v>
      </c>
      <c r="T740">
        <v>0</v>
      </c>
      <c r="U740">
        <f t="shared" si="45"/>
        <v>12.180754837545884</v>
      </c>
      <c r="V740">
        <f t="shared" si="46"/>
        <v>8.9330045915785465</v>
      </c>
      <c r="W740">
        <v>1</v>
      </c>
      <c r="X740">
        <v>0</v>
      </c>
      <c r="Y740">
        <v>1</v>
      </c>
      <c r="Z740">
        <f>'Résultat (Ln)'!F$30+'Résultat (Ln)'!F$31*Données!S740+'Résultat (Ln)'!F$32*Données!T740+'Résultat (Ln)'!F$33*Données!U740+'Résultat (Ln)'!F$34*Données!V740+'Résultat (Ln)'!F$35*Données!W740+'Résultat (Ln)'!F$36*Données!X740+'Résultat (Ln)'!F$37*Données!Y740</f>
        <v>181077.25486924802</v>
      </c>
      <c r="AA740">
        <f t="shared" si="47"/>
        <v>-6077.2548692480195</v>
      </c>
    </row>
    <row r="741" spans="1:27" x14ac:dyDescent="0.25">
      <c r="A741">
        <v>170000</v>
      </c>
      <c r="B741">
        <v>1</v>
      </c>
      <c r="C741">
        <v>35</v>
      </c>
      <c r="D741">
        <v>0</v>
      </c>
      <c r="E741">
        <v>115000</v>
      </c>
      <c r="F741">
        <v>3250</v>
      </c>
      <c r="G741">
        <v>1</v>
      </c>
      <c r="H741">
        <v>0</v>
      </c>
      <c r="I741">
        <v>1</v>
      </c>
      <c r="J741">
        <v>34</v>
      </c>
      <c r="K741">
        <v>1</v>
      </c>
      <c r="L741">
        <f>Résultats!G$32+Résultats!G$33*Données!C741+Résultats!G$34*Données!D741+Résultats!G$35*Données!E741+Résultats!G$36*Données!F741+Résultats!G$37*Données!G741+Résultats!G$38*Données!H741+Résultats!G$39*Données!I741</f>
        <v>113704.57943908108</v>
      </c>
      <c r="M741">
        <f t="shared" si="44"/>
        <v>56295.420560918923</v>
      </c>
      <c r="Q741">
        <v>128000</v>
      </c>
      <c r="R741">
        <v>1</v>
      </c>
      <c r="S741">
        <v>35.200000762939453</v>
      </c>
      <c r="T741">
        <v>0</v>
      </c>
      <c r="U741">
        <f t="shared" si="45"/>
        <v>11.982929094215963</v>
      </c>
      <c r="V741">
        <f t="shared" si="46"/>
        <v>8.740336742730447</v>
      </c>
      <c r="W741">
        <v>1</v>
      </c>
      <c r="X741">
        <v>0</v>
      </c>
      <c r="Y741">
        <v>0</v>
      </c>
      <c r="Z741">
        <f>'Résultat (Ln)'!F$30+'Résultat (Ln)'!F$31*Données!S741+'Résultat (Ln)'!F$32*Données!T741+'Résultat (Ln)'!F$33*Données!U741+'Résultat (Ln)'!F$34*Données!V741+'Résultat (Ln)'!F$35*Données!W741+'Résultat (Ln)'!F$36*Données!X741+'Résultat (Ln)'!F$37*Données!Y741</f>
        <v>147346.39322096872</v>
      </c>
      <c r="AA741">
        <f t="shared" si="47"/>
        <v>-19346.393220968719</v>
      </c>
    </row>
    <row r="742" spans="1:27" x14ac:dyDescent="0.25">
      <c r="A742">
        <v>106000</v>
      </c>
      <c r="B742">
        <v>1</v>
      </c>
      <c r="C742">
        <v>25</v>
      </c>
      <c r="D742">
        <v>0</v>
      </c>
      <c r="E742">
        <v>126000</v>
      </c>
      <c r="F742">
        <v>2916</v>
      </c>
      <c r="G742">
        <v>0</v>
      </c>
      <c r="H742">
        <v>0</v>
      </c>
      <c r="I742">
        <v>0</v>
      </c>
      <c r="J742">
        <v>24</v>
      </c>
      <c r="K742">
        <v>1</v>
      </c>
      <c r="L742">
        <f>Résultats!G$32+Résultats!G$33*Données!C742+Résultats!G$34*Données!D742+Résultats!G$35*Données!E742+Résultats!G$36*Données!F742+Résultats!G$37*Données!G742+Résultats!G$38*Données!H742+Résultats!G$39*Données!I742</f>
        <v>89765.065285122662</v>
      </c>
      <c r="M742">
        <f t="shared" si="44"/>
        <v>16234.934714877338</v>
      </c>
      <c r="Q742">
        <v>170000</v>
      </c>
      <c r="R742">
        <v>1</v>
      </c>
      <c r="S742">
        <v>35</v>
      </c>
      <c r="T742">
        <v>0</v>
      </c>
      <c r="U742">
        <f t="shared" si="45"/>
        <v>11.652687407345388</v>
      </c>
      <c r="V742">
        <f t="shared" si="46"/>
        <v>8.0864102753237823</v>
      </c>
      <c r="W742">
        <v>1</v>
      </c>
      <c r="X742">
        <v>0</v>
      </c>
      <c r="Y742">
        <v>1</v>
      </c>
      <c r="Z742">
        <f>'Résultat (Ln)'!F$30+'Résultat (Ln)'!F$31*Données!S742+'Résultat (Ln)'!F$32*Données!T742+'Résultat (Ln)'!F$33*Données!U742+'Résultat (Ln)'!F$34*Données!V742+'Résultat (Ln)'!F$35*Données!W742+'Résultat (Ln)'!F$36*Données!X742+'Résultat (Ln)'!F$37*Données!Y742</f>
        <v>107448.58408059955</v>
      </c>
      <c r="AA742">
        <f t="shared" si="47"/>
        <v>62551.415919400446</v>
      </c>
    </row>
    <row r="743" spans="1:27" x14ac:dyDescent="0.25">
      <c r="A743">
        <v>113000</v>
      </c>
      <c r="B743">
        <v>1</v>
      </c>
      <c r="C743">
        <v>25</v>
      </c>
      <c r="D743">
        <v>0</v>
      </c>
      <c r="E743">
        <v>170000</v>
      </c>
      <c r="F743">
        <v>3083</v>
      </c>
      <c r="G743">
        <v>1</v>
      </c>
      <c r="H743">
        <v>1</v>
      </c>
      <c r="I743">
        <v>0</v>
      </c>
      <c r="J743">
        <v>24</v>
      </c>
      <c r="K743">
        <v>1</v>
      </c>
      <c r="L743">
        <f>Résultats!G$32+Résultats!G$33*Données!C743+Résultats!G$34*Données!D743+Résultats!G$35*Données!E743+Résultats!G$36*Données!F743+Résultats!G$37*Données!G743+Résultats!G$38*Données!H743+Résultats!G$39*Données!I743</f>
        <v>116025.96159867044</v>
      </c>
      <c r="M743">
        <f t="shared" si="44"/>
        <v>-3025.9615986704448</v>
      </c>
      <c r="Q743">
        <v>106000</v>
      </c>
      <c r="R743">
        <v>1</v>
      </c>
      <c r="S743">
        <v>25</v>
      </c>
      <c r="T743">
        <v>0</v>
      </c>
      <c r="U743">
        <f t="shared" si="45"/>
        <v>11.744037185933616</v>
      </c>
      <c r="V743">
        <f t="shared" si="46"/>
        <v>7.977968093128549</v>
      </c>
      <c r="W743">
        <v>0</v>
      </c>
      <c r="X743">
        <v>0</v>
      </c>
      <c r="Y743">
        <v>0</v>
      </c>
      <c r="Z743">
        <f>'Résultat (Ln)'!F$30+'Résultat (Ln)'!F$31*Données!S743+'Résultat (Ln)'!F$32*Données!T743+'Résultat (Ln)'!F$33*Données!U743+'Résultat (Ln)'!F$34*Données!V743+'Résultat (Ln)'!F$35*Données!W743+'Résultat (Ln)'!F$36*Données!X743+'Résultat (Ln)'!F$37*Données!Y743</f>
        <v>83378.156875419663</v>
      </c>
      <c r="AA743">
        <f t="shared" si="47"/>
        <v>22621.843124580337</v>
      </c>
    </row>
    <row r="744" spans="1:27" x14ac:dyDescent="0.25">
      <c r="A744">
        <v>138000</v>
      </c>
      <c r="B744">
        <v>1</v>
      </c>
      <c r="C744">
        <v>34</v>
      </c>
      <c r="D744">
        <v>0</v>
      </c>
      <c r="E744">
        <v>186000</v>
      </c>
      <c r="F744">
        <v>4735</v>
      </c>
      <c r="G744">
        <v>1</v>
      </c>
      <c r="H744">
        <v>0</v>
      </c>
      <c r="I744">
        <v>0</v>
      </c>
      <c r="J744">
        <v>30</v>
      </c>
      <c r="K744">
        <v>1</v>
      </c>
      <c r="L744">
        <f>Résultats!G$32+Résultats!G$33*Données!C744+Résultats!G$34*Données!D744+Résultats!G$35*Données!E744+Résultats!G$36*Données!F744+Résultats!G$37*Données!G744+Résultats!G$38*Données!H744+Résultats!G$39*Données!I744</f>
        <v>138661.74851689793</v>
      </c>
      <c r="M744">
        <f t="shared" si="44"/>
        <v>-661.74851689793286</v>
      </c>
      <c r="Q744">
        <v>113000</v>
      </c>
      <c r="R744">
        <v>1</v>
      </c>
      <c r="S744">
        <v>25</v>
      </c>
      <c r="T744">
        <v>0</v>
      </c>
      <c r="U744">
        <f t="shared" si="45"/>
        <v>12.043553716032399</v>
      </c>
      <c r="V744">
        <f t="shared" si="46"/>
        <v>8.0336584278861505</v>
      </c>
      <c r="W744">
        <v>1</v>
      </c>
      <c r="X744">
        <v>1</v>
      </c>
      <c r="Y744">
        <v>0</v>
      </c>
      <c r="Z744">
        <f>'Résultat (Ln)'!F$30+'Résultat (Ln)'!F$31*Données!S744+'Résultat (Ln)'!F$32*Données!T744+'Résultat (Ln)'!F$33*Données!U744+'Résultat (Ln)'!F$34*Données!V744+'Résultat (Ln)'!F$35*Données!W744+'Résultat (Ln)'!F$36*Données!X744+'Résultat (Ln)'!F$37*Données!Y744</f>
        <v>121383.37234719234</v>
      </c>
      <c r="AA744">
        <f t="shared" si="47"/>
        <v>-8383.372347192344</v>
      </c>
    </row>
    <row r="745" spans="1:27" x14ac:dyDescent="0.25">
      <c r="A745">
        <v>124000</v>
      </c>
      <c r="B745">
        <v>1</v>
      </c>
      <c r="C745">
        <v>36</v>
      </c>
      <c r="D745">
        <v>0</v>
      </c>
      <c r="E745">
        <v>155000</v>
      </c>
      <c r="F745">
        <v>2517</v>
      </c>
      <c r="G745">
        <v>1</v>
      </c>
      <c r="H745">
        <v>0</v>
      </c>
      <c r="I745">
        <v>0</v>
      </c>
      <c r="J745">
        <v>24</v>
      </c>
      <c r="K745">
        <v>1</v>
      </c>
      <c r="L745">
        <f>Résultats!G$32+Résultats!G$33*Données!C745+Résultats!G$34*Données!D745+Résultats!G$35*Données!E745+Résultats!G$36*Données!F745+Résultats!G$37*Données!G745+Résultats!G$38*Données!H745+Résultats!G$39*Données!I745</f>
        <v>122185.52556903579</v>
      </c>
      <c r="M745">
        <f t="shared" si="44"/>
        <v>1814.4744309642119</v>
      </c>
      <c r="Q745">
        <v>138000</v>
      </c>
      <c r="R745">
        <v>1</v>
      </c>
      <c r="S745">
        <v>34</v>
      </c>
      <c r="T745">
        <v>0</v>
      </c>
      <c r="U745">
        <f t="shared" si="45"/>
        <v>12.133501952695338</v>
      </c>
      <c r="V745">
        <f t="shared" si="46"/>
        <v>8.4627370056201787</v>
      </c>
      <c r="W745">
        <v>1</v>
      </c>
      <c r="X745">
        <v>0</v>
      </c>
      <c r="Y745">
        <v>0</v>
      </c>
      <c r="Z745">
        <f>'Résultat (Ln)'!F$30+'Résultat (Ln)'!F$31*Données!S745+'Résultat (Ln)'!F$32*Données!T745+'Résultat (Ln)'!F$33*Données!U745+'Résultat (Ln)'!F$34*Données!V745+'Résultat (Ln)'!F$35*Données!W745+'Résultat (Ln)'!F$36*Données!X745+'Résultat (Ln)'!F$37*Données!Y745</f>
        <v>154235.18124138648</v>
      </c>
      <c r="AA745">
        <f t="shared" si="47"/>
        <v>-16235.181241386483</v>
      </c>
    </row>
    <row r="746" spans="1:27" x14ac:dyDescent="0.25">
      <c r="A746">
        <v>95000</v>
      </c>
      <c r="B746">
        <v>1</v>
      </c>
      <c r="C746">
        <v>36</v>
      </c>
      <c r="D746">
        <v>0</v>
      </c>
      <c r="E746">
        <v>122000</v>
      </c>
      <c r="F746">
        <v>5416</v>
      </c>
      <c r="G746">
        <v>0</v>
      </c>
      <c r="H746">
        <v>0</v>
      </c>
      <c r="I746">
        <v>0</v>
      </c>
      <c r="J746">
        <v>23</v>
      </c>
      <c r="K746">
        <v>1</v>
      </c>
      <c r="L746">
        <f>Résultats!G$32+Résultats!G$33*Données!C746+Résultats!G$34*Données!D746+Résultats!G$35*Données!E746+Résultats!G$36*Données!F746+Résultats!G$37*Données!G746+Résultats!G$38*Données!H746+Résultats!G$39*Données!I746</f>
        <v>105377.09479511681</v>
      </c>
      <c r="M746">
        <f t="shared" si="44"/>
        <v>-10377.094795116805</v>
      </c>
      <c r="Q746">
        <v>124000</v>
      </c>
      <c r="R746">
        <v>1</v>
      </c>
      <c r="S746">
        <v>36</v>
      </c>
      <c r="T746">
        <v>0</v>
      </c>
      <c r="U746">
        <f t="shared" si="45"/>
        <v>11.951180395901384</v>
      </c>
      <c r="V746">
        <f t="shared" si="46"/>
        <v>7.8308229951353159</v>
      </c>
      <c r="W746">
        <v>1</v>
      </c>
      <c r="X746">
        <v>0</v>
      </c>
      <c r="Y746">
        <v>0</v>
      </c>
      <c r="Z746">
        <f>'Résultat (Ln)'!F$30+'Résultat (Ln)'!F$31*Données!S746+'Résultat (Ln)'!F$32*Données!T746+'Résultat (Ln)'!F$33*Données!U746+'Résultat (Ln)'!F$34*Données!V746+'Résultat (Ln)'!F$35*Données!W746+'Résultat (Ln)'!F$36*Données!X746+'Résultat (Ln)'!F$37*Données!Y746</f>
        <v>119412.67117736377</v>
      </c>
      <c r="AA746">
        <f t="shared" si="47"/>
        <v>4587.3288226362347</v>
      </c>
    </row>
    <row r="747" spans="1:27" x14ac:dyDescent="0.25">
      <c r="A747">
        <v>120000</v>
      </c>
      <c r="B747">
        <v>1</v>
      </c>
      <c r="C747">
        <v>39</v>
      </c>
      <c r="D747">
        <v>0</v>
      </c>
      <c r="E747">
        <v>133000</v>
      </c>
      <c r="F747">
        <v>2014</v>
      </c>
      <c r="G747">
        <v>1</v>
      </c>
      <c r="H747">
        <v>0</v>
      </c>
      <c r="I747">
        <v>0</v>
      </c>
      <c r="J747">
        <v>25</v>
      </c>
      <c r="K747">
        <v>1</v>
      </c>
      <c r="L747">
        <f>Résultats!G$32+Résultats!G$33*Données!C747+Résultats!G$34*Données!D747+Résultats!G$35*Données!E747+Résultats!G$36*Données!F747+Résultats!G$37*Données!G747+Résultats!G$38*Données!H747+Résultats!G$39*Données!I747</f>
        <v>114383.85775061617</v>
      </c>
      <c r="M747">
        <f t="shared" si="44"/>
        <v>5616.1422493838327</v>
      </c>
      <c r="Q747">
        <v>95000</v>
      </c>
      <c r="R747">
        <v>1</v>
      </c>
      <c r="S747">
        <v>36</v>
      </c>
      <c r="T747">
        <v>0</v>
      </c>
      <c r="U747">
        <f t="shared" si="45"/>
        <v>11.711776323715394</v>
      </c>
      <c r="V747">
        <f t="shared" si="46"/>
        <v>8.5971128145921103</v>
      </c>
      <c r="W747">
        <v>0</v>
      </c>
      <c r="X747">
        <v>0</v>
      </c>
      <c r="Y747">
        <v>0</v>
      </c>
      <c r="Z747">
        <f>'Résultat (Ln)'!F$30+'Résultat (Ln)'!F$31*Données!S747+'Résultat (Ln)'!F$32*Données!T747+'Résultat (Ln)'!F$33*Données!U747+'Résultat (Ln)'!F$34*Données!V747+'Résultat (Ln)'!F$35*Données!W747+'Résultat (Ln)'!F$36*Données!X747+'Résultat (Ln)'!F$37*Données!Y747</f>
        <v>110726.79076467062</v>
      </c>
      <c r="AA747">
        <f t="shared" si="47"/>
        <v>-15726.790764670615</v>
      </c>
    </row>
    <row r="748" spans="1:27" x14ac:dyDescent="0.25">
      <c r="A748">
        <v>210000</v>
      </c>
      <c r="B748">
        <v>1</v>
      </c>
      <c r="C748">
        <v>32.299999237060547</v>
      </c>
      <c r="D748">
        <v>0</v>
      </c>
      <c r="E748">
        <v>280000</v>
      </c>
      <c r="F748">
        <v>6250</v>
      </c>
      <c r="G748">
        <v>1</v>
      </c>
      <c r="H748">
        <v>0</v>
      </c>
      <c r="I748">
        <v>1</v>
      </c>
      <c r="J748">
        <v>26.39999961853027</v>
      </c>
      <c r="K748">
        <v>1</v>
      </c>
      <c r="L748">
        <f>Résultats!G$32+Résultats!G$33*Données!C748+Résultats!G$34*Données!D748+Résultats!G$35*Données!E748+Résultats!G$36*Données!F748+Résultats!G$37*Données!G748+Résultats!G$38*Données!H748+Résultats!G$39*Données!I748</f>
        <v>193463.81996734702</v>
      </c>
      <c r="M748">
        <f t="shared" si="44"/>
        <v>16536.180032652977</v>
      </c>
      <c r="Q748">
        <v>120000</v>
      </c>
      <c r="R748">
        <v>1</v>
      </c>
      <c r="S748">
        <v>39</v>
      </c>
      <c r="T748">
        <v>0</v>
      </c>
      <c r="U748">
        <f t="shared" si="45"/>
        <v>11.798104407203891</v>
      </c>
      <c r="V748">
        <f t="shared" si="46"/>
        <v>7.6078780732785072</v>
      </c>
      <c r="W748">
        <v>1</v>
      </c>
      <c r="X748">
        <v>0</v>
      </c>
      <c r="Y748">
        <v>0</v>
      </c>
      <c r="Z748">
        <f>'Résultat (Ln)'!F$30+'Résultat (Ln)'!F$31*Données!S748+'Résultat (Ln)'!F$32*Données!T748+'Résultat (Ln)'!F$33*Données!U748+'Résultat (Ln)'!F$34*Données!V748+'Résultat (Ln)'!F$35*Données!W748+'Résultat (Ln)'!F$36*Données!X748+'Résultat (Ln)'!F$37*Données!Y748</f>
        <v>100417.05967432742</v>
      </c>
      <c r="AA748">
        <f t="shared" si="47"/>
        <v>19582.940325672578</v>
      </c>
    </row>
    <row r="749" spans="1:27" x14ac:dyDescent="0.25">
      <c r="A749">
        <v>55000</v>
      </c>
      <c r="B749">
        <v>1</v>
      </c>
      <c r="C749">
        <v>23</v>
      </c>
      <c r="D749">
        <v>0</v>
      </c>
      <c r="E749">
        <v>110000</v>
      </c>
      <c r="F749">
        <v>3218</v>
      </c>
      <c r="G749">
        <v>1</v>
      </c>
      <c r="H749">
        <v>0</v>
      </c>
      <c r="I749">
        <v>0</v>
      </c>
      <c r="J749">
        <v>4</v>
      </c>
      <c r="K749">
        <v>1</v>
      </c>
      <c r="L749">
        <f>Résultats!G$32+Résultats!G$33*Données!C749+Résultats!G$34*Données!D749+Résultats!G$35*Données!E749+Résultats!G$36*Données!F749+Résultats!G$37*Données!G749+Résultats!G$38*Données!H749+Résultats!G$39*Données!I749</f>
        <v>87598.302493632189</v>
      </c>
      <c r="M749">
        <f t="shared" si="44"/>
        <v>-32598.302493632189</v>
      </c>
      <c r="Q749">
        <v>210000</v>
      </c>
      <c r="R749">
        <v>1</v>
      </c>
      <c r="S749">
        <v>32.299999237060547</v>
      </c>
      <c r="T749">
        <v>0</v>
      </c>
      <c r="U749">
        <f t="shared" si="45"/>
        <v>12.542544882151386</v>
      </c>
      <c r="V749">
        <f t="shared" si="46"/>
        <v>8.740336742730447</v>
      </c>
      <c r="W749">
        <v>1</v>
      </c>
      <c r="X749">
        <v>0</v>
      </c>
      <c r="Y749">
        <v>1</v>
      </c>
      <c r="Z749">
        <f>'Résultat (Ln)'!F$30+'Résultat (Ln)'!F$31*Données!S749+'Résultat (Ln)'!F$32*Données!T749+'Résultat (Ln)'!F$33*Données!U749+'Résultat (Ln)'!F$34*Données!V749+'Résultat (Ln)'!F$35*Données!W749+'Résultat (Ln)'!F$36*Données!X749+'Résultat (Ln)'!F$37*Données!Y749</f>
        <v>217877.73481269466</v>
      </c>
      <c r="AA749">
        <f t="shared" si="47"/>
        <v>-7877.7348126946599</v>
      </c>
    </row>
    <row r="750" spans="1:27" x14ac:dyDescent="0.25">
      <c r="A750">
        <v>200000</v>
      </c>
      <c r="B750">
        <v>1</v>
      </c>
      <c r="C750">
        <v>39</v>
      </c>
      <c r="D750">
        <v>0</v>
      </c>
      <c r="E750">
        <v>205000</v>
      </c>
      <c r="F750">
        <v>6400</v>
      </c>
      <c r="G750">
        <v>0</v>
      </c>
      <c r="H750">
        <v>0</v>
      </c>
      <c r="I750">
        <v>1</v>
      </c>
      <c r="J750">
        <v>30</v>
      </c>
      <c r="K750">
        <v>1</v>
      </c>
      <c r="L750">
        <f>Résultats!G$32+Résultats!G$33*Données!C750+Résultats!G$34*Données!D750+Résultats!G$35*Données!E750+Résultats!G$36*Données!F750+Résultats!G$37*Données!G750+Résultats!G$38*Données!H750+Résultats!G$39*Données!I750</f>
        <v>159412.46685717002</v>
      </c>
      <c r="M750">
        <f t="shared" si="44"/>
        <v>40587.533142829983</v>
      </c>
      <c r="Q750">
        <v>55000</v>
      </c>
      <c r="R750">
        <v>1</v>
      </c>
      <c r="S750">
        <v>23</v>
      </c>
      <c r="T750">
        <v>0</v>
      </c>
      <c r="U750">
        <f t="shared" si="45"/>
        <v>11.608235644774552</v>
      </c>
      <c r="V750">
        <f t="shared" si="46"/>
        <v>8.0765153275523289</v>
      </c>
      <c r="W750">
        <v>1</v>
      </c>
      <c r="X750">
        <v>0</v>
      </c>
      <c r="Y750">
        <v>0</v>
      </c>
      <c r="Z750">
        <f>'Résultat (Ln)'!F$30+'Résultat (Ln)'!F$31*Données!S750+'Résultat (Ln)'!F$32*Données!T750+'Résultat (Ln)'!F$33*Données!U750+'Résultat (Ln)'!F$34*Données!V750+'Résultat (Ln)'!F$35*Données!W750+'Résultat (Ln)'!F$36*Données!X750+'Résultat (Ln)'!F$37*Données!Y750</f>
        <v>73654.618004859411</v>
      </c>
      <c r="AA750">
        <f t="shared" si="47"/>
        <v>-18654.618004859411</v>
      </c>
    </row>
    <row r="751" spans="1:27" x14ac:dyDescent="0.25">
      <c r="A751">
        <v>90000</v>
      </c>
      <c r="B751">
        <v>1</v>
      </c>
      <c r="C751">
        <v>29</v>
      </c>
      <c r="D751">
        <v>0</v>
      </c>
      <c r="E751">
        <v>153000</v>
      </c>
      <c r="F751">
        <v>3750</v>
      </c>
      <c r="G751">
        <v>1</v>
      </c>
      <c r="H751">
        <v>0</v>
      </c>
      <c r="I751">
        <v>0</v>
      </c>
      <c r="J751">
        <v>23</v>
      </c>
      <c r="K751">
        <v>1</v>
      </c>
      <c r="L751">
        <f>Résultats!G$32+Résultats!G$33*Données!C751+Résultats!G$34*Données!D751+Résultats!G$35*Données!E751+Résultats!G$36*Données!F751+Résultats!G$37*Données!G751+Résultats!G$38*Données!H751+Résultats!G$39*Données!I751</f>
        <v>115600.21819984334</v>
      </c>
      <c r="M751">
        <f t="shared" si="44"/>
        <v>-25600.218199843337</v>
      </c>
      <c r="Q751">
        <v>200000</v>
      </c>
      <c r="R751">
        <v>1</v>
      </c>
      <c r="S751">
        <v>39</v>
      </c>
      <c r="T751">
        <v>0</v>
      </c>
      <c r="U751">
        <f t="shared" si="45"/>
        <v>12.230765258120545</v>
      </c>
      <c r="V751">
        <f t="shared" si="46"/>
        <v>8.7640532693477624</v>
      </c>
      <c r="W751">
        <v>0</v>
      </c>
      <c r="X751">
        <v>0</v>
      </c>
      <c r="Y751">
        <v>1</v>
      </c>
      <c r="Z751">
        <f>'Résultat (Ln)'!F$30+'Résultat (Ln)'!F$31*Données!S751+'Résultat (Ln)'!F$32*Données!T751+'Résultat (Ln)'!F$33*Données!U751+'Résultat (Ln)'!F$34*Données!V751+'Résultat (Ln)'!F$35*Données!W751+'Résultat (Ln)'!F$36*Données!X751+'Résultat (Ln)'!F$37*Données!Y751</f>
        <v>188795.13478412319</v>
      </c>
      <c r="AA751">
        <f t="shared" si="47"/>
        <v>11204.865215876809</v>
      </c>
    </row>
    <row r="752" spans="1:27" x14ac:dyDescent="0.25">
      <c r="A752">
        <v>142000</v>
      </c>
      <c r="B752">
        <v>1</v>
      </c>
      <c r="C752">
        <v>32</v>
      </c>
      <c r="D752">
        <v>0</v>
      </c>
      <c r="E752">
        <v>149699.99694824219</v>
      </c>
      <c r="F752">
        <v>3021</v>
      </c>
      <c r="G752">
        <v>1</v>
      </c>
      <c r="H752">
        <v>0</v>
      </c>
      <c r="I752">
        <v>0</v>
      </c>
      <c r="J752">
        <v>24.60000038146973</v>
      </c>
      <c r="K752">
        <v>1</v>
      </c>
      <c r="L752">
        <f>Résultats!G$32+Résultats!G$33*Données!C752+Résultats!G$34*Données!D752+Résultats!G$35*Données!E752+Résultats!G$36*Données!F752+Résultats!G$37*Données!G752+Résultats!G$38*Données!H752+Résultats!G$39*Données!I752</f>
        <v>116092.63513591261</v>
      </c>
      <c r="M752">
        <f t="shared" si="44"/>
        <v>25907.364864087387</v>
      </c>
      <c r="Q752">
        <v>90000</v>
      </c>
      <c r="R752">
        <v>1</v>
      </c>
      <c r="S752">
        <v>29</v>
      </c>
      <c r="T752">
        <v>0</v>
      </c>
      <c r="U752">
        <f t="shared" si="45"/>
        <v>11.938193200374572</v>
      </c>
      <c r="V752">
        <f t="shared" si="46"/>
        <v>8.2295111189644565</v>
      </c>
      <c r="W752">
        <v>1</v>
      </c>
      <c r="X752">
        <v>0</v>
      </c>
      <c r="Y752">
        <v>0</v>
      </c>
      <c r="Z752">
        <f>'Résultat (Ln)'!F$30+'Résultat (Ln)'!F$31*Données!S752+'Résultat (Ln)'!F$32*Données!T752+'Résultat (Ln)'!F$33*Données!U752+'Résultat (Ln)'!F$34*Données!V752+'Résultat (Ln)'!F$35*Données!W752+'Résultat (Ln)'!F$36*Données!X752+'Résultat (Ln)'!F$37*Données!Y752</f>
        <v>120647.739156307</v>
      </c>
      <c r="AA752">
        <f t="shared" si="47"/>
        <v>-30647.739156306998</v>
      </c>
    </row>
    <row r="753" spans="1:27" x14ac:dyDescent="0.25">
      <c r="A753">
        <v>104000</v>
      </c>
      <c r="B753">
        <v>1</v>
      </c>
      <c r="C753">
        <v>37.099998474121087</v>
      </c>
      <c r="D753">
        <v>0</v>
      </c>
      <c r="E753">
        <v>115599.99847412109</v>
      </c>
      <c r="F753">
        <v>2491</v>
      </c>
      <c r="G753">
        <v>1</v>
      </c>
      <c r="H753">
        <v>0</v>
      </c>
      <c r="I753">
        <v>0</v>
      </c>
      <c r="J753">
        <v>24.29999923706055</v>
      </c>
      <c r="K753">
        <v>1</v>
      </c>
      <c r="L753">
        <f>Résultats!G$32+Résultats!G$33*Données!C753+Résultats!G$34*Données!D753+Résultats!G$35*Données!E753+Résultats!G$36*Données!F753+Résultats!G$37*Données!G753+Résultats!G$38*Données!H753+Résultats!G$39*Données!I753</f>
        <v>105000.71926360836</v>
      </c>
      <c r="M753">
        <f t="shared" si="44"/>
        <v>-1000.7192636083637</v>
      </c>
      <c r="Q753">
        <v>142000</v>
      </c>
      <c r="R753">
        <v>1</v>
      </c>
      <c r="S753">
        <v>32</v>
      </c>
      <c r="T753">
        <v>0</v>
      </c>
      <c r="U753">
        <f t="shared" si="45"/>
        <v>11.916388550021896</v>
      </c>
      <c r="V753">
        <f t="shared" si="46"/>
        <v>8.0133431813866718</v>
      </c>
      <c r="W753">
        <v>1</v>
      </c>
      <c r="X753">
        <v>0</v>
      </c>
      <c r="Y753">
        <v>0</v>
      </c>
      <c r="Z753">
        <f>'Résultat (Ln)'!F$30+'Résultat (Ln)'!F$31*Données!S753+'Résultat (Ln)'!F$32*Données!T753+'Résultat (Ln)'!F$33*Données!U753+'Résultat (Ln)'!F$34*Données!V753+'Résultat (Ln)'!F$35*Données!W753+'Résultat (Ln)'!F$36*Données!X753+'Résultat (Ln)'!F$37*Données!Y753</f>
        <v>115913.89901515619</v>
      </c>
      <c r="AA753">
        <f t="shared" si="47"/>
        <v>26086.100984843812</v>
      </c>
    </row>
    <row r="754" spans="1:27" x14ac:dyDescent="0.25">
      <c r="A754">
        <v>100000</v>
      </c>
      <c r="B754">
        <v>1</v>
      </c>
      <c r="C754">
        <v>31</v>
      </c>
      <c r="D754">
        <v>0</v>
      </c>
      <c r="E754">
        <v>138000</v>
      </c>
      <c r="F754">
        <v>2228</v>
      </c>
      <c r="G754">
        <v>1</v>
      </c>
      <c r="H754">
        <v>0</v>
      </c>
      <c r="I754">
        <v>0</v>
      </c>
      <c r="J754">
        <v>26.70000076293945</v>
      </c>
      <c r="K754">
        <v>1</v>
      </c>
      <c r="L754">
        <f>Résultats!G$32+Résultats!G$33*Données!C754+Résultats!G$34*Données!D754+Résultats!G$35*Données!E754+Résultats!G$36*Données!F754+Résultats!G$37*Données!G754+Résultats!G$38*Données!H754+Résultats!G$39*Données!I754</f>
        <v>107943.94755730915</v>
      </c>
      <c r="M754">
        <f t="shared" si="44"/>
        <v>-7943.9475573091477</v>
      </c>
      <c r="Q754">
        <v>104000</v>
      </c>
      <c r="R754">
        <v>1</v>
      </c>
      <c r="S754">
        <v>37.099998474121087</v>
      </c>
      <c r="T754">
        <v>0</v>
      </c>
      <c r="U754">
        <f t="shared" si="45"/>
        <v>11.657891222020769</v>
      </c>
      <c r="V754">
        <f t="shared" si="46"/>
        <v>7.8204395152621808</v>
      </c>
      <c r="W754">
        <v>1</v>
      </c>
      <c r="X754">
        <v>0</v>
      </c>
      <c r="Y754">
        <v>0</v>
      </c>
      <c r="Z754">
        <f>'Résultat (Ln)'!F$30+'Résultat (Ln)'!F$31*Données!S754+'Résultat (Ln)'!F$32*Données!T754+'Résultat (Ln)'!F$33*Données!U754+'Résultat (Ln)'!F$34*Données!V754+'Résultat (Ln)'!F$35*Données!W754+'Résultat (Ln)'!F$36*Données!X754+'Résultat (Ln)'!F$37*Données!Y754</f>
        <v>89026.402343493697</v>
      </c>
      <c r="AA754">
        <f t="shared" si="47"/>
        <v>14973.597656506303</v>
      </c>
    </row>
    <row r="755" spans="1:27" x14ac:dyDescent="0.25">
      <c r="A755">
        <v>118000</v>
      </c>
      <c r="B755">
        <v>1</v>
      </c>
      <c r="C755">
        <v>19</v>
      </c>
      <c r="D755">
        <v>0</v>
      </c>
      <c r="E755">
        <v>148000</v>
      </c>
      <c r="F755">
        <v>1902</v>
      </c>
      <c r="G755">
        <v>1</v>
      </c>
      <c r="H755">
        <v>0</v>
      </c>
      <c r="I755">
        <v>1</v>
      </c>
      <c r="J755">
        <v>17</v>
      </c>
      <c r="K755">
        <v>1</v>
      </c>
      <c r="L755">
        <f>Résultats!G$32+Résultats!G$33*Données!C755+Résultats!G$34*Données!D755+Résultats!G$35*Données!E755+Résultats!G$36*Données!F755+Résultats!G$37*Données!G755+Résultats!G$38*Données!H755+Résultats!G$39*Données!I755</f>
        <v>108123.17387035496</v>
      </c>
      <c r="M755">
        <f t="shared" si="44"/>
        <v>9876.8261296450364</v>
      </c>
      <c r="Q755">
        <v>100000</v>
      </c>
      <c r="R755">
        <v>1</v>
      </c>
      <c r="S755">
        <v>31</v>
      </c>
      <c r="T755">
        <v>0</v>
      </c>
      <c r="U755">
        <f t="shared" si="45"/>
        <v>11.835008964139341</v>
      </c>
      <c r="V755">
        <f t="shared" si="46"/>
        <v>7.708859601047175</v>
      </c>
      <c r="W755">
        <v>1</v>
      </c>
      <c r="X755">
        <v>0</v>
      </c>
      <c r="Y755">
        <v>0</v>
      </c>
      <c r="Z755">
        <f>'Résultat (Ln)'!F$30+'Résultat (Ln)'!F$31*Données!S755+'Résultat (Ln)'!F$32*Données!T755+'Résultat (Ln)'!F$33*Données!U755+'Résultat (Ln)'!F$34*Données!V755+'Résultat (Ln)'!F$35*Données!W755+'Résultat (Ln)'!F$36*Données!X755+'Résultat (Ln)'!F$37*Données!Y755</f>
        <v>97428.843814183914</v>
      </c>
      <c r="AA755">
        <f t="shared" si="47"/>
        <v>2571.1561858160858</v>
      </c>
    </row>
    <row r="756" spans="1:27" x14ac:dyDescent="0.25">
      <c r="A756">
        <v>42000</v>
      </c>
      <c r="B756">
        <v>1</v>
      </c>
      <c r="C756">
        <v>23</v>
      </c>
      <c r="D756">
        <v>0</v>
      </c>
      <c r="E756">
        <v>47000</v>
      </c>
      <c r="F756">
        <v>3716</v>
      </c>
      <c r="G756">
        <v>1</v>
      </c>
      <c r="H756">
        <v>0</v>
      </c>
      <c r="I756">
        <v>0</v>
      </c>
      <c r="J756">
        <v>18</v>
      </c>
      <c r="K756">
        <v>1</v>
      </c>
      <c r="L756">
        <f>Résultats!G$32+Résultats!G$33*Données!C756+Résultats!G$34*Données!D756+Résultats!G$35*Données!E756+Résultats!G$36*Données!F756+Résultats!G$37*Données!G756+Résultats!G$38*Données!H756+Résultats!G$39*Données!I756</f>
        <v>59145.264675403523</v>
      </c>
      <c r="M756">
        <f t="shared" si="44"/>
        <v>-17145.264675403523</v>
      </c>
      <c r="Q756">
        <v>118000</v>
      </c>
      <c r="R756">
        <v>1</v>
      </c>
      <c r="S756">
        <v>19</v>
      </c>
      <c r="T756">
        <v>0</v>
      </c>
      <c r="U756">
        <f t="shared" si="45"/>
        <v>11.904967552746252</v>
      </c>
      <c r="V756">
        <f t="shared" si="46"/>
        <v>7.5506612431053357</v>
      </c>
      <c r="W756">
        <v>1</v>
      </c>
      <c r="X756">
        <v>0</v>
      </c>
      <c r="Y756">
        <v>1</v>
      </c>
      <c r="Z756">
        <f>'Résultat (Ln)'!F$30+'Résultat (Ln)'!F$31*Données!S756+'Résultat (Ln)'!F$32*Données!T756+'Résultat (Ln)'!F$33*Données!U756+'Résultat (Ln)'!F$34*Données!V756+'Résultat (Ln)'!F$35*Données!W756+'Résultat (Ln)'!F$36*Données!X756+'Résultat (Ln)'!F$37*Données!Y756</f>
        <v>99913.735248889003</v>
      </c>
      <c r="AA756">
        <f t="shared" si="47"/>
        <v>18086.264751110997</v>
      </c>
    </row>
    <row r="757" spans="1:27" x14ac:dyDescent="0.25">
      <c r="A757">
        <v>120000</v>
      </c>
      <c r="B757">
        <v>1</v>
      </c>
      <c r="C757">
        <v>28</v>
      </c>
      <c r="D757">
        <v>0</v>
      </c>
      <c r="E757">
        <v>130000</v>
      </c>
      <c r="F757">
        <v>3189</v>
      </c>
      <c r="G757">
        <v>0</v>
      </c>
      <c r="H757">
        <v>0</v>
      </c>
      <c r="I757">
        <v>0</v>
      </c>
      <c r="J757">
        <v>22</v>
      </c>
      <c r="K757">
        <v>1</v>
      </c>
      <c r="L757">
        <f>Résultats!G$32+Résultats!G$33*Données!C757+Résultats!G$34*Données!D757+Résultats!G$35*Données!E757+Résultats!G$36*Données!F757+Résultats!G$37*Données!G757+Résultats!G$38*Données!H757+Résultats!G$39*Données!I757</f>
        <v>95607.9054480177</v>
      </c>
      <c r="M757">
        <f t="shared" si="44"/>
        <v>24392.0945519823</v>
      </c>
      <c r="Q757">
        <v>42000</v>
      </c>
      <c r="R757">
        <v>1</v>
      </c>
      <c r="S757">
        <v>23</v>
      </c>
      <c r="T757">
        <v>0</v>
      </c>
      <c r="U757">
        <f t="shared" si="45"/>
        <v>10.757902880692196</v>
      </c>
      <c r="V757">
        <f t="shared" si="46"/>
        <v>8.2204030999337299</v>
      </c>
      <c r="W757">
        <v>1</v>
      </c>
      <c r="X757">
        <v>0</v>
      </c>
      <c r="Y757">
        <v>0</v>
      </c>
      <c r="Z757">
        <f>'Résultat (Ln)'!F$30+'Résultat (Ln)'!F$31*Données!S757+'Résultat (Ln)'!F$32*Données!T757+'Résultat (Ln)'!F$33*Données!U757+'Résultat (Ln)'!F$34*Données!V757+'Résultat (Ln)'!F$35*Données!W757+'Résultat (Ln)'!F$36*Données!X757+'Résultat (Ln)'!F$37*Données!Y757</f>
        <v>-13461.837596960984</v>
      </c>
      <c r="AA757">
        <f t="shared" si="47"/>
        <v>55461.837596960984</v>
      </c>
    </row>
    <row r="758" spans="1:27" x14ac:dyDescent="0.25">
      <c r="A758">
        <v>103000</v>
      </c>
      <c r="B758">
        <v>1</v>
      </c>
      <c r="C758">
        <v>18</v>
      </c>
      <c r="D758">
        <v>0</v>
      </c>
      <c r="E758">
        <v>114000</v>
      </c>
      <c r="F758">
        <v>4083</v>
      </c>
      <c r="G758">
        <v>0</v>
      </c>
      <c r="H758">
        <v>1</v>
      </c>
      <c r="I758">
        <v>0</v>
      </c>
      <c r="J758">
        <v>18</v>
      </c>
      <c r="K758">
        <v>0</v>
      </c>
      <c r="L758">
        <f>Résultats!G$32+Résultats!G$33*Données!C758+Résultats!G$34*Données!D758+Résultats!G$35*Données!E758+Résultats!G$36*Données!F758+Résultats!G$37*Données!G758+Résultats!G$38*Données!H758+Résultats!G$39*Données!I758</f>
        <v>76757.054783886779</v>
      </c>
      <c r="M758">
        <f t="shared" si="44"/>
        <v>26242.945216113221</v>
      </c>
      <c r="Q758">
        <v>120000</v>
      </c>
      <c r="R758">
        <v>1</v>
      </c>
      <c r="S758">
        <v>28</v>
      </c>
      <c r="T758">
        <v>0</v>
      </c>
      <c r="U758">
        <f t="shared" si="45"/>
        <v>11.77528972943772</v>
      </c>
      <c r="V758">
        <f t="shared" si="46"/>
        <v>8.0674626670100569</v>
      </c>
      <c r="W758">
        <v>0</v>
      </c>
      <c r="X758">
        <v>0</v>
      </c>
      <c r="Y758">
        <v>0</v>
      </c>
      <c r="Z758">
        <f>'Résultat (Ln)'!F$30+'Résultat (Ln)'!F$31*Données!S758+'Résultat (Ln)'!F$32*Données!T758+'Résultat (Ln)'!F$33*Données!U758+'Résultat (Ln)'!F$34*Données!V758+'Résultat (Ln)'!F$35*Données!W758+'Résultat (Ln)'!F$36*Données!X758+'Résultat (Ln)'!F$37*Données!Y758</f>
        <v>92904.360169084975</v>
      </c>
      <c r="AA758">
        <f t="shared" si="47"/>
        <v>27095.639830915025</v>
      </c>
    </row>
    <row r="759" spans="1:27" x14ac:dyDescent="0.25">
      <c r="A759">
        <v>425000</v>
      </c>
      <c r="B759">
        <v>1</v>
      </c>
      <c r="C759">
        <v>49</v>
      </c>
      <c r="D759">
        <v>0</v>
      </c>
      <c r="E759">
        <v>755000</v>
      </c>
      <c r="F759">
        <v>35000</v>
      </c>
      <c r="G759">
        <v>1</v>
      </c>
      <c r="H759">
        <v>0</v>
      </c>
      <c r="I759">
        <v>1</v>
      </c>
      <c r="J759">
        <v>12</v>
      </c>
      <c r="K759">
        <v>1</v>
      </c>
      <c r="L759">
        <f>Résultats!G$32+Résultats!G$33*Données!C759+Résultats!G$34*Données!D759+Résultats!G$35*Données!E759+Résultats!G$36*Données!F759+Résultats!G$37*Données!G759+Résultats!G$38*Données!H759+Résultats!G$39*Données!I759</f>
        <v>490160.80555995338</v>
      </c>
      <c r="M759">
        <f t="shared" si="44"/>
        <v>-65160.805559953384</v>
      </c>
      <c r="Q759">
        <v>103000</v>
      </c>
      <c r="R759">
        <v>1</v>
      </c>
      <c r="S759">
        <v>18</v>
      </c>
      <c r="T759">
        <v>0</v>
      </c>
      <c r="U759">
        <f t="shared" si="45"/>
        <v>11.643953727376633</v>
      </c>
      <c r="V759">
        <f t="shared" si="46"/>
        <v>8.314587291319576</v>
      </c>
      <c r="W759">
        <v>0</v>
      </c>
      <c r="X759">
        <v>1</v>
      </c>
      <c r="Y759">
        <v>0</v>
      </c>
      <c r="Z759">
        <f>'Résultat (Ln)'!F$30+'Résultat (Ln)'!F$31*Données!S759+'Résultat (Ln)'!F$32*Données!T759+'Résultat (Ln)'!F$33*Données!U759+'Résultat (Ln)'!F$34*Données!V759+'Résultat (Ln)'!F$35*Données!W759+'Résultat (Ln)'!F$36*Données!X759+'Résultat (Ln)'!F$37*Données!Y759</f>
        <v>73358.58030306267</v>
      </c>
      <c r="AA759">
        <f t="shared" si="47"/>
        <v>29641.41969693733</v>
      </c>
    </row>
    <row r="760" spans="1:27" x14ac:dyDescent="0.25">
      <c r="A760">
        <v>110000</v>
      </c>
      <c r="B760">
        <v>1</v>
      </c>
      <c r="C760">
        <v>28</v>
      </c>
      <c r="D760">
        <v>1</v>
      </c>
      <c r="E760">
        <v>172000</v>
      </c>
      <c r="F760">
        <v>3467</v>
      </c>
      <c r="G760">
        <v>1</v>
      </c>
      <c r="H760">
        <v>0</v>
      </c>
      <c r="I760">
        <v>1</v>
      </c>
      <c r="J760">
        <v>33</v>
      </c>
      <c r="K760">
        <v>1</v>
      </c>
      <c r="L760">
        <f>Résultats!G$32+Résultats!G$33*Données!C760+Résultats!G$34*Données!D760+Résultats!G$35*Données!E760+Résultats!G$36*Données!F760+Résultats!G$37*Données!G760+Résultats!G$38*Données!H760+Résultats!G$39*Données!I760</f>
        <v>137548.97167325584</v>
      </c>
      <c r="M760">
        <f t="shared" si="44"/>
        <v>-27548.971673255845</v>
      </c>
      <c r="Q760">
        <v>425000</v>
      </c>
      <c r="R760">
        <v>1</v>
      </c>
      <c r="S760">
        <v>49</v>
      </c>
      <c r="T760">
        <v>0</v>
      </c>
      <c r="U760">
        <f t="shared" si="45"/>
        <v>13.534473028231162</v>
      </c>
      <c r="V760">
        <f t="shared" si="46"/>
        <v>10.46310334047155</v>
      </c>
      <c r="W760">
        <v>1</v>
      </c>
      <c r="X760">
        <v>0</v>
      </c>
      <c r="Y760">
        <v>1</v>
      </c>
      <c r="Z760">
        <f>'Résultat (Ln)'!F$30+'Résultat (Ln)'!F$31*Données!S760+'Résultat (Ln)'!F$32*Données!T760+'Résultat (Ln)'!F$33*Données!U760+'Résultat (Ln)'!F$34*Données!V760+'Résultat (Ln)'!F$35*Données!W760+'Résultat (Ln)'!F$36*Données!X760+'Résultat (Ln)'!F$37*Données!Y760</f>
        <v>392932.47455637844</v>
      </c>
      <c r="AA760">
        <f t="shared" si="47"/>
        <v>32067.525443621562</v>
      </c>
    </row>
    <row r="761" spans="1:27" x14ac:dyDescent="0.25">
      <c r="A761">
        <v>108000</v>
      </c>
      <c r="B761">
        <v>1</v>
      </c>
      <c r="C761">
        <v>29</v>
      </c>
      <c r="D761">
        <v>0</v>
      </c>
      <c r="E761">
        <v>158000</v>
      </c>
      <c r="F761">
        <v>833</v>
      </c>
      <c r="G761">
        <v>1</v>
      </c>
      <c r="H761">
        <v>0</v>
      </c>
      <c r="I761">
        <v>0</v>
      </c>
      <c r="J761">
        <v>29</v>
      </c>
      <c r="K761">
        <v>1</v>
      </c>
      <c r="L761">
        <f>Résultats!G$32+Résultats!G$33*Données!C761+Résultats!G$34*Données!D761+Résultats!G$35*Données!E761+Résultats!G$36*Données!F761+Résultats!G$37*Données!G761+Résultats!G$38*Données!H761+Résultats!G$39*Données!I761</f>
        <v>112282.45879729673</v>
      </c>
      <c r="M761">
        <f t="shared" si="44"/>
        <v>-4282.4587972967274</v>
      </c>
      <c r="Q761">
        <v>110000</v>
      </c>
      <c r="R761">
        <v>1</v>
      </c>
      <c r="S761">
        <v>28</v>
      </c>
      <c r="T761">
        <v>1</v>
      </c>
      <c r="U761">
        <f t="shared" si="45"/>
        <v>12.05524975579559</v>
      </c>
      <c r="V761">
        <f t="shared" si="46"/>
        <v>8.1510449456850242</v>
      </c>
      <c r="W761">
        <v>1</v>
      </c>
      <c r="X761">
        <v>0</v>
      </c>
      <c r="Y761">
        <v>1</v>
      </c>
      <c r="Z761">
        <f>'Résultat (Ln)'!F$30+'Résultat (Ln)'!F$31*Données!S761+'Résultat (Ln)'!F$32*Données!T761+'Résultat (Ln)'!F$33*Données!U761+'Résultat (Ln)'!F$34*Données!V761+'Résultat (Ln)'!F$35*Données!W761+'Résultat (Ln)'!F$36*Données!X761+'Résultat (Ln)'!F$37*Données!Y761</f>
        <v>148208.73881764838</v>
      </c>
      <c r="AA761">
        <f t="shared" si="47"/>
        <v>-38208.73881764838</v>
      </c>
    </row>
    <row r="762" spans="1:27" x14ac:dyDescent="0.25">
      <c r="A762">
        <v>119000</v>
      </c>
      <c r="B762">
        <v>1</v>
      </c>
      <c r="C762">
        <v>37.799999237060547</v>
      </c>
      <c r="D762">
        <v>0</v>
      </c>
      <c r="E762">
        <v>148600.0061035156</v>
      </c>
      <c r="F762">
        <v>1714</v>
      </c>
      <c r="G762">
        <v>0</v>
      </c>
      <c r="H762">
        <v>1</v>
      </c>
      <c r="I762">
        <v>0</v>
      </c>
      <c r="J762">
        <v>26.489999771118161</v>
      </c>
      <c r="K762">
        <v>1</v>
      </c>
      <c r="L762">
        <f>Résultats!G$32+Résultats!G$33*Données!C762+Résultats!G$34*Données!D762+Résultats!G$35*Données!E762+Résultats!G$36*Données!F762+Résultats!G$37*Données!G762+Résultats!G$38*Données!H762+Résultats!G$39*Données!I762</f>
        <v>111066.69509070562</v>
      </c>
      <c r="M762">
        <f t="shared" si="44"/>
        <v>7933.3049092943838</v>
      </c>
      <c r="Q762">
        <v>108000</v>
      </c>
      <c r="R762">
        <v>1</v>
      </c>
      <c r="S762">
        <v>29</v>
      </c>
      <c r="T762">
        <v>0</v>
      </c>
      <c r="U762">
        <f t="shared" si="45"/>
        <v>11.970350312009105</v>
      </c>
      <c r="V762">
        <f t="shared" si="46"/>
        <v>6.7250336421668431</v>
      </c>
      <c r="W762">
        <v>1</v>
      </c>
      <c r="X762">
        <v>0</v>
      </c>
      <c r="Y762">
        <v>0</v>
      </c>
      <c r="Z762">
        <f>'Résultat (Ln)'!F$30+'Résultat (Ln)'!F$31*Données!S762+'Résultat (Ln)'!F$32*Données!T762+'Résultat (Ln)'!F$33*Données!U762+'Résultat (Ln)'!F$34*Données!V762+'Résultat (Ln)'!F$35*Données!W762+'Résultat (Ln)'!F$36*Données!X762+'Résultat (Ln)'!F$37*Données!Y762</f>
        <v>81900.575240581922</v>
      </c>
      <c r="AA762">
        <f t="shared" si="47"/>
        <v>26099.424759418078</v>
      </c>
    </row>
    <row r="763" spans="1:27" x14ac:dyDescent="0.25">
      <c r="A763">
        <v>280000</v>
      </c>
      <c r="B763">
        <v>1</v>
      </c>
      <c r="C763">
        <v>42</v>
      </c>
      <c r="D763">
        <v>1</v>
      </c>
      <c r="E763">
        <v>350000</v>
      </c>
      <c r="F763">
        <v>8333</v>
      </c>
      <c r="G763">
        <v>0</v>
      </c>
      <c r="H763">
        <v>0</v>
      </c>
      <c r="I763">
        <v>1</v>
      </c>
      <c r="J763">
        <v>33</v>
      </c>
      <c r="K763">
        <v>0</v>
      </c>
      <c r="L763">
        <f>Résultats!G$32+Résultats!G$33*Données!C763+Résultats!G$34*Données!D763+Résultats!G$35*Données!E763+Résultats!G$36*Données!F763+Résultats!G$37*Données!G763+Résultats!G$38*Données!H763+Résultats!G$39*Données!I763</f>
        <v>239160.69364534965</v>
      </c>
      <c r="M763">
        <f t="shared" si="44"/>
        <v>40839.306354650354</v>
      </c>
      <c r="Q763">
        <v>119000</v>
      </c>
      <c r="R763">
        <v>1</v>
      </c>
      <c r="S763">
        <v>37.799999237060547</v>
      </c>
      <c r="T763">
        <v>0</v>
      </c>
      <c r="U763">
        <f t="shared" si="45"/>
        <v>11.90901345233925</v>
      </c>
      <c r="V763">
        <f t="shared" si="46"/>
        <v>7.4465850991577254</v>
      </c>
      <c r="W763">
        <v>0</v>
      </c>
      <c r="X763">
        <v>1</v>
      </c>
      <c r="Y763">
        <v>0</v>
      </c>
      <c r="Z763">
        <f>'Résultat (Ln)'!F$30+'Résultat (Ln)'!F$31*Données!S763+'Résultat (Ln)'!F$32*Données!T763+'Résultat (Ln)'!F$33*Données!U763+'Résultat (Ln)'!F$34*Données!V763+'Résultat (Ln)'!F$35*Données!W763+'Résultat (Ln)'!F$36*Données!X763+'Résultat (Ln)'!F$37*Données!Y763</f>
        <v>101624.40820770767</v>
      </c>
      <c r="AA763">
        <f t="shared" si="47"/>
        <v>17375.591792292325</v>
      </c>
    </row>
    <row r="764" spans="1:27" x14ac:dyDescent="0.25">
      <c r="A764">
        <v>160000</v>
      </c>
      <c r="B764">
        <v>1</v>
      </c>
      <c r="C764">
        <v>46.799999237060547</v>
      </c>
      <c r="D764">
        <v>0</v>
      </c>
      <c r="E764">
        <v>178000</v>
      </c>
      <c r="F764">
        <v>2500</v>
      </c>
      <c r="G764">
        <v>1</v>
      </c>
      <c r="H764">
        <v>0</v>
      </c>
      <c r="I764">
        <v>1</v>
      </c>
      <c r="J764">
        <v>36.799999237060547</v>
      </c>
      <c r="K764">
        <v>1</v>
      </c>
      <c r="L764">
        <f>Résultats!G$32+Résultats!G$33*Données!C764+Résultats!G$34*Données!D764+Résultats!G$35*Données!E764+Résultats!G$36*Données!F764+Résultats!G$37*Données!G764+Résultats!G$38*Données!H764+Résultats!G$39*Données!I764</f>
        <v>155223.60443836258</v>
      </c>
      <c r="M764">
        <f t="shared" si="44"/>
        <v>4776.3955616374151</v>
      </c>
      <c r="Q764">
        <v>280000</v>
      </c>
      <c r="R764">
        <v>1</v>
      </c>
      <c r="S764">
        <v>42</v>
      </c>
      <c r="T764">
        <v>1</v>
      </c>
      <c r="U764">
        <f t="shared" si="45"/>
        <v>12.765688433465597</v>
      </c>
      <c r="V764">
        <f t="shared" si="46"/>
        <v>9.0279788143822071</v>
      </c>
      <c r="W764">
        <v>0</v>
      </c>
      <c r="X764">
        <v>0</v>
      </c>
      <c r="Y764">
        <v>1</v>
      </c>
      <c r="Z764">
        <f>'Résultat (Ln)'!F$30+'Résultat (Ln)'!F$31*Données!S764+'Résultat (Ln)'!F$32*Données!T764+'Résultat (Ln)'!F$33*Données!U764+'Résultat (Ln)'!F$34*Données!V764+'Résultat (Ln)'!F$35*Données!W764+'Résultat (Ln)'!F$36*Données!X764+'Résultat (Ln)'!F$37*Données!Y764</f>
        <v>261553.46361716843</v>
      </c>
      <c r="AA764">
        <f t="shared" si="47"/>
        <v>18446.536382831575</v>
      </c>
    </row>
    <row r="765" spans="1:27" x14ac:dyDescent="0.25">
      <c r="A765">
        <v>140000</v>
      </c>
      <c r="B765">
        <v>1</v>
      </c>
      <c r="C765">
        <v>32.400001525878913</v>
      </c>
      <c r="D765">
        <v>0</v>
      </c>
      <c r="E765">
        <v>175000</v>
      </c>
      <c r="F765">
        <v>3155</v>
      </c>
      <c r="G765">
        <v>1</v>
      </c>
      <c r="H765">
        <v>0</v>
      </c>
      <c r="I765">
        <v>0</v>
      </c>
      <c r="J765">
        <v>28.729999542236332</v>
      </c>
      <c r="K765">
        <v>1</v>
      </c>
      <c r="L765">
        <f>Résultats!G$32+Résultats!G$33*Données!C765+Résultats!G$34*Données!D765+Résultats!G$35*Données!E765+Résultats!G$36*Données!F765+Résultats!G$37*Données!G765+Résultats!G$38*Données!H765+Résultats!G$39*Données!I765</f>
        <v>128625.68766974847</v>
      </c>
      <c r="M765">
        <f t="shared" si="44"/>
        <v>11374.312330251531</v>
      </c>
      <c r="Q765">
        <v>160000</v>
      </c>
      <c r="R765">
        <v>1</v>
      </c>
      <c r="S765">
        <v>46.799999237060547</v>
      </c>
      <c r="T765">
        <v>0</v>
      </c>
      <c r="U765">
        <f t="shared" si="45"/>
        <v>12.089538829274222</v>
      </c>
      <c r="V765">
        <f t="shared" si="46"/>
        <v>7.8240460108562919</v>
      </c>
      <c r="W765">
        <v>1</v>
      </c>
      <c r="X765">
        <v>0</v>
      </c>
      <c r="Y765">
        <v>1</v>
      </c>
      <c r="Z765">
        <f>'Résultat (Ln)'!F$30+'Résultat (Ln)'!F$31*Données!S765+'Résultat (Ln)'!F$32*Données!T765+'Résultat (Ln)'!F$33*Données!U765+'Résultat (Ln)'!F$34*Données!V765+'Résultat (Ln)'!F$35*Données!W765+'Résultat (Ln)'!F$36*Données!X765+'Résultat (Ln)'!F$37*Données!Y765</f>
        <v>161338.98836839621</v>
      </c>
      <c r="AA765">
        <f t="shared" si="47"/>
        <v>-1338.9883683962107</v>
      </c>
    </row>
    <row r="766" spans="1:27" x14ac:dyDescent="0.25">
      <c r="A766">
        <v>144000</v>
      </c>
      <c r="B766">
        <v>1</v>
      </c>
      <c r="C766">
        <v>26</v>
      </c>
      <c r="D766">
        <v>0</v>
      </c>
      <c r="E766">
        <v>159000</v>
      </c>
      <c r="F766">
        <v>7083</v>
      </c>
      <c r="G766">
        <v>0</v>
      </c>
      <c r="H766">
        <v>0</v>
      </c>
      <c r="I766">
        <v>1</v>
      </c>
      <c r="J766">
        <v>24</v>
      </c>
      <c r="K766">
        <v>0</v>
      </c>
      <c r="L766">
        <f>Résultats!G$32+Résultats!G$33*Données!C766+Résultats!G$34*Données!D766+Résultats!G$35*Données!E766+Résultats!G$36*Données!F766+Résultats!G$37*Données!G766+Résultats!G$38*Données!H766+Résultats!G$39*Données!I766</f>
        <v>124323.41034051018</v>
      </c>
      <c r="M766">
        <f t="shared" si="44"/>
        <v>19676.589659489822</v>
      </c>
      <c r="Q766">
        <v>140000</v>
      </c>
      <c r="R766">
        <v>1</v>
      </c>
      <c r="S766">
        <v>32.400001525878913</v>
      </c>
      <c r="T766">
        <v>0</v>
      </c>
      <c r="U766">
        <f t="shared" si="45"/>
        <v>12.072541252905651</v>
      </c>
      <c r="V766">
        <f t="shared" si="46"/>
        <v>8.0567437749753132</v>
      </c>
      <c r="W766">
        <v>1</v>
      </c>
      <c r="X766">
        <v>0</v>
      </c>
      <c r="Y766">
        <v>0</v>
      </c>
      <c r="Z766">
        <f>'Résultat (Ln)'!F$30+'Résultat (Ln)'!F$31*Données!S766+'Résultat (Ln)'!F$32*Données!T766+'Résultat (Ln)'!F$33*Données!U766+'Résultat (Ln)'!F$34*Données!V766+'Résultat (Ln)'!F$35*Données!W766+'Résultat (Ln)'!F$36*Données!X766+'Résultat (Ln)'!F$37*Données!Y766</f>
        <v>134358.79875510148</v>
      </c>
      <c r="AA766">
        <f t="shared" si="47"/>
        <v>5641.2012448985188</v>
      </c>
    </row>
    <row r="767" spans="1:27" x14ac:dyDescent="0.25">
      <c r="A767">
        <v>108000</v>
      </c>
      <c r="B767">
        <v>1</v>
      </c>
      <c r="C767">
        <v>39.099998474121087</v>
      </c>
      <c r="D767">
        <v>0</v>
      </c>
      <c r="E767">
        <v>135000</v>
      </c>
      <c r="F767">
        <v>3333</v>
      </c>
      <c r="G767">
        <v>1</v>
      </c>
      <c r="H767">
        <v>0</v>
      </c>
      <c r="I767">
        <v>1</v>
      </c>
      <c r="J767">
        <v>30.610000610351559</v>
      </c>
      <c r="K767">
        <v>1</v>
      </c>
      <c r="L767">
        <f>Résultats!G$32+Résultats!G$33*Données!C767+Résultats!G$34*Données!D767+Résultats!G$35*Données!E767+Résultats!G$36*Données!F767+Résultats!G$37*Données!G767+Résultats!G$38*Données!H767+Résultats!G$39*Données!I767</f>
        <v>127914.027965542</v>
      </c>
      <c r="M767">
        <f t="shared" si="44"/>
        <v>-19914.027965542002</v>
      </c>
      <c r="Q767">
        <v>144000</v>
      </c>
      <c r="R767">
        <v>1</v>
      </c>
      <c r="S767">
        <v>26</v>
      </c>
      <c r="T767">
        <v>0</v>
      </c>
      <c r="U767">
        <f t="shared" si="45"/>
        <v>11.976659481202368</v>
      </c>
      <c r="V767">
        <f t="shared" si="46"/>
        <v>8.8654528257536231</v>
      </c>
      <c r="W767">
        <v>0</v>
      </c>
      <c r="X767">
        <v>0</v>
      </c>
      <c r="Y767">
        <v>1</v>
      </c>
      <c r="Z767">
        <f>'Résultat (Ln)'!F$30+'Résultat (Ln)'!F$31*Données!S767+'Résultat (Ln)'!F$32*Données!T767+'Résultat (Ln)'!F$33*Données!U767+'Résultat (Ln)'!F$34*Données!V767+'Résultat (Ln)'!F$35*Données!W767+'Résultat (Ln)'!F$36*Données!X767+'Résultat (Ln)'!F$37*Données!Y767</f>
        <v>148513.42045881032</v>
      </c>
      <c r="AA767">
        <f t="shared" si="47"/>
        <v>-4513.4204588103166</v>
      </c>
    </row>
    <row r="768" spans="1:27" x14ac:dyDescent="0.25">
      <c r="A768">
        <v>50000</v>
      </c>
      <c r="B768">
        <v>1</v>
      </c>
      <c r="C768">
        <v>24</v>
      </c>
      <c r="D768">
        <v>0</v>
      </c>
      <c r="E768">
        <v>190000</v>
      </c>
      <c r="F768">
        <v>3727</v>
      </c>
      <c r="G768">
        <v>0</v>
      </c>
      <c r="H768">
        <v>0</v>
      </c>
      <c r="I768">
        <v>0</v>
      </c>
      <c r="J768">
        <v>23.5</v>
      </c>
      <c r="K768">
        <v>1</v>
      </c>
      <c r="L768">
        <f>Résultats!G$32+Résultats!G$33*Données!C768+Résultats!G$34*Données!D768+Résultats!G$35*Données!E768+Résultats!G$36*Données!F768+Résultats!G$37*Données!G768+Résultats!G$38*Données!H768+Résultats!G$39*Données!I768</f>
        <v>120072.94965468059</v>
      </c>
      <c r="M768">
        <f t="shared" si="44"/>
        <v>-70072.949654680589</v>
      </c>
      <c r="Q768">
        <v>108000</v>
      </c>
      <c r="R768">
        <v>1</v>
      </c>
      <c r="S768">
        <v>39.099998474121087</v>
      </c>
      <c r="T768">
        <v>0</v>
      </c>
      <c r="U768">
        <f t="shared" si="45"/>
        <v>11.813030057420567</v>
      </c>
      <c r="V768">
        <f t="shared" si="46"/>
        <v>8.1116280783077404</v>
      </c>
      <c r="W768">
        <v>1</v>
      </c>
      <c r="X768">
        <v>0</v>
      </c>
      <c r="Y768">
        <v>1</v>
      </c>
      <c r="Z768">
        <f>'Résultat (Ln)'!F$30+'Résultat (Ln)'!F$31*Données!S768+'Résultat (Ln)'!F$32*Données!T768+'Résultat (Ln)'!F$33*Données!U768+'Résultat (Ln)'!F$34*Données!V768+'Résultat (Ln)'!F$35*Données!W768+'Résultat (Ln)'!F$36*Données!X768+'Résultat (Ln)'!F$37*Données!Y768</f>
        <v>130354.22466127893</v>
      </c>
      <c r="AA768">
        <f t="shared" si="47"/>
        <v>-22354.224661278931</v>
      </c>
    </row>
    <row r="769" spans="1:27" x14ac:dyDescent="0.25">
      <c r="A769">
        <v>116000</v>
      </c>
      <c r="B769">
        <v>1</v>
      </c>
      <c r="C769">
        <v>41</v>
      </c>
      <c r="D769">
        <v>0</v>
      </c>
      <c r="E769">
        <v>130000</v>
      </c>
      <c r="F769">
        <v>2624</v>
      </c>
      <c r="G769">
        <v>1</v>
      </c>
      <c r="H769">
        <v>0</v>
      </c>
      <c r="I769">
        <v>0</v>
      </c>
      <c r="J769">
        <v>27</v>
      </c>
      <c r="K769">
        <v>1</v>
      </c>
      <c r="L769">
        <f>Résultats!G$32+Résultats!G$33*Données!C769+Résultats!G$34*Données!D769+Résultats!G$35*Données!E769+Résultats!G$36*Données!F769+Résultats!G$37*Données!G769+Résultats!G$38*Données!H769+Résultats!G$39*Données!I769</f>
        <v>116462.38899594483</v>
      </c>
      <c r="M769">
        <f t="shared" si="44"/>
        <v>-462.38899594482791</v>
      </c>
      <c r="Q769">
        <v>50000</v>
      </c>
      <c r="R769">
        <v>1</v>
      </c>
      <c r="S769">
        <v>24</v>
      </c>
      <c r="T769">
        <v>0</v>
      </c>
      <c r="U769">
        <f t="shared" si="45"/>
        <v>12.154779351142624</v>
      </c>
      <c r="V769">
        <f t="shared" si="46"/>
        <v>8.2233588994792584</v>
      </c>
      <c r="W769">
        <v>0</v>
      </c>
      <c r="X769">
        <v>0</v>
      </c>
      <c r="Y769">
        <v>0</v>
      </c>
      <c r="Z769">
        <f>'Résultat (Ln)'!F$30+'Résultat (Ln)'!F$31*Données!S769+'Résultat (Ln)'!F$32*Données!T769+'Résultat (Ln)'!F$33*Données!U769+'Résultat (Ln)'!F$34*Données!V769+'Résultat (Ln)'!F$35*Données!W769+'Résultat (Ln)'!F$36*Données!X769+'Résultat (Ln)'!F$37*Données!Y769</f>
        <v>133068.03467528711</v>
      </c>
      <c r="AA769">
        <f t="shared" si="47"/>
        <v>-83068.034675287112</v>
      </c>
    </row>
    <row r="770" spans="1:27" x14ac:dyDescent="0.25">
      <c r="A770">
        <v>220000</v>
      </c>
      <c r="B770">
        <v>1</v>
      </c>
      <c r="C770">
        <v>23</v>
      </c>
      <c r="D770">
        <v>0</v>
      </c>
      <c r="E770">
        <v>230000</v>
      </c>
      <c r="F770">
        <v>13090</v>
      </c>
      <c r="G770">
        <v>1</v>
      </c>
      <c r="H770">
        <v>0</v>
      </c>
      <c r="I770">
        <v>1</v>
      </c>
      <c r="J770">
        <v>14</v>
      </c>
      <c r="K770">
        <v>1</v>
      </c>
      <c r="L770">
        <f>Résultats!G$32+Résultats!G$33*Données!C770+Résultats!G$34*Données!D770+Résultats!G$35*Données!E770+Résultats!G$36*Données!F770+Résultats!G$37*Données!G770+Résultats!G$38*Données!H770+Résultats!G$39*Données!I770</f>
        <v>172687.98846605685</v>
      </c>
      <c r="M770">
        <f t="shared" si="44"/>
        <v>47312.01153394315</v>
      </c>
      <c r="Q770">
        <v>116000</v>
      </c>
      <c r="R770">
        <v>1</v>
      </c>
      <c r="S770">
        <v>41</v>
      </c>
      <c r="T770">
        <v>0</v>
      </c>
      <c r="U770">
        <f t="shared" si="45"/>
        <v>11.77528972943772</v>
      </c>
      <c r="V770">
        <f t="shared" si="46"/>
        <v>7.8724551500639794</v>
      </c>
      <c r="W770">
        <v>1</v>
      </c>
      <c r="X770">
        <v>0</v>
      </c>
      <c r="Y770">
        <v>0</v>
      </c>
      <c r="Z770">
        <f>'Résultat (Ln)'!F$30+'Résultat (Ln)'!F$31*Données!S770+'Résultat (Ln)'!F$32*Données!T770+'Résultat (Ln)'!F$33*Données!U770+'Résultat (Ln)'!F$34*Données!V770+'Résultat (Ln)'!F$35*Données!W770+'Résultat (Ln)'!F$36*Données!X770+'Résultat (Ln)'!F$37*Données!Y770</f>
        <v>107835.78320520387</v>
      </c>
      <c r="AA770">
        <f t="shared" si="47"/>
        <v>8164.2167947961279</v>
      </c>
    </row>
    <row r="771" spans="1:27" x14ac:dyDescent="0.25">
      <c r="A771">
        <v>170000</v>
      </c>
      <c r="B771">
        <v>1</v>
      </c>
      <c r="C771">
        <v>38</v>
      </c>
      <c r="D771">
        <v>0</v>
      </c>
      <c r="E771">
        <v>302000</v>
      </c>
      <c r="F771">
        <v>5500</v>
      </c>
      <c r="G771">
        <v>1</v>
      </c>
      <c r="H771">
        <v>0</v>
      </c>
      <c r="I771">
        <v>1</v>
      </c>
      <c r="J771">
        <v>24</v>
      </c>
      <c r="K771">
        <v>1</v>
      </c>
      <c r="L771">
        <f>Résultats!G$32+Résultats!G$33*Données!C771+Résultats!G$34*Données!D771+Résultats!G$35*Données!E771+Résultats!G$36*Données!F771+Résultats!G$37*Données!G771+Résultats!G$38*Données!H771+Résultats!G$39*Données!I771</f>
        <v>208830.87339116482</v>
      </c>
      <c r="M771">
        <f t="shared" ref="M771:M834" si="48">A771-L771</f>
        <v>-38830.873391164816</v>
      </c>
      <c r="Q771">
        <v>220000</v>
      </c>
      <c r="R771">
        <v>1</v>
      </c>
      <c r="S771">
        <v>23</v>
      </c>
      <c r="T771">
        <v>0</v>
      </c>
      <c r="U771">
        <f t="shared" si="45"/>
        <v>12.345834587905333</v>
      </c>
      <c r="V771">
        <f t="shared" si="46"/>
        <v>9.4796038589039462</v>
      </c>
      <c r="W771">
        <v>1</v>
      </c>
      <c r="X771">
        <v>0</v>
      </c>
      <c r="Y771">
        <v>1</v>
      </c>
      <c r="Z771">
        <f>'Résultat (Ln)'!F$30+'Résultat (Ln)'!F$31*Données!S771+'Résultat (Ln)'!F$32*Données!T771+'Résultat (Ln)'!F$33*Données!U771+'Résultat (Ln)'!F$34*Données!V771+'Résultat (Ln)'!F$35*Données!W771+'Résultat (Ln)'!F$36*Données!X771+'Résultat (Ln)'!F$37*Données!Y771</f>
        <v>206159.61574777975</v>
      </c>
      <c r="AA771">
        <f t="shared" si="47"/>
        <v>13840.384252220247</v>
      </c>
    </row>
    <row r="772" spans="1:27" x14ac:dyDescent="0.25">
      <c r="A772">
        <v>150000</v>
      </c>
      <c r="B772">
        <v>1</v>
      </c>
      <c r="C772">
        <v>38</v>
      </c>
      <c r="D772">
        <v>0</v>
      </c>
      <c r="E772">
        <v>167000</v>
      </c>
      <c r="F772">
        <v>4727</v>
      </c>
      <c r="G772">
        <v>0</v>
      </c>
      <c r="H772">
        <v>0</v>
      </c>
      <c r="I772">
        <v>0</v>
      </c>
      <c r="J772">
        <v>37</v>
      </c>
      <c r="K772">
        <v>1</v>
      </c>
      <c r="L772">
        <f>Résultats!G$32+Résultats!G$33*Données!C772+Résultats!G$34*Données!D772+Résultats!G$35*Données!E772+Résultats!G$36*Données!F772+Résultats!G$37*Données!G772+Résultats!G$38*Données!H772+Résultats!G$39*Données!I772</f>
        <v>127352.19714861442</v>
      </c>
      <c r="M772">
        <f t="shared" si="48"/>
        <v>22647.802851385582</v>
      </c>
      <c r="Q772">
        <v>170000</v>
      </c>
      <c r="R772">
        <v>1</v>
      </c>
      <c r="S772">
        <v>38</v>
      </c>
      <c r="T772">
        <v>0</v>
      </c>
      <c r="U772">
        <f t="shared" ref="U772:U835" si="49">LN(E771)</f>
        <v>12.618182296357007</v>
      </c>
      <c r="V772">
        <f t="shared" ref="V772:V835" si="50">LN(F771)</f>
        <v>8.6125033712205621</v>
      </c>
      <c r="W772">
        <v>1</v>
      </c>
      <c r="X772">
        <v>0</v>
      </c>
      <c r="Y772">
        <v>1</v>
      </c>
      <c r="Z772">
        <f>'Résultat (Ln)'!F$30+'Résultat (Ln)'!F$31*Données!S772+'Résultat (Ln)'!F$32*Données!T772+'Résultat (Ln)'!F$33*Données!U772+'Résultat (Ln)'!F$34*Données!V772+'Résultat (Ln)'!F$35*Données!W772+'Résultat (Ln)'!F$36*Données!X772+'Résultat (Ln)'!F$37*Données!Y772</f>
        <v>229366.17646619974</v>
      </c>
      <c r="AA772">
        <f t="shared" ref="AA772:AA835" si="51">Q772-Z772</f>
        <v>-59366.176466199744</v>
      </c>
    </row>
    <row r="773" spans="1:27" x14ac:dyDescent="0.25">
      <c r="A773">
        <v>255000</v>
      </c>
      <c r="B773">
        <v>1</v>
      </c>
      <c r="C773">
        <v>43</v>
      </c>
      <c r="D773">
        <v>0</v>
      </c>
      <c r="E773">
        <v>397000</v>
      </c>
      <c r="F773">
        <v>5746</v>
      </c>
      <c r="G773">
        <v>1</v>
      </c>
      <c r="H773">
        <v>0</v>
      </c>
      <c r="I773">
        <v>1</v>
      </c>
      <c r="J773">
        <v>43</v>
      </c>
      <c r="K773">
        <v>1</v>
      </c>
      <c r="L773">
        <f>Résultats!G$32+Résultats!G$33*Données!C773+Résultats!G$34*Données!D773+Résultats!G$35*Données!E773+Résultats!G$36*Données!F773+Résultats!G$37*Données!G773+Résultats!G$38*Données!H773+Résultats!G$39*Données!I773</f>
        <v>259411.48150262833</v>
      </c>
      <c r="M773">
        <f t="shared" si="48"/>
        <v>-4411.4815026283322</v>
      </c>
      <c r="Q773">
        <v>150000</v>
      </c>
      <c r="R773">
        <v>1</v>
      </c>
      <c r="S773">
        <v>38</v>
      </c>
      <c r="T773">
        <v>0</v>
      </c>
      <c r="U773">
        <f t="shared" si="49"/>
        <v>12.025749091398891</v>
      </c>
      <c r="V773">
        <f t="shared" si="50"/>
        <v>8.461046030793236</v>
      </c>
      <c r="W773">
        <v>0</v>
      </c>
      <c r="X773">
        <v>0</v>
      </c>
      <c r="Y773">
        <v>0</v>
      </c>
      <c r="Z773">
        <f>'Résultat (Ln)'!F$30+'Résultat (Ln)'!F$31*Données!S773+'Résultat (Ln)'!F$32*Données!T773+'Résultat (Ln)'!F$33*Données!U773+'Résultat (Ln)'!F$34*Données!V773+'Résultat (Ln)'!F$35*Données!W773+'Résultat (Ln)'!F$36*Données!X773+'Résultat (Ln)'!F$37*Données!Y773</f>
        <v>143011.26052937142</v>
      </c>
      <c r="AA773">
        <f t="shared" si="51"/>
        <v>6988.739470628585</v>
      </c>
    </row>
    <row r="774" spans="1:27" x14ac:dyDescent="0.25">
      <c r="A774">
        <v>100000</v>
      </c>
      <c r="B774">
        <v>1</v>
      </c>
      <c r="C774">
        <v>31</v>
      </c>
      <c r="D774">
        <v>0</v>
      </c>
      <c r="E774">
        <v>197000</v>
      </c>
      <c r="F774">
        <v>3089</v>
      </c>
      <c r="G774">
        <v>1</v>
      </c>
      <c r="H774">
        <v>0</v>
      </c>
      <c r="I774">
        <v>0</v>
      </c>
      <c r="J774">
        <v>20</v>
      </c>
      <c r="K774">
        <v>1</v>
      </c>
      <c r="L774">
        <f>Résultats!G$32+Résultats!G$33*Données!C774+Résultats!G$34*Données!D774+Résultats!G$35*Données!E774+Résultats!G$36*Données!F774+Résultats!G$37*Données!G774+Résultats!G$38*Données!H774+Résultats!G$39*Données!I774</f>
        <v>137162.62533090948</v>
      </c>
      <c r="M774">
        <f t="shared" si="48"/>
        <v>-37162.625330909475</v>
      </c>
      <c r="Q774">
        <v>255000</v>
      </c>
      <c r="R774">
        <v>1</v>
      </c>
      <c r="S774">
        <v>43</v>
      </c>
      <c r="T774">
        <v>0</v>
      </c>
      <c r="U774">
        <f t="shared" si="49"/>
        <v>12.891691559669328</v>
      </c>
      <c r="V774">
        <f t="shared" si="50"/>
        <v>8.656259239539235</v>
      </c>
      <c r="W774">
        <v>1</v>
      </c>
      <c r="X774">
        <v>0</v>
      </c>
      <c r="Y774">
        <v>1</v>
      </c>
      <c r="Z774">
        <f>'Résultat (Ln)'!F$30+'Résultat (Ln)'!F$31*Données!S774+'Résultat (Ln)'!F$32*Données!T774+'Résultat (Ln)'!F$33*Données!U774+'Résultat (Ln)'!F$34*Données!V774+'Résultat (Ln)'!F$35*Données!W774+'Résultat (Ln)'!F$36*Données!X774+'Résultat (Ln)'!F$37*Données!Y774</f>
        <v>266022.52972713317</v>
      </c>
      <c r="AA774">
        <f t="shared" si="51"/>
        <v>-11022.529727133166</v>
      </c>
    </row>
    <row r="775" spans="1:27" x14ac:dyDescent="0.25">
      <c r="A775">
        <v>122000</v>
      </c>
      <c r="B775">
        <v>1</v>
      </c>
      <c r="C775">
        <v>42.200000762939453</v>
      </c>
      <c r="D775">
        <v>0</v>
      </c>
      <c r="E775">
        <v>172000</v>
      </c>
      <c r="F775">
        <v>3463</v>
      </c>
      <c r="G775">
        <v>0</v>
      </c>
      <c r="H775">
        <v>0</v>
      </c>
      <c r="I775">
        <v>0</v>
      </c>
      <c r="J775">
        <v>37.099998474121087</v>
      </c>
      <c r="K775">
        <v>0</v>
      </c>
      <c r="L775">
        <f>Résultats!G$32+Résultats!G$33*Données!C775+Résultats!G$34*Données!D775+Résultats!G$35*Données!E775+Résultats!G$36*Données!F775+Résultats!G$37*Données!G775+Résultats!G$38*Données!H775+Résultats!G$39*Données!I775</f>
        <v>132062.01673032259</v>
      </c>
      <c r="M775">
        <f t="shared" si="48"/>
        <v>-10062.01673032259</v>
      </c>
      <c r="Q775">
        <v>100000</v>
      </c>
      <c r="R775">
        <v>1</v>
      </c>
      <c r="S775">
        <v>31</v>
      </c>
      <c r="T775">
        <v>0</v>
      </c>
      <c r="U775">
        <f t="shared" si="49"/>
        <v>12.190959007720126</v>
      </c>
      <c r="V775">
        <f t="shared" si="50"/>
        <v>8.035602692918582</v>
      </c>
      <c r="W775">
        <v>1</v>
      </c>
      <c r="X775">
        <v>0</v>
      </c>
      <c r="Y775">
        <v>0</v>
      </c>
      <c r="Z775">
        <f>'Résultat (Ln)'!F$30+'Résultat (Ln)'!F$31*Données!S775+'Résultat (Ln)'!F$32*Données!T775+'Résultat (Ln)'!F$33*Données!U775+'Résultat (Ln)'!F$34*Données!V775+'Résultat (Ln)'!F$35*Données!W775+'Résultat (Ln)'!F$36*Données!X775+'Résultat (Ln)'!F$37*Données!Y775</f>
        <v>144748.87942222477</v>
      </c>
      <c r="AA775">
        <f t="shared" si="51"/>
        <v>-44748.879422224767</v>
      </c>
    </row>
    <row r="776" spans="1:27" x14ac:dyDescent="0.25">
      <c r="A776">
        <v>139000</v>
      </c>
      <c r="B776">
        <v>1</v>
      </c>
      <c r="C776">
        <v>37</v>
      </c>
      <c r="D776">
        <v>1</v>
      </c>
      <c r="E776">
        <v>155000</v>
      </c>
      <c r="F776">
        <v>6794</v>
      </c>
      <c r="G776">
        <v>1</v>
      </c>
      <c r="H776">
        <v>0</v>
      </c>
      <c r="I776">
        <v>1</v>
      </c>
      <c r="J776">
        <v>20</v>
      </c>
      <c r="K776">
        <v>1</v>
      </c>
      <c r="L776">
        <f>Résultats!G$32+Résultats!G$33*Données!C776+Résultats!G$34*Données!D776+Résultats!G$35*Données!E776+Résultats!G$36*Données!F776+Résultats!G$37*Données!G776+Résultats!G$38*Données!H776+Résultats!G$39*Données!I776</f>
        <v>146395.81808375052</v>
      </c>
      <c r="M776">
        <f t="shared" si="48"/>
        <v>-7395.8180837505206</v>
      </c>
      <c r="Q776">
        <v>122000</v>
      </c>
      <c r="R776">
        <v>1</v>
      </c>
      <c r="S776">
        <v>42.200000762939453</v>
      </c>
      <c r="T776">
        <v>0</v>
      </c>
      <c r="U776">
        <f t="shared" si="49"/>
        <v>12.05524975579559</v>
      </c>
      <c r="V776">
        <f t="shared" si="50"/>
        <v>8.1498905444024228</v>
      </c>
      <c r="W776">
        <v>0</v>
      </c>
      <c r="X776">
        <v>0</v>
      </c>
      <c r="Y776">
        <v>0</v>
      </c>
      <c r="Z776">
        <f>'Résultat (Ln)'!F$30+'Résultat (Ln)'!F$31*Données!S776+'Résultat (Ln)'!F$32*Données!T776+'Résultat (Ln)'!F$33*Données!U776+'Résultat (Ln)'!F$34*Données!V776+'Résultat (Ln)'!F$35*Données!W776+'Résultat (Ln)'!F$36*Données!X776+'Résultat (Ln)'!F$37*Données!Y776</f>
        <v>142579.57163680697</v>
      </c>
      <c r="AA776">
        <f t="shared" si="51"/>
        <v>-20579.57163680697</v>
      </c>
    </row>
    <row r="777" spans="1:27" x14ac:dyDescent="0.25">
      <c r="A777">
        <v>112000</v>
      </c>
      <c r="B777">
        <v>1</v>
      </c>
      <c r="C777">
        <v>36</v>
      </c>
      <c r="D777">
        <v>1</v>
      </c>
      <c r="E777">
        <v>140000</v>
      </c>
      <c r="F777">
        <v>3812</v>
      </c>
      <c r="G777">
        <v>0</v>
      </c>
      <c r="H777">
        <v>0</v>
      </c>
      <c r="I777">
        <v>0</v>
      </c>
      <c r="J777">
        <v>31</v>
      </c>
      <c r="K777">
        <v>0</v>
      </c>
      <c r="L777">
        <f>Résultats!G$32+Résultats!G$33*Données!C777+Résultats!G$34*Données!D777+Résultats!G$35*Données!E777+Résultats!G$36*Données!F777+Résultats!G$37*Données!G777+Résultats!G$38*Données!H777+Résultats!G$39*Données!I777</f>
        <v>115522.29141184218</v>
      </c>
      <c r="M777">
        <f t="shared" si="48"/>
        <v>-3522.2914118421759</v>
      </c>
      <c r="Q777">
        <v>139000</v>
      </c>
      <c r="R777">
        <v>1</v>
      </c>
      <c r="S777">
        <v>37</v>
      </c>
      <c r="T777">
        <v>1</v>
      </c>
      <c r="U777">
        <f t="shared" si="49"/>
        <v>11.951180395901384</v>
      </c>
      <c r="V777">
        <f t="shared" si="50"/>
        <v>8.8237951487205297</v>
      </c>
      <c r="W777">
        <v>1</v>
      </c>
      <c r="X777">
        <v>0</v>
      </c>
      <c r="Y777">
        <v>1</v>
      </c>
      <c r="Z777">
        <f>'Résultat (Ln)'!F$30+'Résultat (Ln)'!F$31*Données!S777+'Résultat (Ln)'!F$32*Données!T777+'Résultat (Ln)'!F$33*Données!U777+'Résultat (Ln)'!F$34*Données!V777+'Résultat (Ln)'!F$35*Données!W777+'Résultat (Ln)'!F$36*Données!X777+'Résultat (Ln)'!F$37*Données!Y777</f>
        <v>166919.14642158584</v>
      </c>
      <c r="AA777">
        <f t="shared" si="51"/>
        <v>-27919.146421585843</v>
      </c>
    </row>
    <row r="778" spans="1:27" x14ac:dyDescent="0.25">
      <c r="A778">
        <v>550000</v>
      </c>
      <c r="B778">
        <v>1</v>
      </c>
      <c r="C778">
        <v>47</v>
      </c>
      <c r="D778">
        <v>0</v>
      </c>
      <c r="E778">
        <v>1450000</v>
      </c>
      <c r="F778">
        <v>32000</v>
      </c>
      <c r="G778">
        <v>1</v>
      </c>
      <c r="H778">
        <v>0</v>
      </c>
      <c r="I778">
        <v>1</v>
      </c>
      <c r="J778">
        <v>15</v>
      </c>
      <c r="K778">
        <v>1</v>
      </c>
      <c r="L778">
        <f>Résultats!G$32+Résultats!G$33*Données!C778+Résultats!G$34*Données!D778+Résultats!G$35*Données!E778+Résultats!G$36*Données!F778+Résultats!G$37*Données!G778+Résultats!G$38*Données!H778+Résultats!G$39*Données!I778</f>
        <v>806582.6244319214</v>
      </c>
      <c r="M778">
        <f t="shared" si="48"/>
        <v>-256582.6244319214</v>
      </c>
      <c r="Q778">
        <v>112000</v>
      </c>
      <c r="R778">
        <v>1</v>
      </c>
      <c r="S778">
        <v>36</v>
      </c>
      <c r="T778">
        <v>1</v>
      </c>
      <c r="U778">
        <f t="shared" si="49"/>
        <v>11.849397701591441</v>
      </c>
      <c r="V778">
        <f t="shared" si="50"/>
        <v>8.2459092647740935</v>
      </c>
      <c r="W778">
        <v>0</v>
      </c>
      <c r="X778">
        <v>0</v>
      </c>
      <c r="Y778">
        <v>0</v>
      </c>
      <c r="Z778">
        <f>'Résultat (Ln)'!F$30+'Résultat (Ln)'!F$31*Données!S778+'Résultat (Ln)'!F$32*Données!T778+'Résultat (Ln)'!F$33*Données!U778+'Résultat (Ln)'!F$34*Données!V778+'Résultat (Ln)'!F$35*Données!W778+'Résultat (Ln)'!F$36*Données!X778+'Résultat (Ln)'!F$37*Données!Y778</f>
        <v>119978.22229215951</v>
      </c>
      <c r="AA778">
        <f t="shared" si="51"/>
        <v>-7978.2222921595094</v>
      </c>
    </row>
    <row r="779" spans="1:27" x14ac:dyDescent="0.25">
      <c r="A779">
        <v>96000</v>
      </c>
      <c r="B779">
        <v>1</v>
      </c>
      <c r="C779">
        <v>33</v>
      </c>
      <c r="D779">
        <v>0</v>
      </c>
      <c r="E779">
        <v>120000</v>
      </c>
      <c r="F779">
        <v>3315</v>
      </c>
      <c r="G779">
        <v>1</v>
      </c>
      <c r="H779">
        <v>0</v>
      </c>
      <c r="I779">
        <v>1</v>
      </c>
      <c r="J779">
        <v>29</v>
      </c>
      <c r="K779">
        <v>1</v>
      </c>
      <c r="L779">
        <f>Résultats!G$32+Résultats!G$33*Données!C779+Résultats!G$34*Données!D779+Résultats!G$35*Données!E779+Résultats!G$36*Données!F779+Résultats!G$37*Données!G779+Résultats!G$38*Données!H779+Résultats!G$39*Données!I779</f>
        <v>113867.96120298284</v>
      </c>
      <c r="M779">
        <f t="shared" si="48"/>
        <v>-17867.961202982842</v>
      </c>
      <c r="Q779">
        <v>550000</v>
      </c>
      <c r="R779">
        <v>1</v>
      </c>
      <c r="S779">
        <v>47</v>
      </c>
      <c r="T779">
        <v>0</v>
      </c>
      <c r="U779">
        <f t="shared" si="49"/>
        <v>14.187074114396758</v>
      </c>
      <c r="V779">
        <f t="shared" si="50"/>
        <v>10.373491181781864</v>
      </c>
      <c r="W779">
        <v>1</v>
      </c>
      <c r="X779">
        <v>0</v>
      </c>
      <c r="Y779">
        <v>1</v>
      </c>
      <c r="Z779">
        <f>'Résultat (Ln)'!F$30+'Résultat (Ln)'!F$31*Données!S779+'Résultat (Ln)'!F$32*Données!T779+'Résultat (Ln)'!F$33*Données!U779+'Résultat (Ln)'!F$34*Données!V779+'Résultat (Ln)'!F$35*Données!W779+'Résultat (Ln)'!F$36*Données!X779+'Résultat (Ln)'!F$37*Données!Y779</f>
        <v>457931.09163218999</v>
      </c>
      <c r="AA779">
        <f t="shared" si="51"/>
        <v>92068.908367810014</v>
      </c>
    </row>
    <row r="780" spans="1:27" x14ac:dyDescent="0.25">
      <c r="A780">
        <v>138000</v>
      </c>
      <c r="B780">
        <v>1</v>
      </c>
      <c r="C780">
        <v>35</v>
      </c>
      <c r="D780">
        <v>0</v>
      </c>
      <c r="E780">
        <v>178000</v>
      </c>
      <c r="F780">
        <v>3819</v>
      </c>
      <c r="G780">
        <v>0</v>
      </c>
      <c r="H780">
        <v>0</v>
      </c>
      <c r="I780">
        <v>0</v>
      </c>
      <c r="J780">
        <v>27</v>
      </c>
      <c r="K780">
        <v>1</v>
      </c>
      <c r="L780">
        <f>Résultats!G$32+Résultats!G$33*Données!C780+Résultats!G$34*Données!D780+Résultats!G$35*Données!E780+Résultats!G$36*Données!F780+Résultats!G$37*Données!G780+Résultats!G$38*Données!H780+Résultats!G$39*Données!I780</f>
        <v>127283.16103855375</v>
      </c>
      <c r="M780">
        <f t="shared" si="48"/>
        <v>10716.83896144625</v>
      </c>
      <c r="Q780">
        <v>96000</v>
      </c>
      <c r="R780">
        <v>1</v>
      </c>
      <c r="S780">
        <v>33</v>
      </c>
      <c r="T780">
        <v>0</v>
      </c>
      <c r="U780">
        <f t="shared" si="49"/>
        <v>11.695247021764184</v>
      </c>
      <c r="V780">
        <f t="shared" si="50"/>
        <v>8.1062129026199621</v>
      </c>
      <c r="W780">
        <v>1</v>
      </c>
      <c r="X780">
        <v>0</v>
      </c>
      <c r="Y780">
        <v>1</v>
      </c>
      <c r="Z780">
        <f>'Résultat (Ln)'!F$30+'Résultat (Ln)'!F$31*Données!S780+'Résultat (Ln)'!F$32*Données!T780+'Résultat (Ln)'!F$33*Données!U780+'Résultat (Ln)'!F$34*Données!V780+'Résultat (Ln)'!F$35*Données!W780+'Résultat (Ln)'!F$36*Données!X780+'Résultat (Ln)'!F$37*Données!Y780</f>
        <v>110122.08449819188</v>
      </c>
      <c r="AA780">
        <f t="shared" si="51"/>
        <v>-14122.084498191878</v>
      </c>
    </row>
    <row r="781" spans="1:27" x14ac:dyDescent="0.25">
      <c r="A781">
        <v>260000</v>
      </c>
      <c r="B781">
        <v>1</v>
      </c>
      <c r="C781">
        <v>37</v>
      </c>
      <c r="D781">
        <v>0</v>
      </c>
      <c r="E781">
        <v>200000</v>
      </c>
      <c r="F781">
        <v>10890</v>
      </c>
      <c r="G781">
        <v>1</v>
      </c>
      <c r="H781">
        <v>0</v>
      </c>
      <c r="I781">
        <v>0</v>
      </c>
      <c r="J781">
        <v>37</v>
      </c>
      <c r="K781">
        <v>1</v>
      </c>
      <c r="L781">
        <f>Résultats!G$32+Résultats!G$33*Données!C781+Résultats!G$34*Données!D781+Résultats!G$35*Données!E781+Résultats!G$36*Données!F781+Résultats!G$37*Données!G781+Résultats!G$38*Données!H781+Résultats!G$39*Données!I781</f>
        <v>160572.18665189488</v>
      </c>
      <c r="M781">
        <f t="shared" si="48"/>
        <v>99427.813348105119</v>
      </c>
      <c r="Q781">
        <v>138000</v>
      </c>
      <c r="R781">
        <v>1</v>
      </c>
      <c r="S781">
        <v>35</v>
      </c>
      <c r="T781">
        <v>0</v>
      </c>
      <c r="U781">
        <f t="shared" si="49"/>
        <v>12.089538829274222</v>
      </c>
      <c r="V781">
        <f t="shared" si="50"/>
        <v>8.247743887225516</v>
      </c>
      <c r="W781">
        <v>0</v>
      </c>
      <c r="X781">
        <v>0</v>
      </c>
      <c r="Y781">
        <v>0</v>
      </c>
      <c r="Z781">
        <f>'Résultat (Ln)'!F$30+'Résultat (Ln)'!F$31*Données!S781+'Résultat (Ln)'!F$32*Données!T781+'Résultat (Ln)'!F$33*Données!U781+'Résultat (Ln)'!F$34*Données!V781+'Résultat (Ln)'!F$35*Données!W781+'Résultat (Ln)'!F$36*Données!X781+'Résultat (Ln)'!F$37*Données!Y781</f>
        <v>140200.88696229691</v>
      </c>
      <c r="AA781">
        <f t="shared" si="51"/>
        <v>-2200.8869622969069</v>
      </c>
    </row>
    <row r="782" spans="1:27" x14ac:dyDescent="0.25">
      <c r="A782">
        <v>120000</v>
      </c>
      <c r="B782">
        <v>1</v>
      </c>
      <c r="C782">
        <v>31.5</v>
      </c>
      <c r="D782">
        <v>0</v>
      </c>
      <c r="E782">
        <v>140000</v>
      </c>
      <c r="F782">
        <v>4875</v>
      </c>
      <c r="G782">
        <v>0</v>
      </c>
      <c r="H782">
        <v>0</v>
      </c>
      <c r="I782">
        <v>0</v>
      </c>
      <c r="J782">
        <v>25.79000091552734</v>
      </c>
      <c r="K782">
        <v>0</v>
      </c>
      <c r="L782">
        <f>Résultats!G$32+Résultats!G$33*Données!C782+Résultats!G$34*Données!D782+Résultats!G$35*Données!E782+Résultats!G$36*Données!F782+Résultats!G$37*Données!G782+Résultats!G$38*Données!H782+Résultats!G$39*Données!I782</f>
        <v>107564.89396032027</v>
      </c>
      <c r="M782">
        <f t="shared" si="48"/>
        <v>12435.106039679726</v>
      </c>
      <c r="Q782">
        <v>260000</v>
      </c>
      <c r="R782">
        <v>1</v>
      </c>
      <c r="S782">
        <v>37</v>
      </c>
      <c r="T782">
        <v>0</v>
      </c>
      <c r="U782">
        <f t="shared" si="49"/>
        <v>12.206072645530174</v>
      </c>
      <c r="V782">
        <f t="shared" si="50"/>
        <v>9.2956002159270064</v>
      </c>
      <c r="W782">
        <v>1</v>
      </c>
      <c r="X782">
        <v>0</v>
      </c>
      <c r="Y782">
        <v>0</v>
      </c>
      <c r="Z782">
        <f>'Résultat (Ln)'!F$30+'Résultat (Ln)'!F$31*Données!S782+'Résultat (Ln)'!F$32*Données!T782+'Résultat (Ln)'!F$33*Données!U782+'Résultat (Ln)'!F$34*Données!V782+'Résultat (Ln)'!F$35*Données!W782+'Résultat (Ln)'!F$36*Données!X782+'Résultat (Ln)'!F$37*Données!Y782</f>
        <v>189038.86976728242</v>
      </c>
      <c r="AA782">
        <f t="shared" si="51"/>
        <v>70961.13023271758</v>
      </c>
    </row>
    <row r="783" spans="1:27" x14ac:dyDescent="0.25">
      <c r="A783">
        <v>219000</v>
      </c>
      <c r="B783">
        <v>1</v>
      </c>
      <c r="C783">
        <v>31</v>
      </c>
      <c r="D783">
        <v>0</v>
      </c>
      <c r="E783">
        <v>292000</v>
      </c>
      <c r="F783">
        <v>11666</v>
      </c>
      <c r="G783">
        <v>1</v>
      </c>
      <c r="H783">
        <v>0</v>
      </c>
      <c r="I783">
        <v>0</v>
      </c>
      <c r="J783">
        <v>22</v>
      </c>
      <c r="K783">
        <v>1</v>
      </c>
      <c r="L783">
        <f>Résultats!G$32+Résultats!G$33*Données!C783+Résultats!G$34*Données!D783+Résultats!G$35*Données!E783+Résultats!G$36*Données!F783+Résultats!G$37*Données!G783+Résultats!G$38*Données!H783+Résultats!G$39*Données!I783</f>
        <v>198143.58809089608</v>
      </c>
      <c r="M783">
        <f t="shared" si="48"/>
        <v>20856.411909103917</v>
      </c>
      <c r="Q783">
        <v>120000</v>
      </c>
      <c r="R783">
        <v>1</v>
      </c>
      <c r="S783">
        <v>31.5</v>
      </c>
      <c r="T783">
        <v>0</v>
      </c>
      <c r="U783">
        <f t="shared" si="49"/>
        <v>11.849397701591441</v>
      </c>
      <c r="V783">
        <f t="shared" si="50"/>
        <v>8.4918753834319478</v>
      </c>
      <c r="W783">
        <v>0</v>
      </c>
      <c r="X783">
        <v>0</v>
      </c>
      <c r="Y783">
        <v>0</v>
      </c>
      <c r="Z783">
        <f>'Résultat (Ln)'!F$30+'Résultat (Ln)'!F$31*Données!S783+'Résultat (Ln)'!F$32*Données!T783+'Résultat (Ln)'!F$33*Données!U783+'Résultat (Ln)'!F$34*Données!V783+'Résultat (Ln)'!F$35*Données!W783+'Résultat (Ln)'!F$36*Données!X783+'Résultat (Ln)'!F$37*Données!Y783</f>
        <v>117028.54075271799</v>
      </c>
      <c r="AA783">
        <f t="shared" si="51"/>
        <v>2971.4592472820077</v>
      </c>
    </row>
    <row r="784" spans="1:27" x14ac:dyDescent="0.25">
      <c r="A784">
        <v>150000</v>
      </c>
      <c r="B784">
        <v>1</v>
      </c>
      <c r="C784">
        <v>25</v>
      </c>
      <c r="D784">
        <v>0</v>
      </c>
      <c r="E784">
        <v>235000</v>
      </c>
      <c r="F784">
        <v>12941</v>
      </c>
      <c r="G784">
        <v>0</v>
      </c>
      <c r="H784">
        <v>0</v>
      </c>
      <c r="I784">
        <v>1</v>
      </c>
      <c r="J784">
        <v>14.5</v>
      </c>
      <c r="K784">
        <v>0</v>
      </c>
      <c r="L784">
        <f>Résultats!G$32+Résultats!G$33*Données!C784+Résultats!G$34*Données!D784+Résultats!G$35*Données!E784+Résultats!G$36*Données!F784+Résultats!G$37*Données!G784+Résultats!G$38*Données!H784+Résultats!G$39*Données!I784</f>
        <v>170014.74676910919</v>
      </c>
      <c r="M784">
        <f t="shared" si="48"/>
        <v>-20014.746769109188</v>
      </c>
      <c r="Q784">
        <v>219000</v>
      </c>
      <c r="R784">
        <v>1</v>
      </c>
      <c r="S784">
        <v>31</v>
      </c>
      <c r="T784">
        <v>0</v>
      </c>
      <c r="U784">
        <f t="shared" si="49"/>
        <v>12.584509081250419</v>
      </c>
      <c r="V784">
        <f t="shared" si="50"/>
        <v>9.3644339073135825</v>
      </c>
      <c r="W784">
        <v>1</v>
      </c>
      <c r="X784">
        <v>0</v>
      </c>
      <c r="Y784">
        <v>0</v>
      </c>
      <c r="Z784">
        <f>'Résultat (Ln)'!F$30+'Résultat (Ln)'!F$31*Données!S784+'Résultat (Ln)'!F$32*Données!T784+'Résultat (Ln)'!F$33*Données!U784+'Résultat (Ln)'!F$34*Données!V784+'Résultat (Ln)'!F$35*Données!W784+'Résultat (Ln)'!F$36*Données!X784+'Résultat (Ln)'!F$37*Données!Y784</f>
        <v>224203.82747133114</v>
      </c>
      <c r="AA784">
        <f t="shared" si="51"/>
        <v>-5203.8274713311403</v>
      </c>
    </row>
    <row r="785" spans="1:27" x14ac:dyDescent="0.25">
      <c r="A785">
        <v>120000</v>
      </c>
      <c r="B785">
        <v>1</v>
      </c>
      <c r="C785">
        <v>12.60000038146973</v>
      </c>
      <c r="D785">
        <v>0</v>
      </c>
      <c r="E785">
        <v>440000</v>
      </c>
      <c r="F785">
        <v>5819</v>
      </c>
      <c r="G785">
        <v>1</v>
      </c>
      <c r="H785">
        <v>0</v>
      </c>
      <c r="I785">
        <v>0</v>
      </c>
      <c r="J785">
        <v>12.39999961853027</v>
      </c>
      <c r="K785">
        <v>1</v>
      </c>
      <c r="L785">
        <f>Résultats!G$32+Résultats!G$33*Données!C785+Résultats!G$34*Données!D785+Résultats!G$35*Données!E785+Résultats!G$36*Données!F785+Résultats!G$37*Données!G785+Résultats!G$38*Données!H785+Résultats!G$39*Données!I785</f>
        <v>234786.89458928627</v>
      </c>
      <c r="M785">
        <f t="shared" si="48"/>
        <v>-114786.89458928627</v>
      </c>
      <c r="Q785">
        <v>150000</v>
      </c>
      <c r="R785">
        <v>1</v>
      </c>
      <c r="S785">
        <v>25</v>
      </c>
      <c r="T785">
        <v>0</v>
      </c>
      <c r="U785">
        <f t="shared" si="49"/>
        <v>12.367340793126296</v>
      </c>
      <c r="V785">
        <f t="shared" si="50"/>
        <v>9.4681558448216698</v>
      </c>
      <c r="W785">
        <v>0</v>
      </c>
      <c r="X785">
        <v>0</v>
      </c>
      <c r="Y785">
        <v>1</v>
      </c>
      <c r="Z785">
        <f>'Résultat (Ln)'!F$30+'Résultat (Ln)'!F$31*Données!S785+'Résultat (Ln)'!F$32*Données!T785+'Résultat (Ln)'!F$33*Données!U785+'Résultat (Ln)'!F$34*Données!V785+'Résultat (Ln)'!F$35*Données!W785+'Résultat (Ln)'!F$36*Données!X785+'Résultat (Ln)'!F$37*Données!Y785</f>
        <v>206073.96804084396</v>
      </c>
      <c r="AA785">
        <f t="shared" si="51"/>
        <v>-56073.96804084396</v>
      </c>
    </row>
    <row r="786" spans="1:27" x14ac:dyDescent="0.25">
      <c r="A786">
        <v>140000</v>
      </c>
      <c r="B786">
        <v>1</v>
      </c>
      <c r="C786">
        <v>36</v>
      </c>
      <c r="D786">
        <v>0</v>
      </c>
      <c r="E786">
        <v>95000</v>
      </c>
      <c r="F786">
        <v>2693</v>
      </c>
      <c r="G786">
        <v>0</v>
      </c>
      <c r="H786">
        <v>0</v>
      </c>
      <c r="I786">
        <v>1</v>
      </c>
      <c r="J786">
        <v>27</v>
      </c>
      <c r="K786">
        <v>0</v>
      </c>
      <c r="L786">
        <f>Résultats!G$32+Résultats!G$33*Données!C786+Résultats!G$34*Données!D786+Résultats!G$35*Données!E786+Résultats!G$36*Données!F786+Résultats!G$37*Données!G786+Résultats!G$38*Données!H786+Résultats!G$39*Données!I786</f>
        <v>97418.218400971775</v>
      </c>
      <c r="M786">
        <f t="shared" si="48"/>
        <v>42581.781599028225</v>
      </c>
      <c r="Q786">
        <v>120000</v>
      </c>
      <c r="R786">
        <v>1</v>
      </c>
      <c r="S786">
        <v>12.60000038146973</v>
      </c>
      <c r="T786">
        <v>0</v>
      </c>
      <c r="U786">
        <f t="shared" si="49"/>
        <v>12.994530005894443</v>
      </c>
      <c r="V786">
        <f t="shared" si="50"/>
        <v>8.66888370465667</v>
      </c>
      <c r="W786">
        <v>1</v>
      </c>
      <c r="X786">
        <v>0</v>
      </c>
      <c r="Y786">
        <v>0</v>
      </c>
      <c r="Z786">
        <f>'Résultat (Ln)'!F$30+'Résultat (Ln)'!F$31*Données!S786+'Résultat (Ln)'!F$32*Données!T786+'Résultat (Ln)'!F$33*Données!U786+'Résultat (Ln)'!F$34*Données!V786+'Résultat (Ln)'!F$35*Données!W786+'Résultat (Ln)'!F$36*Données!X786+'Résultat (Ln)'!F$37*Données!Y786</f>
        <v>226163.44242401066</v>
      </c>
      <c r="AA786">
        <f t="shared" si="51"/>
        <v>-106163.44242401066</v>
      </c>
    </row>
    <row r="787" spans="1:27" x14ac:dyDescent="0.25">
      <c r="A787">
        <v>140000</v>
      </c>
      <c r="B787">
        <v>1</v>
      </c>
      <c r="C787">
        <v>38.099998474121087</v>
      </c>
      <c r="D787">
        <v>0</v>
      </c>
      <c r="E787">
        <v>155000</v>
      </c>
      <c r="F787">
        <v>2510</v>
      </c>
      <c r="G787">
        <v>1</v>
      </c>
      <c r="H787">
        <v>0</v>
      </c>
      <c r="I787">
        <v>0</v>
      </c>
      <c r="J787">
        <v>29.60000038146973</v>
      </c>
      <c r="K787">
        <v>1</v>
      </c>
      <c r="L787">
        <f>Résultats!G$32+Résultats!G$33*Données!C787+Résultats!G$34*Données!D787+Résultats!G$35*Données!E787+Résultats!G$36*Données!F787+Résultats!G$37*Données!G787+Résultats!G$38*Données!H787+Résultats!G$39*Données!I787</f>
        <v>124584.16710089082</v>
      </c>
      <c r="M787">
        <f t="shared" si="48"/>
        <v>15415.832899109184</v>
      </c>
      <c r="Q787">
        <v>140000</v>
      </c>
      <c r="R787">
        <v>1</v>
      </c>
      <c r="S787">
        <v>36</v>
      </c>
      <c r="T787">
        <v>0</v>
      </c>
      <c r="U787">
        <f t="shared" si="49"/>
        <v>11.461632170582678</v>
      </c>
      <c r="V787">
        <f t="shared" si="50"/>
        <v>7.8984110928115987</v>
      </c>
      <c r="W787">
        <v>0</v>
      </c>
      <c r="X787">
        <v>0</v>
      </c>
      <c r="Y787">
        <v>1</v>
      </c>
      <c r="Z787">
        <f>'Résultat (Ln)'!F$30+'Résultat (Ln)'!F$31*Données!S787+'Résultat (Ln)'!F$32*Données!T787+'Résultat (Ln)'!F$33*Données!U787+'Résultat (Ln)'!F$34*Données!V787+'Résultat (Ln)'!F$35*Données!W787+'Résultat (Ln)'!F$36*Données!X787+'Résultat (Ln)'!F$37*Données!Y787</f>
        <v>78403.733735446731</v>
      </c>
      <c r="AA787">
        <f t="shared" si="51"/>
        <v>61596.266264553269</v>
      </c>
    </row>
    <row r="788" spans="1:27" x14ac:dyDescent="0.25">
      <c r="A788">
        <v>40000</v>
      </c>
      <c r="B788">
        <v>1</v>
      </c>
      <c r="C788">
        <v>21</v>
      </c>
      <c r="D788">
        <v>0</v>
      </c>
      <c r="E788">
        <v>275000</v>
      </c>
      <c r="F788">
        <v>5596</v>
      </c>
      <c r="G788">
        <v>0</v>
      </c>
      <c r="H788">
        <v>0</v>
      </c>
      <c r="I788">
        <v>0</v>
      </c>
      <c r="J788">
        <v>17</v>
      </c>
      <c r="K788">
        <v>0</v>
      </c>
      <c r="L788">
        <f>Résultats!G$32+Résultats!G$33*Données!C788+Résultats!G$34*Données!D788+Résultats!G$35*Données!E788+Résultats!G$36*Données!F788+Résultats!G$37*Données!G788+Résultats!G$38*Données!H788+Résultats!G$39*Données!I788</f>
        <v>159939.69094109774</v>
      </c>
      <c r="M788">
        <f t="shared" si="48"/>
        <v>-119939.69094109774</v>
      </c>
      <c r="Q788">
        <v>140000</v>
      </c>
      <c r="R788">
        <v>1</v>
      </c>
      <c r="S788">
        <v>38.099998474121087</v>
      </c>
      <c r="T788">
        <v>0</v>
      </c>
      <c r="U788">
        <f t="shared" si="49"/>
        <v>11.951180395901384</v>
      </c>
      <c r="V788">
        <f t="shared" si="50"/>
        <v>7.8280380321258294</v>
      </c>
      <c r="W788">
        <v>1</v>
      </c>
      <c r="X788">
        <v>0</v>
      </c>
      <c r="Y788">
        <v>0</v>
      </c>
      <c r="Z788">
        <f>'Résultat (Ln)'!F$30+'Résultat (Ln)'!F$31*Données!S788+'Résultat (Ln)'!F$32*Données!T788+'Résultat (Ln)'!F$33*Données!U788+'Résultat (Ln)'!F$34*Données!V788+'Résultat (Ln)'!F$35*Données!W788+'Résultat (Ln)'!F$36*Données!X788+'Résultat (Ln)'!F$37*Données!Y788</f>
        <v>121900.84885285604</v>
      </c>
      <c r="AA788">
        <f t="shared" si="51"/>
        <v>18099.151147143959</v>
      </c>
    </row>
    <row r="789" spans="1:27" x14ac:dyDescent="0.25">
      <c r="A789">
        <v>140000</v>
      </c>
      <c r="B789">
        <v>1</v>
      </c>
      <c r="C789">
        <v>27.20000076293945</v>
      </c>
      <c r="D789">
        <v>0</v>
      </c>
      <c r="E789">
        <v>210000</v>
      </c>
      <c r="F789">
        <v>4995</v>
      </c>
      <c r="G789">
        <v>1</v>
      </c>
      <c r="H789">
        <v>0</v>
      </c>
      <c r="I789">
        <v>0</v>
      </c>
      <c r="J789">
        <v>27</v>
      </c>
      <c r="K789">
        <v>1</v>
      </c>
      <c r="L789">
        <f>Résultats!G$32+Résultats!G$33*Données!C789+Résultats!G$34*Données!D789+Résultats!G$35*Données!E789+Résultats!G$36*Données!F789+Résultats!G$37*Données!G789+Résultats!G$38*Données!H789+Résultats!G$39*Données!I789</f>
        <v>142561.49397850272</v>
      </c>
      <c r="M789">
        <f t="shared" si="48"/>
        <v>-2561.4939785027236</v>
      </c>
      <c r="Q789">
        <v>40000</v>
      </c>
      <c r="R789">
        <v>1</v>
      </c>
      <c r="S789">
        <v>21</v>
      </c>
      <c r="T789">
        <v>0</v>
      </c>
      <c r="U789">
        <f t="shared" si="49"/>
        <v>12.524526376648708</v>
      </c>
      <c r="V789">
        <f t="shared" si="50"/>
        <v>8.6298073357853724</v>
      </c>
      <c r="W789">
        <v>0</v>
      </c>
      <c r="X789">
        <v>0</v>
      </c>
      <c r="Y789">
        <v>0</v>
      </c>
      <c r="Z789">
        <f>'Résultat (Ln)'!F$30+'Résultat (Ln)'!F$31*Données!S789+'Résultat (Ln)'!F$32*Données!T789+'Résultat (Ln)'!F$33*Données!U789+'Résultat (Ln)'!F$34*Données!V789+'Résultat (Ln)'!F$35*Données!W789+'Résultat (Ln)'!F$36*Données!X789+'Résultat (Ln)'!F$37*Données!Y789</f>
        <v>180436.32224844294</v>
      </c>
      <c r="AA789">
        <f t="shared" si="51"/>
        <v>-140436.32224844294</v>
      </c>
    </row>
    <row r="790" spans="1:27" x14ac:dyDescent="0.25">
      <c r="A790">
        <v>230000</v>
      </c>
      <c r="B790">
        <v>1</v>
      </c>
      <c r="C790">
        <v>41</v>
      </c>
      <c r="D790">
        <v>0</v>
      </c>
      <c r="E790">
        <v>245000</v>
      </c>
      <c r="F790">
        <v>3866</v>
      </c>
      <c r="G790">
        <v>1</v>
      </c>
      <c r="H790">
        <v>0</v>
      </c>
      <c r="I790">
        <v>1</v>
      </c>
      <c r="J790">
        <v>33</v>
      </c>
      <c r="K790">
        <v>1</v>
      </c>
      <c r="L790">
        <f>Résultats!G$32+Résultats!G$33*Données!C790+Résultats!G$34*Données!D790+Résultats!G$35*Données!E790+Résultats!G$36*Données!F790+Résultats!G$37*Données!G790+Résultats!G$38*Données!H790+Résultats!G$39*Données!I790</f>
        <v>182494.20365853369</v>
      </c>
      <c r="M790">
        <f t="shared" si="48"/>
        <v>47505.79634146631</v>
      </c>
      <c r="Q790">
        <v>140000</v>
      </c>
      <c r="R790">
        <v>1</v>
      </c>
      <c r="S790">
        <v>27.20000076293945</v>
      </c>
      <c r="T790">
        <v>0</v>
      </c>
      <c r="U790">
        <f t="shared" si="49"/>
        <v>12.254862809699606</v>
      </c>
      <c r="V790">
        <f t="shared" si="50"/>
        <v>8.5161926910826544</v>
      </c>
      <c r="W790">
        <v>1</v>
      </c>
      <c r="X790">
        <v>0</v>
      </c>
      <c r="Y790">
        <v>0</v>
      </c>
      <c r="Z790">
        <f>'Résultat (Ln)'!F$30+'Résultat (Ln)'!F$31*Données!S790+'Résultat (Ln)'!F$32*Données!T790+'Résultat (Ln)'!F$33*Données!U790+'Résultat (Ln)'!F$34*Données!V790+'Résultat (Ln)'!F$35*Données!W790+'Résultat (Ln)'!F$36*Données!X790+'Résultat (Ln)'!F$37*Données!Y790</f>
        <v>160433.85646802376</v>
      </c>
      <c r="AA790">
        <f t="shared" si="51"/>
        <v>-20433.856468023761</v>
      </c>
    </row>
    <row r="791" spans="1:27" x14ac:dyDescent="0.25">
      <c r="A791">
        <v>140000</v>
      </c>
      <c r="B791">
        <v>1</v>
      </c>
      <c r="C791">
        <v>19</v>
      </c>
      <c r="D791">
        <v>0</v>
      </c>
      <c r="E791">
        <v>340000</v>
      </c>
      <c r="F791">
        <v>10518</v>
      </c>
      <c r="G791">
        <v>1</v>
      </c>
      <c r="H791">
        <v>0</v>
      </c>
      <c r="I791">
        <v>0</v>
      </c>
      <c r="J791">
        <v>12</v>
      </c>
      <c r="K791">
        <v>1</v>
      </c>
      <c r="L791">
        <f>Résultats!G$32+Résultats!G$33*Données!C791+Résultats!G$34*Données!D791+Résultats!G$35*Données!E791+Résultats!G$36*Données!F791+Résultats!G$37*Données!G791+Résultats!G$38*Données!H791+Résultats!G$39*Données!I791</f>
        <v>204548.72054188134</v>
      </c>
      <c r="M791">
        <f t="shared" si="48"/>
        <v>-64548.720541881339</v>
      </c>
      <c r="Q791">
        <v>230000</v>
      </c>
      <c r="R791">
        <v>1</v>
      </c>
      <c r="S791">
        <v>41</v>
      </c>
      <c r="T791">
        <v>0</v>
      </c>
      <c r="U791">
        <f t="shared" si="49"/>
        <v>12.409013489526863</v>
      </c>
      <c r="V791">
        <f t="shared" si="50"/>
        <v>8.2599756597682763</v>
      </c>
      <c r="W791">
        <v>1</v>
      </c>
      <c r="X791">
        <v>0</v>
      </c>
      <c r="Y791">
        <v>1</v>
      </c>
      <c r="Z791">
        <f>'Résultat (Ln)'!F$30+'Résultat (Ln)'!F$31*Données!S791+'Résultat (Ln)'!F$32*Données!T791+'Résultat (Ln)'!F$33*Données!U791+'Résultat (Ln)'!F$34*Données!V791+'Résultat (Ln)'!F$35*Données!W791+'Résultat (Ln)'!F$36*Données!X791+'Résultat (Ln)'!F$37*Données!Y791</f>
        <v>200723.41147497177</v>
      </c>
      <c r="AA791">
        <f t="shared" si="51"/>
        <v>29276.58852502823</v>
      </c>
    </row>
    <row r="792" spans="1:27" x14ac:dyDescent="0.25">
      <c r="A792">
        <v>330000</v>
      </c>
      <c r="B792">
        <v>1</v>
      </c>
      <c r="C792">
        <v>41</v>
      </c>
      <c r="D792">
        <v>0</v>
      </c>
      <c r="E792">
        <v>510000</v>
      </c>
      <c r="F792">
        <v>9983</v>
      </c>
      <c r="G792">
        <v>1</v>
      </c>
      <c r="H792">
        <v>0</v>
      </c>
      <c r="I792">
        <v>1</v>
      </c>
      <c r="J792">
        <v>33</v>
      </c>
      <c r="K792">
        <v>1</v>
      </c>
      <c r="L792">
        <f>Résultats!G$32+Résultats!G$33*Données!C792+Résultats!G$34*Données!D792+Résultats!G$35*Données!E792+Résultats!G$36*Données!F792+Résultats!G$37*Données!G792+Résultats!G$38*Données!H792+Résultats!G$39*Données!I792</f>
        <v>318090.26517310634</v>
      </c>
      <c r="M792">
        <f t="shared" si="48"/>
        <v>11909.734826893662</v>
      </c>
      <c r="Q792">
        <v>140000</v>
      </c>
      <c r="R792">
        <v>1</v>
      </c>
      <c r="S792">
        <v>19</v>
      </c>
      <c r="T792">
        <v>0</v>
      </c>
      <c r="U792">
        <f t="shared" si="49"/>
        <v>12.736700896592344</v>
      </c>
      <c r="V792">
        <f t="shared" si="50"/>
        <v>9.2608433541492889</v>
      </c>
      <c r="W792">
        <v>1</v>
      </c>
      <c r="X792">
        <v>0</v>
      </c>
      <c r="Y792">
        <v>0</v>
      </c>
      <c r="Z792">
        <f>'Résultat (Ln)'!F$30+'Résultat (Ln)'!F$31*Données!S792+'Résultat (Ln)'!F$32*Données!T792+'Résultat (Ln)'!F$33*Données!U792+'Résultat (Ln)'!F$34*Données!V792+'Résultat (Ln)'!F$35*Données!W792+'Résultat (Ln)'!F$36*Données!X792+'Résultat (Ln)'!F$37*Données!Y792</f>
        <v>222948.344484061</v>
      </c>
      <c r="AA792">
        <f t="shared" si="51"/>
        <v>-82948.344484061003</v>
      </c>
    </row>
    <row r="793" spans="1:27" x14ac:dyDescent="0.25">
      <c r="A793">
        <v>155000</v>
      </c>
      <c r="B793">
        <v>1</v>
      </c>
      <c r="C793">
        <v>28</v>
      </c>
      <c r="D793">
        <v>0</v>
      </c>
      <c r="E793">
        <v>175000</v>
      </c>
      <c r="F793">
        <v>2965</v>
      </c>
      <c r="G793">
        <v>0</v>
      </c>
      <c r="H793">
        <v>0</v>
      </c>
      <c r="I793">
        <v>0</v>
      </c>
      <c r="J793">
        <v>21</v>
      </c>
      <c r="K793">
        <v>1</v>
      </c>
      <c r="L793">
        <f>Résultats!G$32+Résultats!G$33*Données!C793+Résultats!G$34*Données!D793+Résultats!G$35*Données!E793+Résultats!G$36*Données!F793+Résultats!G$37*Données!G793+Résultats!G$38*Données!H793+Résultats!G$39*Données!I793</f>
        <v>116186.73816835627</v>
      </c>
      <c r="M793">
        <f t="shared" si="48"/>
        <v>38813.261831643729</v>
      </c>
      <c r="Q793">
        <v>330000</v>
      </c>
      <c r="R793">
        <v>1</v>
      </c>
      <c r="S793">
        <v>41</v>
      </c>
      <c r="T793">
        <v>0</v>
      </c>
      <c r="U793">
        <f t="shared" si="49"/>
        <v>13.142166004700508</v>
      </c>
      <c r="V793">
        <f t="shared" si="50"/>
        <v>9.2086389253364249</v>
      </c>
      <c r="W793">
        <v>1</v>
      </c>
      <c r="X793">
        <v>0</v>
      </c>
      <c r="Y793">
        <v>1</v>
      </c>
      <c r="Z793">
        <f>'Résultat (Ln)'!F$30+'Résultat (Ln)'!F$31*Données!S793+'Résultat (Ln)'!F$32*Données!T793+'Résultat (Ln)'!F$33*Données!U793+'Résultat (Ln)'!F$34*Données!V793+'Résultat (Ln)'!F$35*Données!W793+'Résultat (Ln)'!F$36*Données!X793+'Résultat (Ln)'!F$37*Données!Y793</f>
        <v>305920.12404949858</v>
      </c>
      <c r="AA793">
        <f t="shared" si="51"/>
        <v>24079.875950501417</v>
      </c>
    </row>
    <row r="794" spans="1:27" x14ac:dyDescent="0.25">
      <c r="A794">
        <v>108000</v>
      </c>
      <c r="B794">
        <v>1</v>
      </c>
      <c r="C794">
        <v>33</v>
      </c>
      <c r="D794">
        <v>0</v>
      </c>
      <c r="E794">
        <v>318000</v>
      </c>
      <c r="F794">
        <v>6250</v>
      </c>
      <c r="G794">
        <v>1</v>
      </c>
      <c r="H794">
        <v>0</v>
      </c>
      <c r="I794">
        <v>1</v>
      </c>
      <c r="J794">
        <v>27</v>
      </c>
      <c r="K794">
        <v>1</v>
      </c>
      <c r="L794">
        <f>Résultats!G$32+Résultats!G$33*Données!C794+Résultats!G$34*Données!D794+Résultats!G$35*Données!E794+Résultats!G$36*Données!F794+Résultats!G$37*Données!G794+Résultats!G$38*Données!H794+Résultats!G$39*Données!I794</f>
        <v>212012.11431865496</v>
      </c>
      <c r="M794">
        <f t="shared" si="48"/>
        <v>-104012.11431865496</v>
      </c>
      <c r="Q794">
        <v>155000</v>
      </c>
      <c r="R794">
        <v>1</v>
      </c>
      <c r="S794">
        <v>28</v>
      </c>
      <c r="T794">
        <v>0</v>
      </c>
      <c r="U794">
        <f t="shared" si="49"/>
        <v>12.072541252905651</v>
      </c>
      <c r="V794">
        <f t="shared" si="50"/>
        <v>7.9946323114318254</v>
      </c>
      <c r="W794">
        <v>0</v>
      </c>
      <c r="X794">
        <v>0</v>
      </c>
      <c r="Y794">
        <v>0</v>
      </c>
      <c r="Z794">
        <f>'Résultat (Ln)'!F$30+'Résultat (Ln)'!F$31*Données!S794+'Résultat (Ln)'!F$32*Données!T794+'Résultat (Ln)'!F$33*Données!U794+'Résultat (Ln)'!F$34*Données!V794+'Résultat (Ln)'!F$35*Données!W794+'Résultat (Ln)'!F$36*Données!X794+'Résultat (Ln)'!F$37*Données!Y794</f>
        <v>122725.82051891254</v>
      </c>
      <c r="AA794">
        <f t="shared" si="51"/>
        <v>32274.179481087456</v>
      </c>
    </row>
    <row r="795" spans="1:27" x14ac:dyDescent="0.25">
      <c r="A795">
        <v>118000</v>
      </c>
      <c r="B795">
        <v>1</v>
      </c>
      <c r="C795">
        <v>38</v>
      </c>
      <c r="D795">
        <v>0</v>
      </c>
      <c r="E795">
        <v>148000</v>
      </c>
      <c r="F795">
        <v>2817</v>
      </c>
      <c r="G795">
        <v>1</v>
      </c>
      <c r="H795">
        <v>0</v>
      </c>
      <c r="I795">
        <v>0</v>
      </c>
      <c r="J795">
        <v>20</v>
      </c>
      <c r="K795">
        <v>0</v>
      </c>
      <c r="L795">
        <f>Résultats!G$32+Résultats!G$33*Données!C795+Résultats!G$34*Données!D795+Résultats!G$35*Données!E795+Résultats!G$36*Données!F795+Résultats!G$37*Données!G795+Résultats!G$38*Données!H795+Résultats!G$39*Données!I795</f>
        <v>121795.52965628965</v>
      </c>
      <c r="M795">
        <f t="shared" si="48"/>
        <v>-3795.5296562896547</v>
      </c>
      <c r="Q795">
        <v>108000</v>
      </c>
      <c r="R795">
        <v>1</v>
      </c>
      <c r="S795">
        <v>33</v>
      </c>
      <c r="T795">
        <v>0</v>
      </c>
      <c r="U795">
        <f t="shared" si="49"/>
        <v>12.669806661762314</v>
      </c>
      <c r="V795">
        <f t="shared" si="50"/>
        <v>8.740336742730447</v>
      </c>
      <c r="W795">
        <v>1</v>
      </c>
      <c r="X795">
        <v>0</v>
      </c>
      <c r="Y795">
        <v>1</v>
      </c>
      <c r="Z795">
        <f>'Résultat (Ln)'!F$30+'Résultat (Ln)'!F$31*Données!S795+'Résultat (Ln)'!F$32*Données!T795+'Résultat (Ln)'!F$33*Données!U795+'Résultat (Ln)'!F$34*Données!V795+'Résultat (Ln)'!F$35*Données!W795+'Résultat (Ln)'!F$36*Données!X795+'Résultat (Ln)'!F$37*Données!Y795</f>
        <v>232375.06296866183</v>
      </c>
      <c r="AA795">
        <f t="shared" si="51"/>
        <v>-124375.06296866183</v>
      </c>
    </row>
    <row r="796" spans="1:27" x14ac:dyDescent="0.25">
      <c r="A796">
        <v>130000</v>
      </c>
      <c r="B796">
        <v>1</v>
      </c>
      <c r="C796">
        <v>29</v>
      </c>
      <c r="D796">
        <v>0</v>
      </c>
      <c r="E796">
        <v>141000</v>
      </c>
      <c r="F796">
        <v>2558</v>
      </c>
      <c r="G796">
        <v>1</v>
      </c>
      <c r="H796">
        <v>0</v>
      </c>
      <c r="I796">
        <v>0</v>
      </c>
      <c r="J796">
        <v>21</v>
      </c>
      <c r="K796">
        <v>1</v>
      </c>
      <c r="L796">
        <f>Résultats!G$32+Résultats!G$33*Données!C796+Résultats!G$34*Données!D796+Résultats!G$35*Données!E796+Résultats!G$36*Données!F796+Résultats!G$37*Données!G796+Résultats!G$38*Données!H796+Résultats!G$39*Données!I796</f>
        <v>107686.93643579097</v>
      </c>
      <c r="M796">
        <f t="shared" si="48"/>
        <v>22313.063564209035</v>
      </c>
      <c r="Q796">
        <v>118000</v>
      </c>
      <c r="R796">
        <v>1</v>
      </c>
      <c r="S796">
        <v>38</v>
      </c>
      <c r="T796">
        <v>0</v>
      </c>
      <c r="U796">
        <f t="shared" si="49"/>
        <v>11.904967552746252</v>
      </c>
      <c r="V796">
        <f t="shared" si="50"/>
        <v>7.9434277678763729</v>
      </c>
      <c r="W796">
        <v>1</v>
      </c>
      <c r="X796">
        <v>0</v>
      </c>
      <c r="Y796">
        <v>0</v>
      </c>
      <c r="Z796">
        <f>'Résultat (Ln)'!F$30+'Résultat (Ln)'!F$31*Données!S796+'Résultat (Ln)'!F$32*Données!T796+'Résultat (Ln)'!F$33*Données!U796+'Résultat (Ln)'!F$34*Données!V796+'Résultat (Ln)'!F$35*Données!W796+'Résultat (Ln)'!F$36*Données!X796+'Résultat (Ln)'!F$37*Données!Y796</f>
        <v>120061.03135380145</v>
      </c>
      <c r="AA796">
        <f t="shared" si="51"/>
        <v>-2061.0313538014452</v>
      </c>
    </row>
    <row r="797" spans="1:27" x14ac:dyDescent="0.25">
      <c r="A797">
        <v>135000</v>
      </c>
      <c r="B797">
        <v>1</v>
      </c>
      <c r="C797">
        <v>19</v>
      </c>
      <c r="D797">
        <v>0</v>
      </c>
      <c r="E797">
        <v>150000</v>
      </c>
      <c r="F797">
        <v>7015</v>
      </c>
      <c r="G797">
        <v>1</v>
      </c>
      <c r="H797">
        <v>0</v>
      </c>
      <c r="I797">
        <v>0</v>
      </c>
      <c r="J797">
        <v>19</v>
      </c>
      <c r="K797">
        <v>1</v>
      </c>
      <c r="L797">
        <f>Résultats!G$32+Résultats!G$33*Données!C797+Résultats!G$34*Données!D797+Résultats!G$35*Données!E797+Résultats!G$36*Données!F797+Résultats!G$37*Données!G797+Résultats!G$38*Données!H797+Résultats!G$39*Données!I797</f>
        <v>109039.53035184092</v>
      </c>
      <c r="M797">
        <f t="shared" si="48"/>
        <v>25960.46964815908</v>
      </c>
      <c r="Q797">
        <v>130000</v>
      </c>
      <c r="R797">
        <v>1</v>
      </c>
      <c r="S797">
        <v>29</v>
      </c>
      <c r="T797">
        <v>0</v>
      </c>
      <c r="U797">
        <f t="shared" si="49"/>
        <v>11.856515169360305</v>
      </c>
      <c r="V797">
        <f t="shared" si="50"/>
        <v>7.8469809821387884</v>
      </c>
      <c r="W797">
        <v>1</v>
      </c>
      <c r="X797">
        <v>0</v>
      </c>
      <c r="Y797">
        <v>0</v>
      </c>
      <c r="Z797">
        <f>'Résultat (Ln)'!F$30+'Résultat (Ln)'!F$31*Données!S797+'Résultat (Ln)'!F$32*Données!T797+'Résultat (Ln)'!F$33*Données!U797+'Résultat (Ln)'!F$34*Données!V797+'Résultat (Ln)'!F$35*Données!W797+'Résultat (Ln)'!F$36*Données!X797+'Résultat (Ln)'!F$37*Données!Y797</f>
        <v>101163.85537148335</v>
      </c>
      <c r="AA797">
        <f t="shared" si="51"/>
        <v>28836.144628516646</v>
      </c>
    </row>
    <row r="798" spans="1:27" x14ac:dyDescent="0.25">
      <c r="A798">
        <v>123000</v>
      </c>
      <c r="B798">
        <v>1</v>
      </c>
      <c r="C798">
        <v>24</v>
      </c>
      <c r="D798">
        <v>0</v>
      </c>
      <c r="E798">
        <v>154000</v>
      </c>
      <c r="F798">
        <v>3406</v>
      </c>
      <c r="G798">
        <v>1</v>
      </c>
      <c r="H798">
        <v>0</v>
      </c>
      <c r="I798">
        <v>0</v>
      </c>
      <c r="J798">
        <v>17</v>
      </c>
      <c r="K798">
        <v>1</v>
      </c>
      <c r="L798">
        <f>Résultats!G$32+Résultats!G$33*Données!C798+Résultats!G$34*Données!D798+Résultats!G$35*Données!E798+Résultats!G$36*Données!F798+Résultats!G$37*Données!G798+Résultats!G$38*Données!H798+Résultats!G$39*Données!I798</f>
        <v>109657.2207191073</v>
      </c>
      <c r="M798">
        <f t="shared" si="48"/>
        <v>13342.779280892704</v>
      </c>
      <c r="Q798">
        <v>135000</v>
      </c>
      <c r="R798">
        <v>1</v>
      </c>
      <c r="S798">
        <v>19</v>
      </c>
      <c r="T798">
        <v>0</v>
      </c>
      <c r="U798">
        <f t="shared" si="49"/>
        <v>11.918390573078392</v>
      </c>
      <c r="V798">
        <f t="shared" si="50"/>
        <v>8.8558059925365615</v>
      </c>
      <c r="W798">
        <v>1</v>
      </c>
      <c r="X798">
        <v>0</v>
      </c>
      <c r="Y798">
        <v>0</v>
      </c>
      <c r="Z798">
        <f>'Résultat (Ln)'!F$30+'Résultat (Ln)'!F$31*Données!S798+'Résultat (Ln)'!F$32*Données!T798+'Résultat (Ln)'!F$33*Données!U798+'Résultat (Ln)'!F$34*Données!V798+'Résultat (Ln)'!F$35*Données!W798+'Résultat (Ln)'!F$36*Données!X798+'Résultat (Ln)'!F$37*Données!Y798</f>
        <v>123869.51192005521</v>
      </c>
      <c r="AA798">
        <f t="shared" si="51"/>
        <v>11130.488079944786</v>
      </c>
    </row>
    <row r="799" spans="1:27" x14ac:dyDescent="0.25">
      <c r="A799">
        <v>221000</v>
      </c>
      <c r="B799">
        <v>1</v>
      </c>
      <c r="C799">
        <v>37.200000762939453</v>
      </c>
      <c r="D799">
        <v>0</v>
      </c>
      <c r="E799">
        <v>245000</v>
      </c>
      <c r="F799">
        <v>6618</v>
      </c>
      <c r="G799">
        <v>1</v>
      </c>
      <c r="H799">
        <v>0</v>
      </c>
      <c r="I799">
        <v>1</v>
      </c>
      <c r="J799">
        <v>29.579999923706058</v>
      </c>
      <c r="K799">
        <v>1</v>
      </c>
      <c r="L799">
        <f>Résultats!G$32+Résultats!G$33*Données!C799+Résultats!G$34*Données!D799+Résultats!G$35*Données!E799+Résultats!G$36*Données!F799+Résultats!G$37*Données!G799+Résultats!G$38*Données!H799+Résultats!G$39*Données!I799</f>
        <v>183462.04792481224</v>
      </c>
      <c r="M799">
        <f t="shared" si="48"/>
        <v>37537.952075187757</v>
      </c>
      <c r="Q799">
        <v>123000</v>
      </c>
      <c r="R799">
        <v>1</v>
      </c>
      <c r="S799">
        <v>24</v>
      </c>
      <c r="T799">
        <v>0</v>
      </c>
      <c r="U799">
        <f t="shared" si="49"/>
        <v>11.944707881395766</v>
      </c>
      <c r="V799">
        <f t="shared" si="50"/>
        <v>8.1332938612226329</v>
      </c>
      <c r="W799">
        <v>1</v>
      </c>
      <c r="X799">
        <v>0</v>
      </c>
      <c r="Y799">
        <v>0</v>
      </c>
      <c r="Z799">
        <f>'Résultat (Ln)'!F$30+'Résultat (Ln)'!F$31*Données!S799+'Résultat (Ln)'!F$32*Données!T799+'Résultat (Ln)'!F$33*Données!U799+'Résultat (Ln)'!F$34*Données!V799+'Résultat (Ln)'!F$35*Données!W799+'Résultat (Ln)'!F$36*Données!X799+'Résultat (Ln)'!F$37*Données!Y799</f>
        <v>112537.38994840543</v>
      </c>
      <c r="AA799">
        <f t="shared" si="51"/>
        <v>10462.610051594573</v>
      </c>
    </row>
    <row r="800" spans="1:27" x14ac:dyDescent="0.25">
      <c r="A800">
        <v>120000</v>
      </c>
      <c r="B800">
        <v>1</v>
      </c>
      <c r="C800">
        <v>32</v>
      </c>
      <c r="D800">
        <v>0</v>
      </c>
      <c r="E800">
        <v>120000</v>
      </c>
      <c r="F800">
        <v>6050</v>
      </c>
      <c r="G800">
        <v>0</v>
      </c>
      <c r="H800">
        <v>0</v>
      </c>
      <c r="I800">
        <v>0</v>
      </c>
      <c r="J800">
        <v>15</v>
      </c>
      <c r="K800">
        <v>1</v>
      </c>
      <c r="L800">
        <f>Résultats!G$32+Résultats!G$33*Données!C800+Résultats!G$34*Données!D800+Résultats!G$35*Données!E800+Résultats!G$36*Données!F800+Résultats!G$37*Données!G800+Résultats!G$38*Données!H800+Résultats!G$39*Données!I800</f>
        <v>101077.06393118981</v>
      </c>
      <c r="M800">
        <f t="shared" si="48"/>
        <v>18922.936068810188</v>
      </c>
      <c r="Q800">
        <v>221000</v>
      </c>
      <c r="R800">
        <v>1</v>
      </c>
      <c r="S800">
        <v>37.200000762939453</v>
      </c>
      <c r="T800">
        <v>0</v>
      </c>
      <c r="U800">
        <f t="shared" si="49"/>
        <v>12.409013489526863</v>
      </c>
      <c r="V800">
        <f t="shared" si="50"/>
        <v>8.7975484884815582</v>
      </c>
      <c r="W800">
        <v>1</v>
      </c>
      <c r="X800">
        <v>0</v>
      </c>
      <c r="Y800">
        <v>1</v>
      </c>
      <c r="Z800">
        <f>'Résultat (Ln)'!F$30+'Résultat (Ln)'!F$31*Données!S800+'Résultat (Ln)'!F$32*Données!T800+'Résultat (Ln)'!F$33*Données!U800+'Résultat (Ln)'!F$34*Données!V800+'Résultat (Ln)'!F$35*Données!W800+'Résultat (Ln)'!F$36*Données!X800+'Résultat (Ln)'!F$37*Données!Y800</f>
        <v>211156.3129366599</v>
      </c>
      <c r="AA800">
        <f t="shared" si="51"/>
        <v>9843.6870633400977</v>
      </c>
    </row>
    <row r="801" spans="1:27" x14ac:dyDescent="0.25">
      <c r="A801">
        <v>112000</v>
      </c>
      <c r="B801">
        <v>1</v>
      </c>
      <c r="C801">
        <v>18</v>
      </c>
      <c r="D801">
        <v>0</v>
      </c>
      <c r="E801">
        <v>125000</v>
      </c>
      <c r="F801">
        <v>9703</v>
      </c>
      <c r="G801">
        <v>1</v>
      </c>
      <c r="H801">
        <v>0</v>
      </c>
      <c r="I801">
        <v>1</v>
      </c>
      <c r="J801">
        <v>10</v>
      </c>
      <c r="K801">
        <v>1</v>
      </c>
      <c r="L801">
        <f>Résultats!G$32+Résultats!G$33*Données!C801+Résultats!G$34*Données!D801+Résultats!G$35*Données!E801+Résultats!G$36*Données!F801+Résultats!G$37*Données!G801+Résultats!G$38*Données!H801+Résultats!G$39*Données!I801</f>
        <v>111351.25755202814</v>
      </c>
      <c r="M801">
        <f t="shared" si="48"/>
        <v>648.74244797186111</v>
      </c>
      <c r="Q801">
        <v>120000</v>
      </c>
      <c r="R801">
        <v>1</v>
      </c>
      <c r="S801">
        <v>32</v>
      </c>
      <c r="T801">
        <v>0</v>
      </c>
      <c r="U801">
        <f t="shared" si="49"/>
        <v>11.695247021764184</v>
      </c>
      <c r="V801">
        <f t="shared" si="50"/>
        <v>8.7078135510248877</v>
      </c>
      <c r="W801">
        <v>0</v>
      </c>
      <c r="X801">
        <v>0</v>
      </c>
      <c r="Y801">
        <v>0</v>
      </c>
      <c r="Z801">
        <f>'Résultat (Ln)'!F$30+'Résultat (Ln)'!F$31*Données!S801+'Résultat (Ln)'!F$32*Données!T801+'Résultat (Ln)'!F$33*Données!U801+'Résultat (Ln)'!F$34*Données!V801+'Résultat (Ln)'!F$35*Données!W801+'Résultat (Ln)'!F$36*Données!X801+'Résultat (Ln)'!F$37*Données!Y801</f>
        <v>107171.44892799252</v>
      </c>
      <c r="AA801">
        <f t="shared" si="51"/>
        <v>12828.551072007482</v>
      </c>
    </row>
    <row r="802" spans="1:27" x14ac:dyDescent="0.25">
      <c r="A802">
        <v>90000</v>
      </c>
      <c r="B802">
        <v>1</v>
      </c>
      <c r="C802">
        <v>34</v>
      </c>
      <c r="D802">
        <v>0</v>
      </c>
      <c r="E802">
        <v>112000</v>
      </c>
      <c r="F802">
        <v>3276</v>
      </c>
      <c r="G802">
        <v>0</v>
      </c>
      <c r="H802">
        <v>0</v>
      </c>
      <c r="I802">
        <v>0</v>
      </c>
      <c r="J802">
        <v>28</v>
      </c>
      <c r="K802">
        <v>1</v>
      </c>
      <c r="L802">
        <f>Résultats!G$32+Résultats!G$33*Données!C802+Résultats!G$34*Données!D802+Résultats!G$35*Données!E802+Résultats!G$36*Données!F802+Résultats!G$37*Données!G802+Résultats!G$38*Données!H802+Résultats!G$39*Données!I802</f>
        <v>94263.356387437685</v>
      </c>
      <c r="M802">
        <f t="shared" si="48"/>
        <v>-4263.356387437685</v>
      </c>
      <c r="Q802">
        <v>112000</v>
      </c>
      <c r="R802">
        <v>1</v>
      </c>
      <c r="S802">
        <v>18</v>
      </c>
      <c r="T802">
        <v>0</v>
      </c>
      <c r="U802">
        <f t="shared" si="49"/>
        <v>11.736069016284437</v>
      </c>
      <c r="V802">
        <f t="shared" si="50"/>
        <v>9.1801903950252992</v>
      </c>
      <c r="W802">
        <v>1</v>
      </c>
      <c r="X802">
        <v>0</v>
      </c>
      <c r="Y802">
        <v>1</v>
      </c>
      <c r="Z802">
        <f>'Résultat (Ln)'!F$30+'Résultat (Ln)'!F$31*Données!S802+'Résultat (Ln)'!F$32*Données!T802+'Résultat (Ln)'!F$33*Données!U802+'Résultat (Ln)'!F$34*Données!V802+'Résultat (Ln)'!F$35*Données!W802+'Résultat (Ln)'!F$36*Données!X802+'Résultat (Ln)'!F$37*Données!Y802</f>
        <v>126287.95709211908</v>
      </c>
      <c r="AA802">
        <f t="shared" si="51"/>
        <v>-14287.957092119075</v>
      </c>
    </row>
    <row r="803" spans="1:27" x14ac:dyDescent="0.25">
      <c r="A803">
        <v>272000</v>
      </c>
      <c r="B803">
        <v>1</v>
      </c>
      <c r="C803">
        <v>24</v>
      </c>
      <c r="D803">
        <v>0</v>
      </c>
      <c r="E803">
        <v>340000</v>
      </c>
      <c r="F803">
        <v>12500</v>
      </c>
      <c r="G803">
        <v>1</v>
      </c>
      <c r="H803">
        <v>0</v>
      </c>
      <c r="I803">
        <v>1</v>
      </c>
      <c r="J803">
        <v>19</v>
      </c>
      <c r="K803">
        <v>1</v>
      </c>
      <c r="L803">
        <f>Résultats!G$32+Résultats!G$33*Données!C803+Résultats!G$34*Données!D803+Résultats!G$35*Données!E803+Résultats!G$36*Données!F803+Résultats!G$37*Données!G803+Résultats!G$38*Données!H803+Résultats!G$39*Données!I803</f>
        <v>224058.22385336689</v>
      </c>
      <c r="M803">
        <f t="shared" si="48"/>
        <v>47941.776146633114</v>
      </c>
      <c r="Q803">
        <v>90000</v>
      </c>
      <c r="R803">
        <v>1</v>
      </c>
      <c r="S803">
        <v>34</v>
      </c>
      <c r="T803">
        <v>0</v>
      </c>
      <c r="U803">
        <f t="shared" si="49"/>
        <v>11.626254150277232</v>
      </c>
      <c r="V803">
        <f t="shared" si="50"/>
        <v>8.0943784449729606</v>
      </c>
      <c r="W803">
        <v>0</v>
      </c>
      <c r="X803">
        <v>0</v>
      </c>
      <c r="Y803">
        <v>0</v>
      </c>
      <c r="Z803">
        <f>'Résultat (Ln)'!F$30+'Résultat (Ln)'!F$31*Données!S803+'Résultat (Ln)'!F$32*Données!T803+'Résultat (Ln)'!F$33*Données!U803+'Résultat (Ln)'!F$34*Données!V803+'Résultat (Ln)'!F$35*Données!W803+'Résultat (Ln)'!F$36*Données!X803+'Résultat (Ln)'!F$37*Données!Y803</f>
        <v>85015.526999922848</v>
      </c>
      <c r="AA803">
        <f t="shared" si="51"/>
        <v>4984.4730000771524</v>
      </c>
    </row>
    <row r="804" spans="1:27" x14ac:dyDescent="0.25">
      <c r="A804">
        <v>199000</v>
      </c>
      <c r="B804">
        <v>1</v>
      </c>
      <c r="C804">
        <v>46</v>
      </c>
      <c r="D804">
        <v>0</v>
      </c>
      <c r="E804">
        <v>250000</v>
      </c>
      <c r="F804">
        <v>8703</v>
      </c>
      <c r="G804">
        <v>0</v>
      </c>
      <c r="H804">
        <v>0</v>
      </c>
      <c r="I804">
        <v>1</v>
      </c>
      <c r="J804">
        <v>31</v>
      </c>
      <c r="K804">
        <v>1</v>
      </c>
      <c r="L804">
        <f>Résultats!G$32+Résultats!G$33*Données!C804+Résultats!G$34*Données!D804+Résultats!G$35*Données!E804+Résultats!G$36*Données!F804+Résultats!G$37*Données!G804+Résultats!G$38*Données!H804+Résultats!G$39*Données!I804</f>
        <v>192928.78090459772</v>
      </c>
      <c r="M804">
        <f t="shared" si="48"/>
        <v>6071.2190954022808</v>
      </c>
      <c r="Q804">
        <v>272000</v>
      </c>
      <c r="R804">
        <v>1</v>
      </c>
      <c r="S804">
        <v>24</v>
      </c>
      <c r="T804">
        <v>0</v>
      </c>
      <c r="U804">
        <f t="shared" si="49"/>
        <v>12.736700896592344</v>
      </c>
      <c r="V804">
        <f t="shared" si="50"/>
        <v>9.4334839232903924</v>
      </c>
      <c r="W804">
        <v>1</v>
      </c>
      <c r="X804">
        <v>0</v>
      </c>
      <c r="Y804">
        <v>1</v>
      </c>
      <c r="Z804">
        <f>'Résultat (Ln)'!F$30+'Résultat (Ln)'!F$31*Données!S804+'Résultat (Ln)'!F$32*Données!T804+'Résultat (Ln)'!F$33*Données!U804+'Résultat (Ln)'!F$34*Données!V804+'Résultat (Ln)'!F$35*Données!W804+'Résultat (Ln)'!F$36*Données!X804+'Résultat (Ln)'!F$37*Données!Y804</f>
        <v>247987.32189711524</v>
      </c>
      <c r="AA804">
        <f t="shared" si="51"/>
        <v>24012.678102884762</v>
      </c>
    </row>
    <row r="805" spans="1:27" x14ac:dyDescent="0.25">
      <c r="A805">
        <v>139000</v>
      </c>
      <c r="B805">
        <v>1</v>
      </c>
      <c r="C805">
        <v>31</v>
      </c>
      <c r="D805">
        <v>1</v>
      </c>
      <c r="E805">
        <v>146000</v>
      </c>
      <c r="F805">
        <v>4742</v>
      </c>
      <c r="G805">
        <v>1</v>
      </c>
      <c r="H805">
        <v>0</v>
      </c>
      <c r="I805">
        <v>0</v>
      </c>
      <c r="J805">
        <v>26</v>
      </c>
      <c r="K805">
        <v>1</v>
      </c>
      <c r="L805">
        <f>Résultats!G$32+Résultats!G$33*Données!C805+Résultats!G$34*Données!D805+Résultats!G$35*Données!E805+Résultats!G$36*Données!F805+Résultats!G$37*Données!G805+Résultats!G$38*Données!H805+Résultats!G$39*Données!I805</f>
        <v>121399.41985949079</v>
      </c>
      <c r="M805">
        <f t="shared" si="48"/>
        <v>17600.580140509206</v>
      </c>
      <c r="Q805">
        <v>199000</v>
      </c>
      <c r="R805">
        <v>1</v>
      </c>
      <c r="S805">
        <v>46</v>
      </c>
      <c r="T805">
        <v>0</v>
      </c>
      <c r="U805">
        <f t="shared" si="49"/>
        <v>12.429216196844383</v>
      </c>
      <c r="V805">
        <f t="shared" si="50"/>
        <v>9.0714230727895142</v>
      </c>
      <c r="W805">
        <v>0</v>
      </c>
      <c r="X805">
        <v>0</v>
      </c>
      <c r="Y805">
        <v>1</v>
      </c>
      <c r="Z805">
        <f>'Résultat (Ln)'!F$30+'Résultat (Ln)'!F$31*Données!S805+'Résultat (Ln)'!F$32*Données!T805+'Résultat (Ln)'!F$33*Données!U805+'Résultat (Ln)'!F$34*Données!V805+'Résultat (Ln)'!F$35*Données!W805+'Résultat (Ln)'!F$36*Données!X805+'Résultat (Ln)'!F$37*Données!Y805</f>
        <v>227242.91219304304</v>
      </c>
      <c r="AA805">
        <f t="shared" si="51"/>
        <v>-28242.912193043041</v>
      </c>
    </row>
    <row r="806" spans="1:27" x14ac:dyDescent="0.25">
      <c r="A806">
        <v>137000</v>
      </c>
      <c r="B806">
        <v>1</v>
      </c>
      <c r="C806">
        <v>31.20000076293945</v>
      </c>
      <c r="D806">
        <v>0</v>
      </c>
      <c r="E806">
        <v>180000</v>
      </c>
      <c r="F806">
        <v>6608</v>
      </c>
      <c r="G806">
        <v>1</v>
      </c>
      <c r="H806">
        <v>0</v>
      </c>
      <c r="I806">
        <v>0</v>
      </c>
      <c r="J806">
        <v>25.70000076293945</v>
      </c>
      <c r="K806">
        <v>1</v>
      </c>
      <c r="L806">
        <f>Résultats!G$32+Résultats!G$33*Données!C806+Résultats!G$34*Données!D806+Résultats!G$35*Données!E806+Résultats!G$36*Données!F806+Résultats!G$37*Données!G806+Résultats!G$38*Données!H806+Résultats!G$39*Données!I806</f>
        <v>136273.22845575918</v>
      </c>
      <c r="M806">
        <f t="shared" si="48"/>
        <v>726.77154424082255</v>
      </c>
      <c r="Q806">
        <v>139000</v>
      </c>
      <c r="R806">
        <v>1</v>
      </c>
      <c r="S806">
        <v>31</v>
      </c>
      <c r="T806">
        <v>1</v>
      </c>
      <c r="U806">
        <f t="shared" si="49"/>
        <v>11.891361900690473</v>
      </c>
      <c r="V806">
        <f t="shared" si="50"/>
        <v>8.4642142666253513</v>
      </c>
      <c r="W806">
        <v>1</v>
      </c>
      <c r="X806">
        <v>0</v>
      </c>
      <c r="Y806">
        <v>0</v>
      </c>
      <c r="Z806">
        <f>'Résultat (Ln)'!F$30+'Résultat (Ln)'!F$31*Données!S806+'Résultat (Ln)'!F$32*Données!T806+'Résultat (Ln)'!F$33*Données!U806+'Résultat (Ln)'!F$34*Données!V806+'Résultat (Ln)'!F$35*Données!W806+'Résultat (Ln)'!F$36*Données!X806+'Résultat (Ln)'!F$37*Données!Y806</f>
        <v>129002.96126589169</v>
      </c>
      <c r="AA806">
        <f t="shared" si="51"/>
        <v>9997.0387341083115</v>
      </c>
    </row>
    <row r="807" spans="1:27" x14ac:dyDescent="0.25">
      <c r="A807">
        <v>125000</v>
      </c>
      <c r="B807">
        <v>1</v>
      </c>
      <c r="C807">
        <v>31</v>
      </c>
      <c r="D807">
        <v>0</v>
      </c>
      <c r="E807">
        <v>135000</v>
      </c>
      <c r="F807">
        <v>4106</v>
      </c>
      <c r="G807">
        <v>0</v>
      </c>
      <c r="H807">
        <v>0</v>
      </c>
      <c r="I807">
        <v>0</v>
      </c>
      <c r="J807">
        <v>31</v>
      </c>
      <c r="K807">
        <v>1</v>
      </c>
      <c r="L807">
        <f>Résultats!G$32+Résultats!G$33*Données!C807+Résultats!G$34*Données!D807+Résultats!G$35*Données!E807+Résultats!G$36*Données!F807+Résultats!G$37*Données!G807+Résultats!G$38*Données!H807+Résultats!G$39*Données!I807</f>
        <v>103165.63394313208</v>
      </c>
      <c r="M807">
        <f t="shared" si="48"/>
        <v>21834.366056867919</v>
      </c>
      <c r="Q807">
        <v>137000</v>
      </c>
      <c r="R807">
        <v>1</v>
      </c>
      <c r="S807">
        <v>31.20000076293945</v>
      </c>
      <c r="T807">
        <v>0</v>
      </c>
      <c r="U807">
        <f t="shared" si="49"/>
        <v>12.100712129872347</v>
      </c>
      <c r="V807">
        <f t="shared" si="50"/>
        <v>8.7960363152008139</v>
      </c>
      <c r="W807">
        <v>1</v>
      </c>
      <c r="X807">
        <v>0</v>
      </c>
      <c r="Y807">
        <v>0</v>
      </c>
      <c r="Z807">
        <f>'Résultat (Ln)'!F$30+'Résultat (Ln)'!F$31*Données!S807+'Résultat (Ln)'!F$32*Données!T807+'Résultat (Ln)'!F$33*Données!U807+'Résultat (Ln)'!F$34*Données!V807+'Résultat (Ln)'!F$35*Données!W807+'Résultat (Ln)'!F$36*Données!X807+'Résultat (Ln)'!F$37*Données!Y807</f>
        <v>156646.18723428663</v>
      </c>
      <c r="AA807">
        <f t="shared" si="51"/>
        <v>-19646.187234286626</v>
      </c>
    </row>
    <row r="808" spans="1:27" x14ac:dyDescent="0.25">
      <c r="A808">
        <v>166000</v>
      </c>
      <c r="B808">
        <v>1</v>
      </c>
      <c r="C808">
        <v>40</v>
      </c>
      <c r="D808">
        <v>0</v>
      </c>
      <c r="E808">
        <v>180000</v>
      </c>
      <c r="F808">
        <v>5027</v>
      </c>
      <c r="G808">
        <v>1</v>
      </c>
      <c r="H808">
        <v>0</v>
      </c>
      <c r="I808">
        <v>0</v>
      </c>
      <c r="J808">
        <v>32</v>
      </c>
      <c r="K808">
        <v>1</v>
      </c>
      <c r="L808">
        <f>Résultats!G$32+Résultats!G$33*Données!C808+Résultats!G$34*Données!D808+Résultats!G$35*Données!E808+Résultats!G$36*Données!F808+Résultats!G$37*Données!G808+Résultats!G$38*Données!H808+Résultats!G$39*Données!I808</f>
        <v>143317.88509036935</v>
      </c>
      <c r="M808">
        <f t="shared" si="48"/>
        <v>22682.114909630647</v>
      </c>
      <c r="Q808">
        <v>125000</v>
      </c>
      <c r="R808">
        <v>1</v>
      </c>
      <c r="S808">
        <v>31</v>
      </c>
      <c r="T808">
        <v>0</v>
      </c>
      <c r="U808">
        <f t="shared" si="49"/>
        <v>11.813030057420567</v>
      </c>
      <c r="V808">
        <f t="shared" si="50"/>
        <v>8.3202045975788792</v>
      </c>
      <c r="W808">
        <v>0</v>
      </c>
      <c r="X808">
        <v>0</v>
      </c>
      <c r="Y808">
        <v>0</v>
      </c>
      <c r="Z808">
        <f>'Résultat (Ln)'!F$30+'Résultat (Ln)'!F$31*Données!S808+'Résultat (Ln)'!F$32*Données!T808+'Résultat (Ln)'!F$33*Données!U808+'Résultat (Ln)'!F$34*Données!V808+'Résultat (Ln)'!F$35*Données!W808+'Résultat (Ln)'!F$36*Données!X808+'Résultat (Ln)'!F$37*Données!Y808</f>
        <v>107704.4267488386</v>
      </c>
      <c r="AA808">
        <f t="shared" si="51"/>
        <v>17295.573251161404</v>
      </c>
    </row>
    <row r="809" spans="1:27" x14ac:dyDescent="0.25">
      <c r="A809">
        <v>150000</v>
      </c>
      <c r="B809">
        <v>1</v>
      </c>
      <c r="C809">
        <v>27</v>
      </c>
      <c r="D809">
        <v>0</v>
      </c>
      <c r="E809">
        <v>150000</v>
      </c>
      <c r="F809">
        <v>5900</v>
      </c>
      <c r="G809">
        <v>0</v>
      </c>
      <c r="H809">
        <v>0</v>
      </c>
      <c r="I809">
        <v>1</v>
      </c>
      <c r="J809">
        <v>27</v>
      </c>
      <c r="K809">
        <v>1</v>
      </c>
      <c r="L809">
        <f>Résultats!G$32+Résultats!G$33*Données!C809+Résultats!G$34*Données!D809+Résultats!G$35*Données!E809+Résultats!G$36*Données!F809+Résultats!G$37*Données!G809+Résultats!G$38*Données!H809+Résultats!G$39*Données!I809</f>
        <v>118977.09884788521</v>
      </c>
      <c r="M809">
        <f t="shared" si="48"/>
        <v>31022.901152114791</v>
      </c>
      <c r="Q809">
        <v>166000</v>
      </c>
      <c r="R809">
        <v>1</v>
      </c>
      <c r="S809">
        <v>40</v>
      </c>
      <c r="T809">
        <v>0</v>
      </c>
      <c r="U809">
        <f t="shared" si="49"/>
        <v>12.100712129872347</v>
      </c>
      <c r="V809">
        <f t="shared" si="50"/>
        <v>8.5225786636925758</v>
      </c>
      <c r="W809">
        <v>1</v>
      </c>
      <c r="X809">
        <v>0</v>
      </c>
      <c r="Y809">
        <v>0</v>
      </c>
      <c r="Z809">
        <f>'Résultat (Ln)'!F$30+'Résultat (Ln)'!F$31*Données!S809+'Résultat (Ln)'!F$32*Données!T809+'Résultat (Ln)'!F$33*Données!U809+'Résultat (Ln)'!F$34*Données!V809+'Résultat (Ln)'!F$35*Données!W809+'Résultat (Ln)'!F$36*Données!X809+'Résultat (Ln)'!F$37*Données!Y809</f>
        <v>159730.81017709142</v>
      </c>
      <c r="AA809">
        <f t="shared" si="51"/>
        <v>6269.1898229085782</v>
      </c>
    </row>
    <row r="810" spans="1:27" x14ac:dyDescent="0.25">
      <c r="A810">
        <v>160000</v>
      </c>
      <c r="B810">
        <v>1</v>
      </c>
      <c r="C810">
        <v>26.39999961853027</v>
      </c>
      <c r="D810">
        <v>0</v>
      </c>
      <c r="E810">
        <v>200000</v>
      </c>
      <c r="F810">
        <v>6041</v>
      </c>
      <c r="G810">
        <v>1</v>
      </c>
      <c r="H810">
        <v>0</v>
      </c>
      <c r="I810">
        <v>0</v>
      </c>
      <c r="J810">
        <v>21.5</v>
      </c>
      <c r="K810">
        <v>1</v>
      </c>
      <c r="L810">
        <f>Résultats!G$32+Résultats!G$33*Données!C810+Résultats!G$34*Données!D810+Résultats!G$35*Données!E810+Résultats!G$36*Données!F810+Résultats!G$37*Données!G810+Résultats!G$38*Données!H810+Résultats!G$39*Données!I810</f>
        <v>138999.94925851398</v>
      </c>
      <c r="M810">
        <f t="shared" si="48"/>
        <v>21000.050741486019</v>
      </c>
      <c r="Q810">
        <v>150000</v>
      </c>
      <c r="R810">
        <v>1</v>
      </c>
      <c r="S810">
        <v>27</v>
      </c>
      <c r="T810">
        <v>0</v>
      </c>
      <c r="U810">
        <f t="shared" si="49"/>
        <v>11.918390573078392</v>
      </c>
      <c r="V810">
        <f t="shared" si="50"/>
        <v>8.6827076298938106</v>
      </c>
      <c r="W810">
        <v>0</v>
      </c>
      <c r="X810">
        <v>0</v>
      </c>
      <c r="Y810">
        <v>1</v>
      </c>
      <c r="Z810">
        <f>'Résultat (Ln)'!F$30+'Résultat (Ln)'!F$31*Données!S810+'Résultat (Ln)'!F$32*Données!T810+'Résultat (Ln)'!F$33*Données!U810+'Résultat (Ln)'!F$34*Données!V810+'Résultat (Ln)'!F$35*Données!W810+'Résultat (Ln)'!F$36*Données!X810+'Résultat (Ln)'!F$37*Données!Y810</f>
        <v>138364.058905746</v>
      </c>
      <c r="AA810">
        <f t="shared" si="51"/>
        <v>11635.941094253998</v>
      </c>
    </row>
    <row r="811" spans="1:27" x14ac:dyDescent="0.25">
      <c r="A811">
        <v>123000</v>
      </c>
      <c r="B811">
        <v>1</v>
      </c>
      <c r="C811">
        <v>35.200000762939453</v>
      </c>
      <c r="D811">
        <v>0</v>
      </c>
      <c r="E811">
        <v>137000</v>
      </c>
      <c r="F811">
        <v>2882</v>
      </c>
      <c r="G811">
        <v>1</v>
      </c>
      <c r="H811">
        <v>0</v>
      </c>
      <c r="I811">
        <v>1</v>
      </c>
      <c r="J811">
        <v>25.610000610351559</v>
      </c>
      <c r="K811">
        <v>1</v>
      </c>
      <c r="L811">
        <f>Résultats!G$32+Résultats!G$33*Données!C811+Résultats!G$34*Données!D811+Résultats!G$35*Données!E811+Résultats!G$36*Données!F811+Résultats!G$37*Données!G811+Résultats!G$38*Données!H811+Résultats!G$39*Données!I811</f>
        <v>123494.18055147008</v>
      </c>
      <c r="M811">
        <f t="shared" si="48"/>
        <v>-494.18055147008272</v>
      </c>
      <c r="Q811">
        <v>160000</v>
      </c>
      <c r="R811">
        <v>1</v>
      </c>
      <c r="S811">
        <v>26.39999961853027</v>
      </c>
      <c r="T811">
        <v>0</v>
      </c>
      <c r="U811">
        <f t="shared" si="49"/>
        <v>12.206072645530174</v>
      </c>
      <c r="V811">
        <f t="shared" si="50"/>
        <v>8.7063248401387412</v>
      </c>
      <c r="W811">
        <v>1</v>
      </c>
      <c r="X811">
        <v>0</v>
      </c>
      <c r="Y811">
        <v>0</v>
      </c>
      <c r="Z811">
        <f>'Résultat (Ln)'!F$30+'Résultat (Ln)'!F$31*Données!S811+'Résultat (Ln)'!F$32*Données!T811+'Résultat (Ln)'!F$33*Données!U811+'Résultat (Ln)'!F$34*Données!V811+'Résultat (Ln)'!F$35*Données!W811+'Résultat (Ln)'!F$36*Données!X811+'Résultat (Ln)'!F$37*Données!Y811</f>
        <v>159558.53988434543</v>
      </c>
      <c r="AA811">
        <f t="shared" si="51"/>
        <v>441.46011565456865</v>
      </c>
    </row>
    <row r="812" spans="1:27" x14ac:dyDescent="0.25">
      <c r="A812">
        <v>90000</v>
      </c>
      <c r="B812">
        <v>1</v>
      </c>
      <c r="C812">
        <v>26</v>
      </c>
      <c r="D812">
        <v>0</v>
      </c>
      <c r="E812">
        <v>160000</v>
      </c>
      <c r="F812">
        <v>1809</v>
      </c>
      <c r="G812">
        <v>1</v>
      </c>
      <c r="H812">
        <v>0</v>
      </c>
      <c r="I812">
        <v>0</v>
      </c>
      <c r="J812">
        <v>26</v>
      </c>
      <c r="K812">
        <v>1</v>
      </c>
      <c r="L812">
        <f>Résultats!G$32+Résultats!G$33*Données!C812+Résultats!G$34*Données!D812+Résultats!G$35*Données!E812+Résultats!G$36*Données!F812+Résultats!G$37*Données!G812+Résultats!G$38*Données!H812+Résultats!G$39*Données!I812</f>
        <v>111661.63466626644</v>
      </c>
      <c r="M812">
        <f t="shared" si="48"/>
        <v>-21661.634666266444</v>
      </c>
      <c r="Q812">
        <v>123000</v>
      </c>
      <c r="R812">
        <v>1</v>
      </c>
      <c r="S812">
        <v>35.200000762939453</v>
      </c>
      <c r="T812">
        <v>0</v>
      </c>
      <c r="U812">
        <f t="shared" si="49"/>
        <v>11.827736204810263</v>
      </c>
      <c r="V812">
        <f t="shared" si="50"/>
        <v>7.9662397765594672</v>
      </c>
      <c r="W812">
        <v>1</v>
      </c>
      <c r="X812">
        <v>0</v>
      </c>
      <c r="Y812">
        <v>1</v>
      </c>
      <c r="Z812">
        <f>'Résultat (Ln)'!F$30+'Résultat (Ln)'!F$31*Données!S812+'Résultat (Ln)'!F$32*Données!T812+'Résultat (Ln)'!F$33*Données!U812+'Résultat (Ln)'!F$34*Données!V812+'Résultat (Ln)'!F$35*Données!W812+'Résultat (Ln)'!F$36*Données!X812+'Résultat (Ln)'!F$37*Données!Y812</f>
        <v>123087.17127774235</v>
      </c>
      <c r="AA812">
        <f t="shared" si="51"/>
        <v>-87.171277742352686</v>
      </c>
    </row>
    <row r="813" spans="1:27" x14ac:dyDescent="0.25">
      <c r="A813">
        <v>116000</v>
      </c>
      <c r="B813">
        <v>1</v>
      </c>
      <c r="C813">
        <v>37</v>
      </c>
      <c r="D813">
        <v>0</v>
      </c>
      <c r="E813">
        <v>128000</v>
      </c>
      <c r="F813">
        <v>3152</v>
      </c>
      <c r="G813">
        <v>1</v>
      </c>
      <c r="H813">
        <v>0</v>
      </c>
      <c r="I813">
        <v>1</v>
      </c>
      <c r="J813">
        <v>23</v>
      </c>
      <c r="K813">
        <v>1</v>
      </c>
      <c r="L813">
        <f>Résultats!G$32+Résultats!G$33*Données!C813+Résultats!G$34*Données!D813+Résultats!G$35*Données!E813+Résultats!G$36*Données!F813+Résultats!G$37*Données!G813+Résultats!G$38*Données!H813+Résultats!G$39*Données!I813</f>
        <v>121882.40952821654</v>
      </c>
      <c r="M813">
        <f t="shared" si="48"/>
        <v>-5882.4095282165363</v>
      </c>
      <c r="Q813">
        <v>90000</v>
      </c>
      <c r="R813">
        <v>1</v>
      </c>
      <c r="S813">
        <v>26</v>
      </c>
      <c r="T813">
        <v>0</v>
      </c>
      <c r="U813">
        <f t="shared" si="49"/>
        <v>11.982929094215963</v>
      </c>
      <c r="V813">
        <f t="shared" si="50"/>
        <v>7.5005294853952948</v>
      </c>
      <c r="W813">
        <v>1</v>
      </c>
      <c r="X813">
        <v>0</v>
      </c>
      <c r="Y813">
        <v>0</v>
      </c>
      <c r="Z813">
        <f>'Résultat (Ln)'!F$30+'Résultat (Ln)'!F$31*Données!S813+'Résultat (Ln)'!F$32*Données!T813+'Résultat (Ln)'!F$33*Données!U813+'Résultat (Ln)'!F$34*Données!V813+'Résultat (Ln)'!F$35*Données!W813+'Résultat (Ln)'!F$36*Données!X813+'Résultat (Ln)'!F$37*Données!Y813</f>
        <v>101332.23781575433</v>
      </c>
      <c r="AA813">
        <f t="shared" si="51"/>
        <v>-11332.237815754328</v>
      </c>
    </row>
    <row r="814" spans="1:27" x14ac:dyDescent="0.25">
      <c r="A814">
        <v>180000</v>
      </c>
      <c r="B814">
        <v>1</v>
      </c>
      <c r="C814">
        <v>30</v>
      </c>
      <c r="D814">
        <v>0</v>
      </c>
      <c r="E814">
        <v>198000</v>
      </c>
      <c r="F814">
        <v>3071</v>
      </c>
      <c r="G814">
        <v>0</v>
      </c>
      <c r="H814">
        <v>1</v>
      </c>
      <c r="I814">
        <v>0</v>
      </c>
      <c r="J814">
        <v>24</v>
      </c>
      <c r="K814">
        <v>1</v>
      </c>
      <c r="L814">
        <f>Résultats!G$32+Résultats!G$33*Données!C814+Résultats!G$34*Données!D814+Résultats!G$35*Données!E814+Résultats!G$36*Données!F814+Résultats!G$37*Données!G814+Résultats!G$38*Données!H814+Résultats!G$39*Données!I814</f>
        <v>127804.13308765479</v>
      </c>
      <c r="M814">
        <f t="shared" si="48"/>
        <v>52195.866912345213</v>
      </c>
      <c r="Q814">
        <v>116000</v>
      </c>
      <c r="R814">
        <v>1</v>
      </c>
      <c r="S814">
        <v>37</v>
      </c>
      <c r="T814">
        <v>0</v>
      </c>
      <c r="U814">
        <f t="shared" si="49"/>
        <v>11.759785542901755</v>
      </c>
      <c r="V814">
        <f t="shared" si="50"/>
        <v>8.0557924509777692</v>
      </c>
      <c r="W814">
        <v>1</v>
      </c>
      <c r="X814">
        <v>0</v>
      </c>
      <c r="Y814">
        <v>1</v>
      </c>
      <c r="Z814">
        <f>'Résultat (Ln)'!F$30+'Résultat (Ln)'!F$31*Données!S814+'Résultat (Ln)'!F$32*Données!T814+'Résultat (Ln)'!F$33*Données!U814+'Résultat (Ln)'!F$34*Données!V814+'Résultat (Ln)'!F$35*Données!W814+'Résultat (Ln)'!F$36*Données!X814+'Résultat (Ln)'!F$37*Données!Y814</f>
        <v>120514.41015955458</v>
      </c>
      <c r="AA814">
        <f t="shared" si="51"/>
        <v>-4514.4101595545799</v>
      </c>
    </row>
    <row r="815" spans="1:27" x14ac:dyDescent="0.25">
      <c r="A815">
        <v>49000</v>
      </c>
      <c r="B815">
        <v>1</v>
      </c>
      <c r="C815">
        <v>18.39999961853027</v>
      </c>
      <c r="D815">
        <v>0</v>
      </c>
      <c r="E815">
        <v>61000</v>
      </c>
      <c r="F815">
        <v>3485</v>
      </c>
      <c r="G815">
        <v>1</v>
      </c>
      <c r="H815">
        <v>0</v>
      </c>
      <c r="I815">
        <v>1</v>
      </c>
      <c r="J815">
        <v>16.60000038146973</v>
      </c>
      <c r="K815">
        <v>0</v>
      </c>
      <c r="L815">
        <f>Résultats!G$32+Résultats!G$33*Données!C815+Résultats!G$34*Données!D815+Résultats!G$35*Données!E815+Résultats!G$36*Données!F815+Résultats!G$37*Données!G815+Résultats!G$38*Données!H815+Résultats!G$39*Données!I815</f>
        <v>69876.554230174865</v>
      </c>
      <c r="M815">
        <f t="shared" si="48"/>
        <v>-20876.554230174865</v>
      </c>
      <c r="Q815">
        <v>180000</v>
      </c>
      <c r="R815">
        <v>1</v>
      </c>
      <c r="S815">
        <v>30</v>
      </c>
      <c r="T815">
        <v>0</v>
      </c>
      <c r="U815">
        <f t="shared" si="49"/>
        <v>12.196022309676673</v>
      </c>
      <c r="V815">
        <f t="shared" si="50"/>
        <v>8.0297585204408222</v>
      </c>
      <c r="W815">
        <v>0</v>
      </c>
      <c r="X815">
        <v>1</v>
      </c>
      <c r="Y815">
        <v>0</v>
      </c>
      <c r="Z815">
        <f>'Résultat (Ln)'!F$30+'Résultat (Ln)'!F$31*Données!S815+'Résultat (Ln)'!F$32*Données!T815+'Résultat (Ln)'!F$33*Données!U815+'Résultat (Ln)'!F$34*Données!V815+'Résultat (Ln)'!F$35*Données!W815+'Résultat (Ln)'!F$36*Données!X815+'Résultat (Ln)'!F$37*Données!Y815</f>
        <v>139214.12758672758</v>
      </c>
      <c r="AA815">
        <f t="shared" si="51"/>
        <v>40785.872413272416</v>
      </c>
    </row>
    <row r="816" spans="1:27" x14ac:dyDescent="0.25">
      <c r="A816">
        <v>168000</v>
      </c>
      <c r="B816">
        <v>1</v>
      </c>
      <c r="C816">
        <v>37.400001525878913</v>
      </c>
      <c r="D816">
        <v>0</v>
      </c>
      <c r="E816">
        <v>177000</v>
      </c>
      <c r="F816">
        <v>3033</v>
      </c>
      <c r="G816">
        <v>1</v>
      </c>
      <c r="H816">
        <v>0</v>
      </c>
      <c r="I816">
        <v>0</v>
      </c>
      <c r="J816">
        <v>31.719999313354489</v>
      </c>
      <c r="K816">
        <v>0</v>
      </c>
      <c r="L816">
        <f>Résultats!G$32+Résultats!G$33*Données!C816+Résultats!G$34*Données!D816+Résultats!G$35*Données!E816+Résultats!G$36*Données!F816+Résultats!G$37*Données!G816+Résultats!G$38*Données!H816+Résultats!G$39*Données!I816</f>
        <v>135066.53604406017</v>
      </c>
      <c r="M816">
        <f t="shared" si="48"/>
        <v>32933.463955939835</v>
      </c>
      <c r="Q816">
        <v>49000</v>
      </c>
      <c r="R816">
        <v>1</v>
      </c>
      <c r="S816">
        <v>18.39999961853027</v>
      </c>
      <c r="T816">
        <v>0</v>
      </c>
      <c r="U816">
        <f t="shared" si="49"/>
        <v>11.018629143155449</v>
      </c>
      <c r="V816">
        <f t="shared" si="50"/>
        <v>8.1562233231946237</v>
      </c>
      <c r="W816">
        <v>1</v>
      </c>
      <c r="X816">
        <v>0</v>
      </c>
      <c r="Y816">
        <v>1</v>
      </c>
      <c r="Z816">
        <f>'Résultat (Ln)'!F$30+'Résultat (Ln)'!F$31*Données!S816+'Résultat (Ln)'!F$32*Données!T816+'Résultat (Ln)'!F$33*Données!U816+'Résultat (Ln)'!F$34*Données!V816+'Résultat (Ln)'!F$35*Données!W816+'Résultat (Ln)'!F$36*Données!X816+'Résultat (Ln)'!F$37*Données!Y816</f>
        <v>21152.431048940278</v>
      </c>
      <c r="AA816">
        <f t="shared" si="51"/>
        <v>27847.568951059722</v>
      </c>
    </row>
    <row r="817" spans="1:27" x14ac:dyDescent="0.25">
      <c r="A817">
        <v>216000</v>
      </c>
      <c r="B817">
        <v>1</v>
      </c>
      <c r="C817">
        <v>34.799999237060547</v>
      </c>
      <c r="D817">
        <v>0</v>
      </c>
      <c r="E817">
        <v>239899.9938964844</v>
      </c>
      <c r="F817">
        <v>7285</v>
      </c>
      <c r="G817">
        <v>1</v>
      </c>
      <c r="H817">
        <v>0</v>
      </c>
      <c r="I817">
        <v>1</v>
      </c>
      <c r="J817">
        <v>27.5</v>
      </c>
      <c r="K817">
        <v>1</v>
      </c>
      <c r="L817">
        <f>Résultats!G$32+Résultats!G$33*Données!C817+Résultats!G$34*Données!D817+Résultats!G$35*Données!E817+Résultats!G$36*Données!F817+Résultats!G$37*Données!G817+Résultats!G$38*Données!H817+Résultats!G$39*Données!I817</f>
        <v>179616.27691486999</v>
      </c>
      <c r="M817">
        <f t="shared" si="48"/>
        <v>36383.723085130012</v>
      </c>
      <c r="Q817">
        <v>168000</v>
      </c>
      <c r="R817">
        <v>1</v>
      </c>
      <c r="S817">
        <v>37.400001525878913</v>
      </c>
      <c r="T817">
        <v>0</v>
      </c>
      <c r="U817">
        <f t="shared" si="49"/>
        <v>12.083905011555967</v>
      </c>
      <c r="V817">
        <f t="shared" si="50"/>
        <v>8.0173075076885816</v>
      </c>
      <c r="W817">
        <v>1</v>
      </c>
      <c r="X817">
        <v>0</v>
      </c>
      <c r="Y817">
        <v>0</v>
      </c>
      <c r="Z817">
        <f>'Résultat (Ln)'!F$30+'Résultat (Ln)'!F$31*Données!S817+'Résultat (Ln)'!F$32*Données!T817+'Résultat (Ln)'!F$33*Données!U817+'Résultat (Ln)'!F$34*Données!V817+'Résultat (Ln)'!F$35*Données!W817+'Résultat (Ln)'!F$36*Données!X817+'Résultat (Ln)'!F$37*Données!Y817</f>
        <v>140581.12676298473</v>
      </c>
      <c r="AA817">
        <f t="shared" si="51"/>
        <v>27418.873237015272</v>
      </c>
    </row>
    <row r="818" spans="1:27" x14ac:dyDescent="0.25">
      <c r="A818">
        <v>113000</v>
      </c>
      <c r="B818">
        <v>1</v>
      </c>
      <c r="C818">
        <v>36</v>
      </c>
      <c r="D818">
        <v>0</v>
      </c>
      <c r="E818">
        <v>125000</v>
      </c>
      <c r="F818">
        <v>2783</v>
      </c>
      <c r="G818">
        <v>1</v>
      </c>
      <c r="H818">
        <v>0</v>
      </c>
      <c r="I818">
        <v>1</v>
      </c>
      <c r="J818">
        <v>23</v>
      </c>
      <c r="K818">
        <v>1</v>
      </c>
      <c r="L818">
        <f>Résultats!G$32+Résultats!G$33*Données!C818+Résultats!G$34*Données!D818+Résultats!G$35*Données!E818+Résultats!G$36*Données!F818+Résultats!G$37*Données!G818+Résultats!G$38*Données!H818+Résultats!G$39*Données!I818</f>
        <v>118617.83580511705</v>
      </c>
      <c r="M818">
        <f t="shared" si="48"/>
        <v>-5617.8358051170508</v>
      </c>
      <c r="Q818">
        <v>216000</v>
      </c>
      <c r="R818">
        <v>1</v>
      </c>
      <c r="S818">
        <v>34.799999237060547</v>
      </c>
      <c r="T818">
        <v>0</v>
      </c>
      <c r="U818">
        <f t="shared" si="49"/>
        <v>12.38797742338587</v>
      </c>
      <c r="V818">
        <f t="shared" si="50"/>
        <v>8.8935727186293043</v>
      </c>
      <c r="W818">
        <v>1</v>
      </c>
      <c r="X818">
        <v>0</v>
      </c>
      <c r="Y818">
        <v>1</v>
      </c>
      <c r="Z818">
        <f>'Résultat (Ln)'!F$30+'Résultat (Ln)'!F$31*Données!S818+'Résultat (Ln)'!F$32*Données!T818+'Résultat (Ln)'!F$33*Données!U818+'Résultat (Ln)'!F$34*Données!V818+'Résultat (Ln)'!F$35*Données!W818+'Résultat (Ln)'!F$36*Données!X818+'Résultat (Ln)'!F$37*Données!Y818</f>
        <v>208661.51539106609</v>
      </c>
      <c r="AA818">
        <f t="shared" si="51"/>
        <v>7338.4846089339117</v>
      </c>
    </row>
    <row r="819" spans="1:27" x14ac:dyDescent="0.25">
      <c r="A819">
        <v>108000</v>
      </c>
      <c r="B819">
        <v>1</v>
      </c>
      <c r="C819">
        <v>33</v>
      </c>
      <c r="D819">
        <v>0</v>
      </c>
      <c r="E819">
        <v>196000</v>
      </c>
      <c r="F819">
        <v>3980</v>
      </c>
      <c r="G819">
        <v>1</v>
      </c>
      <c r="H819">
        <v>0</v>
      </c>
      <c r="I819">
        <v>0</v>
      </c>
      <c r="J819">
        <v>28</v>
      </c>
      <c r="K819">
        <v>1</v>
      </c>
      <c r="L819">
        <f>Résultats!G$32+Résultats!G$33*Données!C819+Résultats!G$34*Données!D819+Résultats!G$35*Données!E819+Résultats!G$36*Données!F819+Résultats!G$37*Données!G819+Résultats!G$38*Données!H819+Résultats!G$39*Données!I819</f>
        <v>140719.58136336078</v>
      </c>
      <c r="M819">
        <f t="shared" si="48"/>
        <v>-32719.581363360776</v>
      </c>
      <c r="Q819">
        <v>113000</v>
      </c>
      <c r="R819">
        <v>1</v>
      </c>
      <c r="S819">
        <v>36</v>
      </c>
      <c r="T819">
        <v>0</v>
      </c>
      <c r="U819">
        <f t="shared" si="49"/>
        <v>11.736069016284437</v>
      </c>
      <c r="V819">
        <f t="shared" si="50"/>
        <v>7.931284761525891</v>
      </c>
      <c r="W819">
        <v>1</v>
      </c>
      <c r="X819">
        <v>0</v>
      </c>
      <c r="Y819">
        <v>1</v>
      </c>
      <c r="Z819">
        <f>'Résultat (Ln)'!F$30+'Résultat (Ln)'!F$31*Données!S819+'Résultat (Ln)'!F$32*Données!T819+'Résultat (Ln)'!F$33*Données!U819+'Résultat (Ln)'!F$34*Données!V819+'Résultat (Ln)'!F$35*Données!W819+'Résultat (Ln)'!F$36*Données!X819+'Résultat (Ln)'!F$37*Données!Y819</f>
        <v>113258.14581589906</v>
      </c>
      <c r="AA819">
        <f t="shared" si="51"/>
        <v>-258.1458158990572</v>
      </c>
    </row>
    <row r="820" spans="1:27" x14ac:dyDescent="0.25">
      <c r="A820">
        <v>177000</v>
      </c>
      <c r="B820">
        <v>1</v>
      </c>
      <c r="C820">
        <v>33.200000762939453</v>
      </c>
      <c r="D820">
        <v>0</v>
      </c>
      <c r="E820">
        <v>327500</v>
      </c>
      <c r="F820">
        <v>7500</v>
      </c>
      <c r="G820">
        <v>1</v>
      </c>
      <c r="H820">
        <v>0</v>
      </c>
      <c r="I820">
        <v>0</v>
      </c>
      <c r="J820">
        <v>33.009998321533203</v>
      </c>
      <c r="K820">
        <v>1</v>
      </c>
      <c r="L820">
        <f>Résultats!G$32+Résultats!G$33*Données!C820+Résultats!G$34*Données!D820+Résultats!G$35*Données!E820+Résultats!G$36*Données!F820+Résultats!G$37*Données!G820+Résultats!G$38*Données!H820+Résultats!G$39*Données!I820</f>
        <v>209174.68267346031</v>
      </c>
      <c r="M820">
        <f t="shared" si="48"/>
        <v>-32174.682673460309</v>
      </c>
      <c r="Q820">
        <v>108000</v>
      </c>
      <c r="R820">
        <v>1</v>
      </c>
      <c r="S820">
        <v>33</v>
      </c>
      <c r="T820">
        <v>0</v>
      </c>
      <c r="U820">
        <f t="shared" si="49"/>
        <v>12.185869938212655</v>
      </c>
      <c r="V820">
        <f t="shared" si="50"/>
        <v>8.2890370982784827</v>
      </c>
      <c r="W820">
        <v>1</v>
      </c>
      <c r="X820">
        <v>0</v>
      </c>
      <c r="Y820">
        <v>0</v>
      </c>
      <c r="Z820">
        <f>'Résultat (Ln)'!F$30+'Résultat (Ln)'!F$31*Données!S820+'Résultat (Ln)'!F$32*Données!T820+'Résultat (Ln)'!F$33*Données!U820+'Résultat (Ln)'!F$34*Données!V820+'Résultat (Ln)'!F$35*Données!W820+'Résultat (Ln)'!F$36*Données!X820+'Résultat (Ln)'!F$37*Données!Y820</f>
        <v>153755.20451500989</v>
      </c>
      <c r="AA820">
        <f t="shared" si="51"/>
        <v>-45755.204515009886</v>
      </c>
    </row>
    <row r="821" spans="1:27" x14ac:dyDescent="0.25">
      <c r="A821">
        <v>201000</v>
      </c>
      <c r="B821">
        <v>1</v>
      </c>
      <c r="C821">
        <v>34</v>
      </c>
      <c r="D821">
        <v>0</v>
      </c>
      <c r="E821">
        <v>212000</v>
      </c>
      <c r="F821">
        <v>1668</v>
      </c>
      <c r="G821">
        <v>1</v>
      </c>
      <c r="H821">
        <v>0</v>
      </c>
      <c r="I821">
        <v>0</v>
      </c>
      <c r="J821">
        <v>18</v>
      </c>
      <c r="K821">
        <v>1</v>
      </c>
      <c r="L821">
        <f>Résultats!G$32+Résultats!G$33*Données!C821+Résultats!G$34*Données!D821+Résultats!G$35*Données!E821+Résultats!G$36*Données!F821+Résultats!G$37*Données!G821+Résultats!G$38*Données!H821+Résultats!G$39*Données!I821</f>
        <v>144859.33965161297</v>
      </c>
      <c r="M821">
        <f t="shared" si="48"/>
        <v>56140.660348387028</v>
      </c>
      <c r="Q821">
        <v>177000</v>
      </c>
      <c r="R821">
        <v>1</v>
      </c>
      <c r="S821">
        <v>33.200000762939453</v>
      </c>
      <c r="T821">
        <v>0</v>
      </c>
      <c r="U821">
        <f t="shared" si="49"/>
        <v>12.699243334057444</v>
      </c>
      <c r="V821">
        <f t="shared" si="50"/>
        <v>8.9226582995244019</v>
      </c>
      <c r="W821">
        <v>1</v>
      </c>
      <c r="X821">
        <v>0</v>
      </c>
      <c r="Y821">
        <v>0</v>
      </c>
      <c r="Z821">
        <f>'Résultat (Ln)'!F$30+'Résultat (Ln)'!F$31*Données!S821+'Résultat (Ln)'!F$32*Données!T821+'Résultat (Ln)'!F$33*Données!U821+'Résultat (Ln)'!F$34*Données!V821+'Résultat (Ln)'!F$35*Données!W821+'Résultat (Ln)'!F$36*Données!X821+'Résultat (Ln)'!F$37*Données!Y821</f>
        <v>226801.37455370385</v>
      </c>
      <c r="AA821">
        <f t="shared" si="51"/>
        <v>-49801.374553703849</v>
      </c>
    </row>
    <row r="822" spans="1:27" x14ac:dyDescent="0.25">
      <c r="A822">
        <v>138000</v>
      </c>
      <c r="B822">
        <v>1</v>
      </c>
      <c r="C822">
        <v>47</v>
      </c>
      <c r="D822">
        <v>0</v>
      </c>
      <c r="E822">
        <v>198000</v>
      </c>
      <c r="F822">
        <v>3427</v>
      </c>
      <c r="G822">
        <v>0</v>
      </c>
      <c r="H822">
        <v>0</v>
      </c>
      <c r="I822">
        <v>1</v>
      </c>
      <c r="J822">
        <v>39</v>
      </c>
      <c r="K822">
        <v>0</v>
      </c>
      <c r="L822">
        <f>Résultats!G$32+Résultats!G$33*Données!C822+Résultats!G$34*Données!D822+Résultats!G$35*Données!E822+Résultats!G$36*Données!F822+Résultats!G$37*Données!G822+Résultats!G$38*Données!H822+Résultats!G$39*Données!I822</f>
        <v>159572.11517101148</v>
      </c>
      <c r="M822">
        <f t="shared" si="48"/>
        <v>-21572.115171011479</v>
      </c>
      <c r="Q822">
        <v>201000</v>
      </c>
      <c r="R822">
        <v>1</v>
      </c>
      <c r="S822">
        <v>34</v>
      </c>
      <c r="T822">
        <v>0</v>
      </c>
      <c r="U822">
        <f t="shared" si="49"/>
        <v>12.26434155365415</v>
      </c>
      <c r="V822">
        <f t="shared" si="50"/>
        <v>7.4193805829186923</v>
      </c>
      <c r="W822">
        <v>1</v>
      </c>
      <c r="X822">
        <v>0</v>
      </c>
      <c r="Y822">
        <v>0</v>
      </c>
      <c r="Z822">
        <f>'Résultat (Ln)'!F$30+'Résultat (Ln)'!F$31*Données!S822+'Résultat (Ln)'!F$32*Données!T822+'Résultat (Ln)'!F$33*Données!U822+'Résultat (Ln)'!F$34*Données!V822+'Résultat (Ln)'!F$35*Données!W822+'Résultat (Ln)'!F$36*Données!X822+'Résultat (Ln)'!F$37*Données!Y822</f>
        <v>138998.8482383746</v>
      </c>
      <c r="AA822">
        <f t="shared" si="51"/>
        <v>62001.151761625399</v>
      </c>
    </row>
    <row r="823" spans="1:27" x14ac:dyDescent="0.25">
      <c r="A823">
        <v>126000</v>
      </c>
      <c r="B823">
        <v>1</v>
      </c>
      <c r="C823">
        <v>31</v>
      </c>
      <c r="D823">
        <v>0</v>
      </c>
      <c r="E823">
        <v>193000</v>
      </c>
      <c r="F823">
        <v>3940</v>
      </c>
      <c r="G823">
        <v>1</v>
      </c>
      <c r="H823">
        <v>0</v>
      </c>
      <c r="I823">
        <v>0</v>
      </c>
      <c r="J823">
        <v>28</v>
      </c>
      <c r="K823">
        <v>1</v>
      </c>
      <c r="L823">
        <f>Résultats!G$32+Résultats!G$33*Données!C823+Résultats!G$34*Données!D823+Résultats!G$35*Données!E823+Résultats!G$36*Données!F823+Résultats!G$37*Données!G823+Résultats!G$38*Données!H823+Résultats!G$39*Données!I823</f>
        <v>136943.86930447721</v>
      </c>
      <c r="M823">
        <f t="shared" si="48"/>
        <v>-10943.869304477208</v>
      </c>
      <c r="Q823">
        <v>138000</v>
      </c>
      <c r="R823">
        <v>1</v>
      </c>
      <c r="S823">
        <v>47</v>
      </c>
      <c r="T823">
        <v>0</v>
      </c>
      <c r="U823">
        <f t="shared" si="49"/>
        <v>12.196022309676673</v>
      </c>
      <c r="V823">
        <f t="shared" si="50"/>
        <v>8.139440521874608</v>
      </c>
      <c r="W823">
        <v>0</v>
      </c>
      <c r="X823">
        <v>0</v>
      </c>
      <c r="Y823">
        <v>1</v>
      </c>
      <c r="Z823">
        <f>'Résultat (Ln)'!F$30+'Résultat (Ln)'!F$31*Données!S823+'Résultat (Ln)'!F$32*Données!T823+'Résultat (Ln)'!F$33*Données!U823+'Résultat (Ln)'!F$34*Données!V823+'Résultat (Ln)'!F$35*Données!W823+'Résultat (Ln)'!F$36*Données!X823+'Résultat (Ln)'!F$37*Données!Y823</f>
        <v>177329.41275613624</v>
      </c>
      <c r="AA823">
        <f t="shared" si="51"/>
        <v>-39329.41275613624</v>
      </c>
    </row>
    <row r="824" spans="1:27" x14ac:dyDescent="0.25">
      <c r="A824">
        <v>105000</v>
      </c>
      <c r="B824">
        <v>1</v>
      </c>
      <c r="C824">
        <v>26</v>
      </c>
      <c r="D824">
        <v>0</v>
      </c>
      <c r="E824">
        <v>110000</v>
      </c>
      <c r="F824">
        <v>2586</v>
      </c>
      <c r="G824">
        <v>1</v>
      </c>
      <c r="H824">
        <v>0</v>
      </c>
      <c r="I824">
        <v>0</v>
      </c>
      <c r="J824">
        <v>22</v>
      </c>
      <c r="K824">
        <v>1</v>
      </c>
      <c r="L824">
        <f>Résultats!G$32+Résultats!G$33*Données!C824+Résultats!G$34*Données!D824+Résultats!G$35*Données!E824+Résultats!G$36*Données!F824+Résultats!G$37*Données!G824+Résultats!G$38*Données!H824+Résultats!G$39*Données!I824</f>
        <v>89819.632015827709</v>
      </c>
      <c r="M824">
        <f t="shared" si="48"/>
        <v>15180.367984172291</v>
      </c>
      <c r="Q824">
        <v>126000</v>
      </c>
      <c r="R824">
        <v>1</v>
      </c>
      <c r="S824">
        <v>31</v>
      </c>
      <c r="T824">
        <v>0</v>
      </c>
      <c r="U824">
        <f t="shared" si="49"/>
        <v>12.170445467887022</v>
      </c>
      <c r="V824">
        <f t="shared" si="50"/>
        <v>8.2789360022919798</v>
      </c>
      <c r="W824">
        <v>1</v>
      </c>
      <c r="X824">
        <v>0</v>
      </c>
      <c r="Y824">
        <v>0</v>
      </c>
      <c r="Z824">
        <f>'Résultat (Ln)'!F$30+'Résultat (Ln)'!F$31*Données!S824+'Résultat (Ln)'!F$32*Données!T824+'Résultat (Ln)'!F$33*Données!U824+'Résultat (Ln)'!F$34*Données!V824+'Résultat (Ln)'!F$35*Données!W824+'Résultat (Ln)'!F$36*Données!X824+'Résultat (Ln)'!F$37*Données!Y824</f>
        <v>149374.39449730926</v>
      </c>
      <c r="AA824">
        <f t="shared" si="51"/>
        <v>-23374.394497309258</v>
      </c>
    </row>
    <row r="825" spans="1:27" x14ac:dyDescent="0.25">
      <c r="A825">
        <v>201000</v>
      </c>
      <c r="B825">
        <v>1</v>
      </c>
      <c r="C825">
        <v>35</v>
      </c>
      <c r="D825">
        <v>0</v>
      </c>
      <c r="E825">
        <v>251000</v>
      </c>
      <c r="F825">
        <v>8000</v>
      </c>
      <c r="G825">
        <v>1</v>
      </c>
      <c r="H825">
        <v>0</v>
      </c>
      <c r="I825">
        <v>1</v>
      </c>
      <c r="J825">
        <v>26</v>
      </c>
      <c r="K825">
        <v>1</v>
      </c>
      <c r="L825">
        <f>Résultats!G$32+Résultats!G$33*Données!C825+Résultats!G$34*Données!D825+Résultats!G$35*Données!E825+Résultats!G$36*Données!F825+Résultats!G$37*Données!G825+Résultats!G$38*Données!H825+Résultats!G$39*Données!I825</f>
        <v>186414.71396589756</v>
      </c>
      <c r="M825">
        <f t="shared" si="48"/>
        <v>14585.286034102435</v>
      </c>
      <c r="Q825">
        <v>105000</v>
      </c>
      <c r="R825">
        <v>1</v>
      </c>
      <c r="S825">
        <v>26</v>
      </c>
      <c r="T825">
        <v>0</v>
      </c>
      <c r="U825">
        <f t="shared" si="49"/>
        <v>11.608235644774552</v>
      </c>
      <c r="V825">
        <f t="shared" si="50"/>
        <v>7.8578675593318028</v>
      </c>
      <c r="W825">
        <v>1</v>
      </c>
      <c r="X825">
        <v>0</v>
      </c>
      <c r="Y825">
        <v>0</v>
      </c>
      <c r="Z825">
        <f>'Résultat (Ln)'!F$30+'Résultat (Ln)'!F$31*Données!S825+'Résultat (Ln)'!F$32*Données!T825+'Résultat (Ln)'!F$33*Données!U825+'Résultat (Ln)'!F$34*Données!V825+'Résultat (Ln)'!F$35*Données!W825+'Résultat (Ln)'!F$36*Données!X825+'Résultat (Ln)'!F$37*Données!Y825</f>
        <v>71188.590891573214</v>
      </c>
      <c r="AA825">
        <f t="shared" si="51"/>
        <v>33811.409108426786</v>
      </c>
    </row>
    <row r="826" spans="1:27" x14ac:dyDescent="0.25">
      <c r="A826">
        <v>110000</v>
      </c>
      <c r="B826">
        <v>1</v>
      </c>
      <c r="C826">
        <v>28</v>
      </c>
      <c r="D826">
        <v>0</v>
      </c>
      <c r="E826">
        <v>149000</v>
      </c>
      <c r="F826">
        <v>4041</v>
      </c>
      <c r="G826">
        <v>0</v>
      </c>
      <c r="H826">
        <v>0</v>
      </c>
      <c r="I826">
        <v>1</v>
      </c>
      <c r="J826">
        <v>28</v>
      </c>
      <c r="K826">
        <v>1</v>
      </c>
      <c r="L826">
        <f>Résultats!G$32+Résultats!G$33*Données!C826+Résultats!G$34*Données!D826+Résultats!G$35*Données!E826+Résultats!G$36*Données!F826+Résultats!G$37*Données!G826+Résultats!G$38*Données!H826+Résultats!G$39*Données!I826</f>
        <v>116056.46924539024</v>
      </c>
      <c r="M826">
        <f t="shared" si="48"/>
        <v>-6056.4692453902389</v>
      </c>
      <c r="Q826">
        <v>201000</v>
      </c>
      <c r="R826">
        <v>1</v>
      </c>
      <c r="S826">
        <v>35</v>
      </c>
      <c r="T826">
        <v>0</v>
      </c>
      <c r="U826">
        <f t="shared" si="49"/>
        <v>12.43320821811392</v>
      </c>
      <c r="V826">
        <f t="shared" si="50"/>
        <v>8.987196820661973</v>
      </c>
      <c r="W826">
        <v>1</v>
      </c>
      <c r="X826">
        <v>0</v>
      </c>
      <c r="Y826">
        <v>1</v>
      </c>
      <c r="Z826">
        <f>'Résultat (Ln)'!F$30+'Résultat (Ln)'!F$31*Données!S826+'Résultat (Ln)'!F$32*Données!T826+'Résultat (Ln)'!F$33*Données!U826+'Résultat (Ln)'!F$34*Données!V826+'Résultat (Ln)'!F$35*Données!W826+'Résultat (Ln)'!F$36*Données!X826+'Résultat (Ln)'!F$37*Données!Y826</f>
        <v>216380.2273508028</v>
      </c>
      <c r="AA826">
        <f t="shared" si="51"/>
        <v>-15380.227350802801</v>
      </c>
    </row>
    <row r="827" spans="1:27" x14ac:dyDescent="0.25">
      <c r="A827">
        <v>104000</v>
      </c>
      <c r="B827">
        <v>1</v>
      </c>
      <c r="C827">
        <v>29</v>
      </c>
      <c r="D827">
        <v>0</v>
      </c>
      <c r="E827">
        <v>145000</v>
      </c>
      <c r="F827">
        <v>2583</v>
      </c>
      <c r="G827">
        <v>0</v>
      </c>
      <c r="H827">
        <v>0</v>
      </c>
      <c r="I827">
        <v>1</v>
      </c>
      <c r="J827">
        <v>22</v>
      </c>
      <c r="K827">
        <v>1</v>
      </c>
      <c r="L827">
        <f>Résultats!G$32+Résultats!G$33*Données!C827+Résultats!G$34*Données!D827+Résultats!G$35*Données!E827+Résultats!G$36*Données!F827+Résultats!G$37*Données!G827+Résultats!G$38*Données!H827+Résultats!G$39*Données!I827</f>
        <v>112512.0325705455</v>
      </c>
      <c r="M827">
        <f t="shared" si="48"/>
        <v>-8512.0325705455034</v>
      </c>
      <c r="Q827">
        <v>110000</v>
      </c>
      <c r="R827">
        <v>1</v>
      </c>
      <c r="S827">
        <v>28</v>
      </c>
      <c r="T827">
        <v>0</v>
      </c>
      <c r="U827">
        <f t="shared" si="49"/>
        <v>11.911701584927597</v>
      </c>
      <c r="V827">
        <f t="shared" si="50"/>
        <v>8.3042474650784737</v>
      </c>
      <c r="W827">
        <v>0</v>
      </c>
      <c r="X827">
        <v>0</v>
      </c>
      <c r="Y827">
        <v>1</v>
      </c>
      <c r="Z827">
        <f>'Résultat (Ln)'!F$30+'Résultat (Ln)'!F$31*Données!S827+'Résultat (Ln)'!F$32*Données!T827+'Résultat (Ln)'!F$33*Données!U827+'Résultat (Ln)'!F$34*Données!V827+'Résultat (Ln)'!F$35*Données!W827+'Résultat (Ln)'!F$36*Données!X827+'Résultat (Ln)'!F$37*Données!Y827</f>
        <v>128254.85460512096</v>
      </c>
      <c r="AA827">
        <f t="shared" si="51"/>
        <v>-18254.854605120956</v>
      </c>
    </row>
    <row r="828" spans="1:27" x14ac:dyDescent="0.25">
      <c r="A828">
        <v>148000</v>
      </c>
      <c r="B828">
        <v>1</v>
      </c>
      <c r="C828">
        <v>41.200000762939453</v>
      </c>
      <c r="D828">
        <v>0</v>
      </c>
      <c r="E828">
        <v>147899.9938964844</v>
      </c>
      <c r="F828">
        <v>5000</v>
      </c>
      <c r="G828">
        <v>0</v>
      </c>
      <c r="H828">
        <v>0</v>
      </c>
      <c r="I828">
        <v>0</v>
      </c>
      <c r="J828">
        <v>30.79999923706055</v>
      </c>
      <c r="K828">
        <v>1</v>
      </c>
      <c r="L828">
        <f>Résultats!G$32+Résultats!G$33*Données!C828+Résultats!G$34*Données!D828+Résultats!G$35*Données!E828+Résultats!G$36*Données!F828+Résultats!G$37*Données!G828+Résultats!G$38*Données!H828+Résultats!G$39*Données!I828</f>
        <v>122638.14890730484</v>
      </c>
      <c r="M828">
        <f t="shared" si="48"/>
        <v>25361.851092695157</v>
      </c>
      <c r="Q828">
        <v>104000</v>
      </c>
      <c r="R828">
        <v>1</v>
      </c>
      <c r="S828">
        <v>29</v>
      </c>
      <c r="T828">
        <v>0</v>
      </c>
      <c r="U828">
        <f t="shared" si="49"/>
        <v>11.884489021402711</v>
      </c>
      <c r="V828">
        <f t="shared" si="50"/>
        <v>7.8567067930958405</v>
      </c>
      <c r="W828">
        <v>0</v>
      </c>
      <c r="X828">
        <v>0</v>
      </c>
      <c r="Y828">
        <v>1</v>
      </c>
      <c r="Z828">
        <f>'Résultat (Ln)'!F$30+'Résultat (Ln)'!F$31*Données!S828+'Résultat (Ln)'!F$32*Données!T828+'Résultat (Ln)'!F$33*Données!U828+'Résultat (Ln)'!F$34*Données!V828+'Résultat (Ln)'!F$35*Données!W828+'Résultat (Ln)'!F$36*Données!X828+'Résultat (Ln)'!F$37*Données!Y828</f>
        <v>114008.19642171782</v>
      </c>
      <c r="AA828">
        <f t="shared" si="51"/>
        <v>-10008.196421717817</v>
      </c>
    </row>
    <row r="829" spans="1:27" x14ac:dyDescent="0.25">
      <c r="A829">
        <v>279000</v>
      </c>
      <c r="B829">
        <v>1</v>
      </c>
      <c r="C829">
        <v>41</v>
      </c>
      <c r="D829">
        <v>0</v>
      </c>
      <c r="E829">
        <v>310000</v>
      </c>
      <c r="F829">
        <v>2661</v>
      </c>
      <c r="G829">
        <v>1</v>
      </c>
      <c r="H829">
        <v>0</v>
      </c>
      <c r="I829">
        <v>0</v>
      </c>
      <c r="J829">
        <v>35</v>
      </c>
      <c r="K829">
        <v>1</v>
      </c>
      <c r="L829">
        <f>Résultats!G$32+Résultats!G$33*Données!C829+Résultats!G$34*Données!D829+Résultats!G$35*Données!E829+Résultats!G$36*Données!F829+Résultats!G$37*Données!G829+Résultats!G$38*Données!H829+Résultats!G$39*Données!I829</f>
        <v>200585.67548954941</v>
      </c>
      <c r="M829">
        <f t="shared" si="48"/>
        <v>78414.324510450591</v>
      </c>
      <c r="Q829">
        <v>148000</v>
      </c>
      <c r="R829">
        <v>1</v>
      </c>
      <c r="S829">
        <v>41.200000762939453</v>
      </c>
      <c r="T829">
        <v>0</v>
      </c>
      <c r="U829">
        <f t="shared" si="49"/>
        <v>11.904291607431036</v>
      </c>
      <c r="V829">
        <f t="shared" si="50"/>
        <v>8.5171931914162382</v>
      </c>
      <c r="W829">
        <v>0</v>
      </c>
      <c r="X829">
        <v>0</v>
      </c>
      <c r="Y829">
        <v>0</v>
      </c>
      <c r="Z829">
        <f>'Résultat (Ln)'!F$30+'Résultat (Ln)'!F$31*Données!S829+'Résultat (Ln)'!F$32*Données!T829+'Résultat (Ln)'!F$33*Données!U829+'Résultat (Ln)'!F$34*Données!V829+'Résultat (Ln)'!F$35*Données!W829+'Résultat (Ln)'!F$36*Données!X829+'Résultat (Ln)'!F$37*Données!Y829</f>
        <v>135476.78041582424</v>
      </c>
      <c r="AA829">
        <f t="shared" si="51"/>
        <v>12523.219584175764</v>
      </c>
    </row>
    <row r="830" spans="1:27" x14ac:dyDescent="0.25">
      <c r="A830">
        <v>192000</v>
      </c>
      <c r="B830">
        <v>1</v>
      </c>
      <c r="C830">
        <v>32</v>
      </c>
      <c r="D830">
        <v>1</v>
      </c>
      <c r="E830">
        <v>240000</v>
      </c>
      <c r="F830">
        <v>16250</v>
      </c>
      <c r="G830">
        <v>0</v>
      </c>
      <c r="H830">
        <v>0</v>
      </c>
      <c r="I830">
        <v>0</v>
      </c>
      <c r="J830">
        <v>12</v>
      </c>
      <c r="K830">
        <v>1</v>
      </c>
      <c r="L830">
        <f>Résultats!G$32+Résultats!G$33*Données!C830+Résultats!G$34*Données!D830+Résultats!G$35*Données!E830+Résultats!G$36*Données!F830+Résultats!G$37*Données!G830+Résultats!G$38*Données!H830+Résultats!G$39*Données!I830</f>
        <v>181725.13601790415</v>
      </c>
      <c r="M830">
        <f t="shared" si="48"/>
        <v>10274.863982095849</v>
      </c>
      <c r="Q830">
        <v>279000</v>
      </c>
      <c r="R830">
        <v>1</v>
      </c>
      <c r="S830">
        <v>41</v>
      </c>
      <c r="T830">
        <v>0</v>
      </c>
      <c r="U830">
        <f t="shared" si="49"/>
        <v>12.644327576461329</v>
      </c>
      <c r="V830">
        <f t="shared" si="50"/>
        <v>7.8864572709776892</v>
      </c>
      <c r="W830">
        <v>1</v>
      </c>
      <c r="X830">
        <v>0</v>
      </c>
      <c r="Y830">
        <v>0</v>
      </c>
      <c r="Z830">
        <f>'Résultat (Ln)'!F$30+'Résultat (Ln)'!F$31*Données!S830+'Résultat (Ln)'!F$32*Données!T830+'Résultat (Ln)'!F$33*Données!U830+'Résultat (Ln)'!F$34*Données!V830+'Résultat (Ln)'!F$35*Données!W830+'Résultat (Ln)'!F$36*Données!X830+'Résultat (Ln)'!F$37*Données!Y830</f>
        <v>201385.48801286297</v>
      </c>
      <c r="AA830">
        <f t="shared" si="51"/>
        <v>77614.511987137026</v>
      </c>
    </row>
    <row r="831" spans="1:27" x14ac:dyDescent="0.25">
      <c r="A831">
        <v>284000</v>
      </c>
      <c r="B831">
        <v>1</v>
      </c>
      <c r="C831">
        <v>32</v>
      </c>
      <c r="D831">
        <v>0</v>
      </c>
      <c r="E831">
        <v>355000</v>
      </c>
      <c r="F831">
        <v>6833</v>
      </c>
      <c r="G831">
        <v>1</v>
      </c>
      <c r="H831">
        <v>0</v>
      </c>
      <c r="I831">
        <v>0</v>
      </c>
      <c r="J831">
        <v>25</v>
      </c>
      <c r="K831">
        <v>1</v>
      </c>
      <c r="L831">
        <f>Résultats!G$32+Résultats!G$33*Données!C831+Résultats!G$34*Données!D831+Résultats!G$35*Données!E831+Résultats!G$36*Données!F831+Résultats!G$37*Données!G831+Résultats!G$38*Données!H831+Résultats!G$39*Données!I831</f>
        <v>219344.98805769099</v>
      </c>
      <c r="M831">
        <f t="shared" si="48"/>
        <v>64655.011942309007</v>
      </c>
      <c r="Q831">
        <v>192000</v>
      </c>
      <c r="R831">
        <v>1</v>
      </c>
      <c r="S831">
        <v>32</v>
      </c>
      <c r="T831">
        <v>1</v>
      </c>
      <c r="U831">
        <f t="shared" si="49"/>
        <v>12.388394202324129</v>
      </c>
      <c r="V831">
        <f t="shared" si="50"/>
        <v>9.6958481877578837</v>
      </c>
      <c r="W831">
        <v>0</v>
      </c>
      <c r="X831">
        <v>0</v>
      </c>
      <c r="Y831">
        <v>0</v>
      </c>
      <c r="Z831">
        <f>'Résultat (Ln)'!F$30+'Résultat (Ln)'!F$31*Données!S831+'Résultat (Ln)'!F$32*Données!T831+'Résultat (Ln)'!F$33*Données!U831+'Résultat (Ln)'!F$34*Données!V831+'Résultat (Ln)'!F$35*Données!W831+'Résultat (Ln)'!F$36*Données!X831+'Résultat (Ln)'!F$37*Données!Y831</f>
        <v>213532.78031799494</v>
      </c>
      <c r="AA831">
        <f t="shared" si="51"/>
        <v>-21532.780317994941</v>
      </c>
    </row>
    <row r="832" spans="1:27" x14ac:dyDescent="0.25">
      <c r="A832">
        <v>255000</v>
      </c>
      <c r="B832">
        <v>1</v>
      </c>
      <c r="C832">
        <v>83</v>
      </c>
      <c r="D832">
        <v>0</v>
      </c>
      <c r="E832">
        <v>350000</v>
      </c>
      <c r="F832">
        <v>3083</v>
      </c>
      <c r="G832">
        <v>0</v>
      </c>
      <c r="H832">
        <v>0</v>
      </c>
      <c r="I832">
        <v>1</v>
      </c>
      <c r="J832">
        <v>72</v>
      </c>
      <c r="K832">
        <v>0</v>
      </c>
      <c r="L832">
        <f>Résultats!G$32+Résultats!G$33*Données!C832+Résultats!G$34*Données!D832+Résultats!G$35*Données!E832+Résultats!G$36*Données!F832+Résultats!G$37*Données!G832+Résultats!G$38*Données!H832+Résultats!G$39*Données!I832</f>
        <v>271234.54680366814</v>
      </c>
      <c r="M832">
        <f t="shared" si="48"/>
        <v>-16234.546803668141</v>
      </c>
      <c r="Q832">
        <v>284000</v>
      </c>
      <c r="R832">
        <v>1</v>
      </c>
      <c r="S832">
        <v>32</v>
      </c>
      <c r="T832">
        <v>0</v>
      </c>
      <c r="U832">
        <f t="shared" si="49"/>
        <v>12.779873068457553</v>
      </c>
      <c r="V832">
        <f t="shared" si="50"/>
        <v>8.8295190947807782</v>
      </c>
      <c r="W832">
        <v>1</v>
      </c>
      <c r="X832">
        <v>0</v>
      </c>
      <c r="Y832">
        <v>0</v>
      </c>
      <c r="Z832">
        <f>'Résultat (Ln)'!F$30+'Résultat (Ln)'!F$31*Données!S832+'Résultat (Ln)'!F$32*Données!T832+'Résultat (Ln)'!F$33*Données!U832+'Résultat (Ln)'!F$34*Données!V832+'Résultat (Ln)'!F$35*Données!W832+'Résultat (Ln)'!F$36*Données!X832+'Résultat (Ln)'!F$37*Données!Y832</f>
        <v>231365.91165924375</v>
      </c>
      <c r="AA832">
        <f t="shared" si="51"/>
        <v>52634.088340756251</v>
      </c>
    </row>
    <row r="833" spans="1:27" x14ac:dyDescent="0.25">
      <c r="A833">
        <v>168000</v>
      </c>
      <c r="B833">
        <v>1</v>
      </c>
      <c r="C833">
        <v>28.89999961853027</v>
      </c>
      <c r="D833">
        <v>0</v>
      </c>
      <c r="E833">
        <v>209500</v>
      </c>
      <c r="F833">
        <v>4550</v>
      </c>
      <c r="G833">
        <v>1</v>
      </c>
      <c r="H833">
        <v>0</v>
      </c>
      <c r="I833">
        <v>0</v>
      </c>
      <c r="J833">
        <v>23</v>
      </c>
      <c r="K833">
        <v>1</v>
      </c>
      <c r="L833">
        <f>Résultats!G$32+Résultats!G$33*Données!C833+Résultats!G$34*Données!D833+Résultats!G$35*Données!E833+Résultats!G$36*Données!F833+Résultats!G$37*Données!G833+Résultats!G$38*Données!H833+Résultats!G$39*Données!I833</f>
        <v>143418.44029635628</v>
      </c>
      <c r="M833">
        <f t="shared" si="48"/>
        <v>24581.559703643725</v>
      </c>
      <c r="Q833">
        <v>255000</v>
      </c>
      <c r="R833">
        <v>1</v>
      </c>
      <c r="S833">
        <v>83</v>
      </c>
      <c r="T833">
        <v>0</v>
      </c>
      <c r="U833">
        <f t="shared" si="49"/>
        <v>12.765688433465597</v>
      </c>
      <c r="V833">
        <f t="shared" si="50"/>
        <v>8.0336584278861505</v>
      </c>
      <c r="W833">
        <v>0</v>
      </c>
      <c r="X833">
        <v>0</v>
      </c>
      <c r="Y833">
        <v>1</v>
      </c>
      <c r="Z833">
        <f>'Résultat (Ln)'!F$30+'Résultat (Ln)'!F$31*Données!S833+'Résultat (Ln)'!F$32*Données!T833+'Résultat (Ln)'!F$33*Données!U833+'Résultat (Ln)'!F$34*Données!V833+'Résultat (Ln)'!F$35*Données!W833+'Résultat (Ln)'!F$36*Données!X833+'Résultat (Ln)'!F$37*Données!Y833</f>
        <v>279421.82775088213</v>
      </c>
      <c r="AA833">
        <f t="shared" si="51"/>
        <v>-24421.827750882134</v>
      </c>
    </row>
    <row r="834" spans="1:27" x14ac:dyDescent="0.25">
      <c r="A834">
        <v>119000</v>
      </c>
      <c r="B834">
        <v>1</v>
      </c>
      <c r="C834">
        <v>19</v>
      </c>
      <c r="D834">
        <v>0</v>
      </c>
      <c r="E834">
        <v>158000</v>
      </c>
      <c r="F834">
        <v>3916</v>
      </c>
      <c r="G834">
        <v>0</v>
      </c>
      <c r="H834">
        <v>0</v>
      </c>
      <c r="I834">
        <v>0</v>
      </c>
      <c r="J834">
        <v>18</v>
      </c>
      <c r="K834">
        <v>1</v>
      </c>
      <c r="L834">
        <f>Résultats!G$32+Résultats!G$33*Données!C834+Résultats!G$34*Données!D834+Résultats!G$35*Données!E834+Résultats!G$36*Données!F834+Résultats!G$37*Données!G834+Résultats!G$38*Données!H834+Résultats!G$39*Données!I834</f>
        <v>99753.33497369595</v>
      </c>
      <c r="M834">
        <f t="shared" si="48"/>
        <v>19246.66502630405</v>
      </c>
      <c r="Q834">
        <v>168000</v>
      </c>
      <c r="R834">
        <v>1</v>
      </c>
      <c r="S834">
        <v>28.89999961853027</v>
      </c>
      <c r="T834">
        <v>0</v>
      </c>
      <c r="U834">
        <f t="shared" si="49"/>
        <v>12.25247901834433</v>
      </c>
      <c r="V834">
        <f t="shared" si="50"/>
        <v>8.4228825119449962</v>
      </c>
      <c r="W834">
        <v>1</v>
      </c>
      <c r="X834">
        <v>0</v>
      </c>
      <c r="Y834">
        <v>0</v>
      </c>
      <c r="Z834">
        <f>'Résultat (Ln)'!F$30+'Résultat (Ln)'!F$31*Données!S834+'Résultat (Ln)'!F$32*Données!T834+'Résultat (Ln)'!F$33*Données!U834+'Résultat (Ln)'!F$34*Données!V834+'Résultat (Ln)'!F$35*Données!W834+'Résultat (Ln)'!F$36*Données!X834+'Résultat (Ln)'!F$37*Données!Y834</f>
        <v>159638.83489522801</v>
      </c>
      <c r="AA834">
        <f t="shared" si="51"/>
        <v>8361.1651047719934</v>
      </c>
    </row>
    <row r="835" spans="1:27" x14ac:dyDescent="0.25">
      <c r="A835">
        <v>115000</v>
      </c>
      <c r="B835">
        <v>1</v>
      </c>
      <c r="C835">
        <v>20</v>
      </c>
      <c r="D835">
        <v>0</v>
      </c>
      <c r="E835">
        <v>145000</v>
      </c>
      <c r="F835">
        <v>6045</v>
      </c>
      <c r="G835">
        <v>0</v>
      </c>
      <c r="H835">
        <v>0</v>
      </c>
      <c r="I835">
        <v>1</v>
      </c>
      <c r="J835">
        <v>20</v>
      </c>
      <c r="K835">
        <v>1</v>
      </c>
      <c r="L835">
        <f>Résultats!G$32+Résultats!G$33*Données!C835+Résultats!G$34*Données!D835+Résultats!G$35*Données!E835+Résultats!G$36*Données!F835+Résultats!G$37*Données!G835+Résultats!G$38*Données!H835+Résultats!G$39*Données!I835</f>
        <v>108882.61901873257</v>
      </c>
      <c r="M835">
        <f t="shared" ref="M835:M898" si="52">A835-L835</f>
        <v>6117.3809812674299</v>
      </c>
      <c r="Q835">
        <v>119000</v>
      </c>
      <c r="R835">
        <v>1</v>
      </c>
      <c r="S835">
        <v>19</v>
      </c>
      <c r="T835">
        <v>0</v>
      </c>
      <c r="U835">
        <f t="shared" si="49"/>
        <v>11.970350312009105</v>
      </c>
      <c r="V835">
        <f t="shared" si="50"/>
        <v>8.2728260036504011</v>
      </c>
      <c r="W835">
        <v>0</v>
      </c>
      <c r="X835">
        <v>0</v>
      </c>
      <c r="Y835">
        <v>0</v>
      </c>
      <c r="Z835">
        <f>'Résultat (Ln)'!F$30+'Résultat (Ln)'!F$31*Données!S835+'Résultat (Ln)'!F$32*Données!T835+'Résultat (Ln)'!F$33*Données!U835+'Résultat (Ln)'!F$34*Données!V835+'Résultat (Ln)'!F$35*Données!W835+'Résultat (Ln)'!F$36*Données!X835+'Résultat (Ln)'!F$37*Données!Y835</f>
        <v>108575.19867754992</v>
      </c>
      <c r="AA835">
        <f t="shared" si="51"/>
        <v>10424.801322450076</v>
      </c>
    </row>
    <row r="836" spans="1:27" x14ac:dyDescent="0.25">
      <c r="A836">
        <v>180000</v>
      </c>
      <c r="B836">
        <v>1</v>
      </c>
      <c r="C836">
        <v>44</v>
      </c>
      <c r="D836">
        <v>0</v>
      </c>
      <c r="E836">
        <v>225000</v>
      </c>
      <c r="F836">
        <v>8409</v>
      </c>
      <c r="G836">
        <v>1</v>
      </c>
      <c r="H836">
        <v>0</v>
      </c>
      <c r="I836">
        <v>1</v>
      </c>
      <c r="J836">
        <v>17</v>
      </c>
      <c r="K836">
        <v>1</v>
      </c>
      <c r="L836">
        <f>Résultats!G$32+Résultats!G$33*Données!C836+Résultats!G$34*Données!D836+Résultats!G$35*Données!E836+Résultats!G$36*Données!F836+Résultats!G$37*Données!G836+Résultats!G$38*Données!H836+Résultats!G$39*Données!I836</f>
        <v>185404.51742506315</v>
      </c>
      <c r="M836">
        <f t="shared" si="52"/>
        <v>-5404.5174250631535</v>
      </c>
      <c r="Q836">
        <v>115000</v>
      </c>
      <c r="R836">
        <v>1</v>
      </c>
      <c r="S836">
        <v>20</v>
      </c>
      <c r="T836">
        <v>0</v>
      </c>
      <c r="U836">
        <f t="shared" ref="U836:U899" si="53">LN(E835)</f>
        <v>11.884489021402711</v>
      </c>
      <c r="V836">
        <f t="shared" ref="V836:V899" si="54">LN(F835)</f>
        <v>8.7069867630488922</v>
      </c>
      <c r="W836">
        <v>0</v>
      </c>
      <c r="X836">
        <v>0</v>
      </c>
      <c r="Y836">
        <v>1</v>
      </c>
      <c r="Z836">
        <f>'Résultat (Ln)'!F$30+'Résultat (Ln)'!F$31*Données!S836+'Résultat (Ln)'!F$32*Données!T836+'Résultat (Ln)'!F$33*Données!U836+'Résultat (Ln)'!F$34*Données!V836+'Résultat (Ln)'!F$35*Données!W836+'Résultat (Ln)'!F$36*Données!X836+'Résultat (Ln)'!F$37*Données!Y836</f>
        <v>126856.60362583585</v>
      </c>
      <c r="AA836">
        <f t="shared" ref="AA836:AA899" si="55">Q836-Z836</f>
        <v>-11856.603625835851</v>
      </c>
    </row>
    <row r="837" spans="1:27" x14ac:dyDescent="0.25">
      <c r="A837">
        <v>105000</v>
      </c>
      <c r="B837">
        <v>1</v>
      </c>
      <c r="C837">
        <v>20.10000038146973</v>
      </c>
      <c r="D837">
        <v>0</v>
      </c>
      <c r="E837">
        <v>120000</v>
      </c>
      <c r="F837">
        <v>6166</v>
      </c>
      <c r="G837">
        <v>1</v>
      </c>
      <c r="H837">
        <v>0</v>
      </c>
      <c r="I837">
        <v>1</v>
      </c>
      <c r="J837">
        <v>14.60000038146973</v>
      </c>
      <c r="K837">
        <v>1</v>
      </c>
      <c r="L837">
        <f>Résultats!G$32+Résultats!G$33*Données!C837+Résultats!G$34*Données!D837+Résultats!G$35*Données!E837+Résultats!G$36*Données!F837+Résultats!G$37*Données!G837+Résultats!G$38*Données!H837+Résultats!G$39*Données!I837</f>
        <v>104574.74553031693</v>
      </c>
      <c r="M837">
        <f t="shared" si="52"/>
        <v>425.25446968307369</v>
      </c>
      <c r="Q837">
        <v>180000</v>
      </c>
      <c r="R837">
        <v>1</v>
      </c>
      <c r="S837">
        <v>44</v>
      </c>
      <c r="T837">
        <v>0</v>
      </c>
      <c r="U837">
        <f t="shared" si="53"/>
        <v>12.323855681186558</v>
      </c>
      <c r="V837">
        <f t="shared" si="54"/>
        <v>9.0370578398328973</v>
      </c>
      <c r="W837">
        <v>1</v>
      </c>
      <c r="X837">
        <v>0</v>
      </c>
      <c r="Y837">
        <v>1</v>
      </c>
      <c r="Z837">
        <f>'Résultat (Ln)'!F$30+'Résultat (Ln)'!F$31*Données!S837+'Résultat (Ln)'!F$32*Données!T837+'Résultat (Ln)'!F$33*Données!U837+'Résultat (Ln)'!F$34*Données!V837+'Résultat (Ln)'!F$35*Données!W837+'Résultat (Ln)'!F$36*Données!X837+'Résultat (Ln)'!F$37*Données!Y837</f>
        <v>217054.88076086389</v>
      </c>
      <c r="AA837">
        <f t="shared" si="55"/>
        <v>-37054.880760863889</v>
      </c>
    </row>
    <row r="838" spans="1:27" x14ac:dyDescent="0.25">
      <c r="A838">
        <v>50000</v>
      </c>
      <c r="B838">
        <v>1</v>
      </c>
      <c r="C838">
        <v>55</v>
      </c>
      <c r="D838">
        <v>0</v>
      </c>
      <c r="E838">
        <v>87000</v>
      </c>
      <c r="F838">
        <v>1169</v>
      </c>
      <c r="G838">
        <v>1</v>
      </c>
      <c r="H838">
        <v>1</v>
      </c>
      <c r="I838">
        <v>1</v>
      </c>
      <c r="J838">
        <v>23</v>
      </c>
      <c r="K838">
        <v>1</v>
      </c>
      <c r="L838">
        <f>Résultats!G$32+Résultats!G$33*Données!C838+Résultats!G$34*Données!D838+Résultats!G$35*Données!E838+Résultats!G$36*Données!F838+Résultats!G$37*Données!G838+Résultats!G$38*Données!H838+Résultats!G$39*Données!I838</f>
        <v>117945.48351128717</v>
      </c>
      <c r="M838">
        <f t="shared" si="52"/>
        <v>-67945.483511287166</v>
      </c>
      <c r="Q838">
        <v>105000</v>
      </c>
      <c r="R838">
        <v>1</v>
      </c>
      <c r="S838">
        <v>20.10000038146973</v>
      </c>
      <c r="T838">
        <v>0</v>
      </c>
      <c r="U838">
        <f t="shared" si="53"/>
        <v>11.695247021764184</v>
      </c>
      <c r="V838">
        <f t="shared" si="54"/>
        <v>8.7268056084460959</v>
      </c>
      <c r="W838">
        <v>1</v>
      </c>
      <c r="X838">
        <v>0</v>
      </c>
      <c r="Y838">
        <v>1</v>
      </c>
      <c r="Z838">
        <f>'Résultat (Ln)'!F$30+'Résultat (Ln)'!F$31*Données!S838+'Résultat (Ln)'!F$32*Données!T838+'Résultat (Ln)'!F$33*Données!U838+'Résultat (Ln)'!F$34*Données!V838+'Résultat (Ln)'!F$35*Données!W838+'Résultat (Ln)'!F$36*Données!X838+'Résultat (Ln)'!F$37*Données!Y838</f>
        <v>111762.77094999696</v>
      </c>
      <c r="AA838">
        <f t="shared" si="55"/>
        <v>-6762.7709499969642</v>
      </c>
    </row>
    <row r="839" spans="1:27" x14ac:dyDescent="0.25">
      <c r="A839">
        <v>117000</v>
      </c>
      <c r="B839">
        <v>1</v>
      </c>
      <c r="C839">
        <v>33</v>
      </c>
      <c r="D839">
        <v>0</v>
      </c>
      <c r="E839">
        <v>144000</v>
      </c>
      <c r="F839">
        <v>2463</v>
      </c>
      <c r="G839">
        <v>1</v>
      </c>
      <c r="H839">
        <v>0</v>
      </c>
      <c r="I839">
        <v>0</v>
      </c>
      <c r="J839">
        <v>33</v>
      </c>
      <c r="K839">
        <v>1</v>
      </c>
      <c r="L839">
        <f>Résultats!G$32+Résultats!G$33*Données!C839+Résultats!G$34*Données!D839+Résultats!G$35*Données!E839+Résultats!G$36*Données!F839+Résultats!G$37*Données!G839+Résultats!G$38*Données!H839+Résultats!G$39*Données!I839</f>
        <v>113498.38795853296</v>
      </c>
      <c r="M839">
        <f t="shared" si="52"/>
        <v>3501.612041467044</v>
      </c>
      <c r="Q839">
        <v>50000</v>
      </c>
      <c r="R839">
        <v>1</v>
      </c>
      <c r="S839">
        <v>55</v>
      </c>
      <c r="T839">
        <v>0</v>
      </c>
      <c r="U839">
        <f t="shared" si="53"/>
        <v>11.373663397636721</v>
      </c>
      <c r="V839">
        <f t="shared" si="54"/>
        <v>7.063903961472068</v>
      </c>
      <c r="W839">
        <v>1</v>
      </c>
      <c r="X839">
        <v>1</v>
      </c>
      <c r="Y839">
        <v>1</v>
      </c>
      <c r="Z839">
        <f>'Résultat (Ln)'!F$30+'Résultat (Ln)'!F$31*Données!S839+'Résultat (Ln)'!F$32*Données!T839+'Résultat (Ln)'!F$33*Données!U839+'Résultat (Ln)'!F$34*Données!V839+'Résultat (Ln)'!F$35*Données!W839+'Résultat (Ln)'!F$36*Données!X839+'Résultat (Ln)'!F$37*Données!Y839</f>
        <v>73124.727341712714</v>
      </c>
      <c r="AA839">
        <f t="shared" si="55"/>
        <v>-23124.727341712714</v>
      </c>
    </row>
    <row r="840" spans="1:27" x14ac:dyDescent="0.25">
      <c r="A840">
        <v>94000</v>
      </c>
      <c r="B840">
        <v>1</v>
      </c>
      <c r="C840">
        <v>26.39999961853027</v>
      </c>
      <c r="D840">
        <v>0</v>
      </c>
      <c r="E840">
        <v>118000</v>
      </c>
      <c r="F840">
        <v>5250</v>
      </c>
      <c r="G840">
        <v>1</v>
      </c>
      <c r="H840">
        <v>0</v>
      </c>
      <c r="I840">
        <v>0</v>
      </c>
      <c r="J840">
        <v>25.85000038146973</v>
      </c>
      <c r="K840">
        <v>1</v>
      </c>
      <c r="L840">
        <f>Résultats!G$32+Résultats!G$33*Données!C840+Résultats!G$34*Données!D840+Résultats!G$35*Données!E840+Résultats!G$36*Données!F840+Résultats!G$37*Données!G840+Résultats!G$38*Données!H840+Résultats!G$39*Données!I840</f>
        <v>99176.991421046288</v>
      </c>
      <c r="M840">
        <f t="shared" si="52"/>
        <v>-5176.9914210462885</v>
      </c>
      <c r="Q840">
        <v>117000</v>
      </c>
      <c r="R840">
        <v>1</v>
      </c>
      <c r="S840">
        <v>33</v>
      </c>
      <c r="T840">
        <v>0</v>
      </c>
      <c r="U840">
        <f t="shared" si="53"/>
        <v>11.877568578558138</v>
      </c>
      <c r="V840">
        <f t="shared" si="54"/>
        <v>7.8091353981205378</v>
      </c>
      <c r="W840">
        <v>1</v>
      </c>
      <c r="X840">
        <v>0</v>
      </c>
      <c r="Y840">
        <v>0</v>
      </c>
      <c r="Z840">
        <f>'Résultat (Ln)'!F$30+'Résultat (Ln)'!F$31*Données!S840+'Résultat (Ln)'!F$32*Données!T840+'Résultat (Ln)'!F$33*Données!U840+'Résultat (Ln)'!F$34*Données!V840+'Résultat (Ln)'!F$35*Données!W840+'Résultat (Ln)'!F$36*Données!X840+'Résultat (Ln)'!F$37*Données!Y840</f>
        <v>107247.44196191271</v>
      </c>
      <c r="AA840">
        <f t="shared" si="55"/>
        <v>9752.5580380872852</v>
      </c>
    </row>
    <row r="841" spans="1:27" x14ac:dyDescent="0.25">
      <c r="A841">
        <v>72000</v>
      </c>
      <c r="B841">
        <v>1</v>
      </c>
      <c r="C841">
        <v>39</v>
      </c>
      <c r="D841">
        <v>0</v>
      </c>
      <c r="E841">
        <v>76000</v>
      </c>
      <c r="F841">
        <v>4855</v>
      </c>
      <c r="G841">
        <v>1</v>
      </c>
      <c r="H841">
        <v>0</v>
      </c>
      <c r="I841">
        <v>0</v>
      </c>
      <c r="J841">
        <v>18</v>
      </c>
      <c r="K841">
        <v>1</v>
      </c>
      <c r="L841">
        <f>Résultats!G$32+Résultats!G$33*Données!C841+Résultats!G$34*Données!D841+Résultats!G$35*Données!E841+Résultats!G$36*Données!F841+Résultats!G$37*Données!G841+Résultats!G$38*Données!H841+Résultats!G$39*Données!I841</f>
        <v>93272.775342389112</v>
      </c>
      <c r="M841">
        <f t="shared" si="52"/>
        <v>-21272.775342389112</v>
      </c>
      <c r="Q841">
        <v>94000</v>
      </c>
      <c r="R841">
        <v>1</v>
      </c>
      <c r="S841">
        <v>26.39999961853027</v>
      </c>
      <c r="T841">
        <v>0</v>
      </c>
      <c r="U841">
        <f t="shared" si="53"/>
        <v>11.678439903447801</v>
      </c>
      <c r="V841">
        <f t="shared" si="54"/>
        <v>8.5659833555856686</v>
      </c>
      <c r="W841">
        <v>1</v>
      </c>
      <c r="X841">
        <v>0</v>
      </c>
      <c r="Y841">
        <v>0</v>
      </c>
      <c r="Z841">
        <f>'Résultat (Ln)'!F$30+'Résultat (Ln)'!F$31*Données!S841+'Résultat (Ln)'!F$32*Données!T841+'Résultat (Ln)'!F$33*Données!U841+'Résultat (Ln)'!F$34*Données!V841+'Résultat (Ln)'!F$35*Données!W841+'Résultat (Ln)'!F$36*Données!X841+'Résultat (Ln)'!F$37*Données!Y841</f>
        <v>99062.661043182496</v>
      </c>
      <c r="AA841">
        <f t="shared" si="55"/>
        <v>-5062.6610431824956</v>
      </c>
    </row>
    <row r="842" spans="1:27" x14ac:dyDescent="0.25">
      <c r="A842">
        <v>490000</v>
      </c>
      <c r="B842">
        <v>1</v>
      </c>
      <c r="C842">
        <v>42.099998474121087</v>
      </c>
      <c r="D842">
        <v>0</v>
      </c>
      <c r="E842">
        <v>635000</v>
      </c>
      <c r="F842">
        <v>14583</v>
      </c>
      <c r="G842">
        <v>1</v>
      </c>
      <c r="H842">
        <v>0</v>
      </c>
      <c r="I842">
        <v>1</v>
      </c>
      <c r="J842">
        <v>30.14999961853027</v>
      </c>
      <c r="K842">
        <v>1</v>
      </c>
      <c r="L842">
        <f>Résultats!G$32+Résultats!G$33*Données!C842+Résultats!G$34*Données!D842+Résultats!G$35*Données!E842+Résultats!G$36*Données!F842+Résultats!G$37*Données!G842+Résultats!G$38*Données!H842+Résultats!G$39*Données!I842</f>
        <v>386636.78130395815</v>
      </c>
      <c r="M842">
        <f t="shared" si="52"/>
        <v>103363.21869604185</v>
      </c>
      <c r="Q842">
        <v>72000</v>
      </c>
      <c r="R842">
        <v>1</v>
      </c>
      <c r="S842">
        <v>39</v>
      </c>
      <c r="T842">
        <v>0</v>
      </c>
      <c r="U842">
        <f t="shared" si="53"/>
        <v>11.238488619268468</v>
      </c>
      <c r="V842">
        <f t="shared" si="54"/>
        <v>8.4877643807254248</v>
      </c>
      <c r="W842">
        <v>1</v>
      </c>
      <c r="X842">
        <v>0</v>
      </c>
      <c r="Y842">
        <v>0</v>
      </c>
      <c r="Z842">
        <f>'Résultat (Ln)'!F$30+'Résultat (Ln)'!F$31*Données!S842+'Résultat (Ln)'!F$32*Données!T842+'Résultat (Ln)'!F$33*Données!U842+'Résultat (Ln)'!F$34*Données!V842+'Résultat (Ln)'!F$35*Données!W842+'Résultat (Ln)'!F$36*Données!X842+'Résultat (Ln)'!F$37*Données!Y842</f>
        <v>65105.837465626239</v>
      </c>
      <c r="AA842">
        <f t="shared" si="55"/>
        <v>6894.1625343737614</v>
      </c>
    </row>
    <row r="843" spans="1:27" x14ac:dyDescent="0.25">
      <c r="A843">
        <v>125000</v>
      </c>
      <c r="B843">
        <v>1</v>
      </c>
      <c r="C843">
        <v>34</v>
      </c>
      <c r="D843">
        <v>0</v>
      </c>
      <c r="E843">
        <v>156000</v>
      </c>
      <c r="F843">
        <v>1599</v>
      </c>
      <c r="G843">
        <v>0</v>
      </c>
      <c r="H843">
        <v>0</v>
      </c>
      <c r="I843">
        <v>0</v>
      </c>
      <c r="J843">
        <v>31</v>
      </c>
      <c r="K843">
        <v>1</v>
      </c>
      <c r="L843">
        <f>Résultats!G$32+Résultats!G$33*Données!C843+Résultats!G$34*Données!D843+Résultats!G$35*Données!E843+Résultats!G$36*Données!F843+Résultats!G$37*Données!G843+Résultats!G$38*Données!H843+Résultats!G$39*Données!I843</f>
        <v>111559.63079666044</v>
      </c>
      <c r="M843">
        <f t="shared" si="52"/>
        <v>13440.369203339564</v>
      </c>
      <c r="Q843">
        <v>490000</v>
      </c>
      <c r="R843">
        <v>1</v>
      </c>
      <c r="S843">
        <v>42.099998474121087</v>
      </c>
      <c r="T843">
        <v>0</v>
      </c>
      <c r="U843">
        <f t="shared" si="53"/>
        <v>13.361380277874829</v>
      </c>
      <c r="V843">
        <f t="shared" si="54"/>
        <v>9.5876117457135646</v>
      </c>
      <c r="W843">
        <v>1</v>
      </c>
      <c r="X843">
        <v>0</v>
      </c>
      <c r="Y843">
        <v>1</v>
      </c>
      <c r="Z843">
        <f>'Résultat (Ln)'!F$30+'Résultat (Ln)'!F$31*Données!S843+'Résultat (Ln)'!F$32*Données!T843+'Résultat (Ln)'!F$33*Données!U843+'Résultat (Ln)'!F$34*Données!V843+'Résultat (Ln)'!F$35*Données!W843+'Résultat (Ln)'!F$36*Données!X843+'Résultat (Ln)'!F$37*Données!Y843</f>
        <v>341391.75865301141</v>
      </c>
      <c r="AA843">
        <f t="shared" si="55"/>
        <v>148608.24134698859</v>
      </c>
    </row>
    <row r="844" spans="1:27" x14ac:dyDescent="0.25">
      <c r="A844">
        <v>100000</v>
      </c>
      <c r="B844">
        <v>1</v>
      </c>
      <c r="C844">
        <v>31</v>
      </c>
      <c r="D844">
        <v>0</v>
      </c>
      <c r="E844">
        <v>105000</v>
      </c>
      <c r="F844">
        <v>1712</v>
      </c>
      <c r="G844">
        <v>1</v>
      </c>
      <c r="H844">
        <v>0</v>
      </c>
      <c r="I844">
        <v>0</v>
      </c>
      <c r="J844">
        <v>29</v>
      </c>
      <c r="K844">
        <v>0</v>
      </c>
      <c r="L844">
        <f>Résultats!G$32+Résultats!G$33*Données!C844+Résultats!G$34*Données!D844+Résultats!G$35*Données!E844+Résultats!G$36*Données!F844+Résultats!G$37*Données!G844+Résultats!G$38*Données!H844+Résultats!G$39*Données!I844</f>
        <v>91534.59141038268</v>
      </c>
      <c r="M844">
        <f t="shared" si="52"/>
        <v>8465.4085896173201</v>
      </c>
      <c r="Q844">
        <v>125000</v>
      </c>
      <c r="R844">
        <v>1</v>
      </c>
      <c r="S844">
        <v>34</v>
      </c>
      <c r="T844">
        <v>0</v>
      </c>
      <c r="U844">
        <f t="shared" si="53"/>
        <v>11.957611286231675</v>
      </c>
      <c r="V844">
        <f t="shared" si="54"/>
        <v>7.3771337128339542</v>
      </c>
      <c r="W844">
        <v>0</v>
      </c>
      <c r="X844">
        <v>0</v>
      </c>
      <c r="Y844">
        <v>0</v>
      </c>
      <c r="Z844">
        <f>'Résultat (Ln)'!F$30+'Résultat (Ln)'!F$31*Données!S844+'Résultat (Ln)'!F$32*Données!T844+'Résultat (Ln)'!F$33*Données!U844+'Résultat (Ln)'!F$34*Données!V844+'Résultat (Ln)'!F$35*Données!W844+'Résultat (Ln)'!F$36*Données!X844+'Résultat (Ln)'!F$37*Données!Y844</f>
        <v>100419.84566167032</v>
      </c>
      <c r="AA844">
        <f t="shared" si="55"/>
        <v>24580.154338329681</v>
      </c>
    </row>
    <row r="845" spans="1:27" x14ac:dyDescent="0.25">
      <c r="A845">
        <v>304000</v>
      </c>
      <c r="B845">
        <v>1</v>
      </c>
      <c r="C845">
        <v>19.29999923706055</v>
      </c>
      <c r="D845">
        <v>0</v>
      </c>
      <c r="E845">
        <v>449000</v>
      </c>
      <c r="F845">
        <v>14683</v>
      </c>
      <c r="G845">
        <v>1</v>
      </c>
      <c r="H845">
        <v>0</v>
      </c>
      <c r="I845">
        <v>0</v>
      </c>
      <c r="J845">
        <v>18.819999694824219</v>
      </c>
      <c r="K845">
        <v>1</v>
      </c>
      <c r="L845">
        <f>Résultats!G$32+Résultats!G$33*Données!C845+Résultats!G$34*Données!D845+Résultats!G$35*Données!E845+Résultats!G$36*Données!F845+Résultats!G$37*Données!G845+Résultats!G$38*Données!H845+Résultats!G$39*Données!I845</f>
        <v>263862.11144293926</v>
      </c>
      <c r="M845">
        <f t="shared" si="52"/>
        <v>40137.888557060738</v>
      </c>
      <c r="Q845">
        <v>100000</v>
      </c>
      <c r="R845">
        <v>1</v>
      </c>
      <c r="S845">
        <v>31</v>
      </c>
      <c r="T845">
        <v>0</v>
      </c>
      <c r="U845">
        <f t="shared" si="53"/>
        <v>11.561715629139661</v>
      </c>
      <c r="V845">
        <f t="shared" si="54"/>
        <v>7.4454175567016874</v>
      </c>
      <c r="W845">
        <v>1</v>
      </c>
      <c r="X845">
        <v>0</v>
      </c>
      <c r="Y845">
        <v>0</v>
      </c>
      <c r="Z845">
        <f>'Résultat (Ln)'!F$30+'Résultat (Ln)'!F$31*Données!S845+'Résultat (Ln)'!F$32*Données!T845+'Résultat (Ln)'!F$33*Données!U845+'Résultat (Ln)'!F$34*Données!V845+'Résultat (Ln)'!F$35*Données!W845+'Résultat (Ln)'!F$36*Données!X845+'Résultat (Ln)'!F$37*Données!Y845</f>
        <v>60744.568966453655</v>
      </c>
      <c r="AA845">
        <f t="shared" si="55"/>
        <v>39255.431033546345</v>
      </c>
    </row>
    <row r="846" spans="1:27" x14ac:dyDescent="0.25">
      <c r="A846">
        <v>300000</v>
      </c>
      <c r="B846">
        <v>1</v>
      </c>
      <c r="C846">
        <v>10</v>
      </c>
      <c r="D846">
        <v>0</v>
      </c>
      <c r="E846">
        <v>420000</v>
      </c>
      <c r="F846">
        <v>67000</v>
      </c>
      <c r="G846">
        <v>1</v>
      </c>
      <c r="H846">
        <v>0</v>
      </c>
      <c r="I846">
        <v>0</v>
      </c>
      <c r="J846">
        <v>4</v>
      </c>
      <c r="K846">
        <v>1</v>
      </c>
      <c r="L846">
        <f>Résultats!G$32+Résultats!G$33*Données!C846+Résultats!G$34*Données!D846+Résultats!G$35*Données!E846+Résultats!G$36*Données!F846+Résultats!G$37*Données!G846+Résultats!G$38*Données!H846+Résultats!G$39*Données!I846</f>
        <v>341017.05461625155</v>
      </c>
      <c r="M846">
        <f t="shared" si="52"/>
        <v>-41017.054616251553</v>
      </c>
      <c r="Q846">
        <v>304000</v>
      </c>
      <c r="R846">
        <v>1</v>
      </c>
      <c r="S846">
        <v>19.29999923706055</v>
      </c>
      <c r="T846">
        <v>0</v>
      </c>
      <c r="U846">
        <f t="shared" si="53"/>
        <v>13.01477816672439</v>
      </c>
      <c r="V846">
        <f t="shared" si="54"/>
        <v>9.5944456409629382</v>
      </c>
      <c r="W846">
        <v>1</v>
      </c>
      <c r="X846">
        <v>0</v>
      </c>
      <c r="Y846">
        <v>0</v>
      </c>
      <c r="Z846">
        <f>'Résultat (Ln)'!F$30+'Résultat (Ln)'!F$31*Données!S846+'Résultat (Ln)'!F$32*Données!T846+'Résultat (Ln)'!F$33*Données!U846+'Résultat (Ln)'!F$34*Données!V846+'Résultat (Ln)'!F$35*Données!W846+'Résultat (Ln)'!F$36*Données!X846+'Résultat (Ln)'!F$37*Données!Y846</f>
        <v>262479.74695522879</v>
      </c>
      <c r="AA846">
        <f t="shared" si="55"/>
        <v>41520.253044771205</v>
      </c>
    </row>
    <row r="847" spans="1:27" x14ac:dyDescent="0.25">
      <c r="A847">
        <v>88000</v>
      </c>
      <c r="B847">
        <v>1</v>
      </c>
      <c r="C847">
        <v>38.799999237060547</v>
      </c>
      <c r="D847">
        <v>0</v>
      </c>
      <c r="E847">
        <v>109000</v>
      </c>
      <c r="F847">
        <v>2025</v>
      </c>
      <c r="G847">
        <v>1</v>
      </c>
      <c r="H847">
        <v>0</v>
      </c>
      <c r="I847">
        <v>0</v>
      </c>
      <c r="J847">
        <v>27.39999961853027</v>
      </c>
      <c r="K847">
        <v>1</v>
      </c>
      <c r="L847">
        <f>Résultats!G$32+Résultats!G$33*Données!C847+Résultats!G$34*Données!D847+Résultats!G$35*Données!E847+Résultats!G$36*Données!F847+Résultats!G$37*Données!G847+Résultats!G$38*Données!H847+Résultats!G$39*Données!I847</f>
        <v>102968.56001130711</v>
      </c>
      <c r="M847">
        <f t="shared" si="52"/>
        <v>-14968.560011307112</v>
      </c>
      <c r="Q847">
        <v>300000</v>
      </c>
      <c r="R847">
        <v>1</v>
      </c>
      <c r="S847">
        <v>10</v>
      </c>
      <c r="T847">
        <v>0</v>
      </c>
      <c r="U847">
        <f t="shared" si="53"/>
        <v>12.948009990259552</v>
      </c>
      <c r="V847">
        <f t="shared" si="54"/>
        <v>11.112447898373103</v>
      </c>
      <c r="W847">
        <v>1</v>
      </c>
      <c r="X847">
        <v>0</v>
      </c>
      <c r="Y847">
        <v>0</v>
      </c>
      <c r="Z847">
        <f>'Résultat (Ln)'!F$30+'Résultat (Ln)'!F$31*Données!S847+'Résultat (Ln)'!F$32*Données!T847+'Résultat (Ln)'!F$33*Données!U847+'Résultat (Ln)'!F$34*Données!V847+'Résultat (Ln)'!F$35*Données!W847+'Résultat (Ln)'!F$36*Données!X847+'Résultat (Ln)'!F$37*Données!Y847</f>
        <v>286531.09128509613</v>
      </c>
      <c r="AA847">
        <f t="shared" si="55"/>
        <v>13468.908714903868</v>
      </c>
    </row>
    <row r="848" spans="1:27" x14ac:dyDescent="0.25">
      <c r="A848">
        <v>214000</v>
      </c>
      <c r="B848">
        <v>1</v>
      </c>
      <c r="C848">
        <v>32.799999237060547</v>
      </c>
      <c r="D848">
        <v>0</v>
      </c>
      <c r="E848">
        <v>225000</v>
      </c>
      <c r="F848">
        <v>4246</v>
      </c>
      <c r="G848">
        <v>1</v>
      </c>
      <c r="H848">
        <v>0</v>
      </c>
      <c r="I848">
        <v>0</v>
      </c>
      <c r="J848">
        <v>24.70000076293945</v>
      </c>
      <c r="K848">
        <v>1</v>
      </c>
      <c r="L848">
        <f>Résultats!G$32+Résultats!G$33*Données!C848+Résultats!G$34*Données!D848+Résultats!G$35*Données!E848+Résultats!G$36*Données!F848+Résultats!G$37*Données!G848+Résultats!G$38*Données!H848+Résultats!G$39*Données!I848</f>
        <v>154546.94264196832</v>
      </c>
      <c r="M848">
        <f t="shared" si="52"/>
        <v>59453.057358031685</v>
      </c>
      <c r="Q848">
        <v>88000</v>
      </c>
      <c r="R848">
        <v>1</v>
      </c>
      <c r="S848">
        <v>38.799999237060547</v>
      </c>
      <c r="T848">
        <v>0</v>
      </c>
      <c r="U848">
        <f t="shared" si="53"/>
        <v>11.59910316121128</v>
      </c>
      <c r="V848">
        <f t="shared" si="54"/>
        <v>7.6133249795406392</v>
      </c>
      <c r="W848">
        <v>1</v>
      </c>
      <c r="X848">
        <v>0</v>
      </c>
      <c r="Y848">
        <v>0</v>
      </c>
      <c r="Z848">
        <f>'Résultat (Ln)'!F$30+'Résultat (Ln)'!F$31*Données!S848+'Résultat (Ln)'!F$32*Données!T848+'Résultat (Ln)'!F$33*Données!U848+'Résultat (Ln)'!F$34*Données!V848+'Résultat (Ln)'!F$35*Données!W848+'Résultat (Ln)'!F$36*Données!X848+'Résultat (Ln)'!F$37*Données!Y848</f>
        <v>78993.362076802397</v>
      </c>
      <c r="AA848">
        <f t="shared" si="55"/>
        <v>9006.6379231976025</v>
      </c>
    </row>
    <row r="849" spans="1:27" x14ac:dyDescent="0.25">
      <c r="A849">
        <v>150000</v>
      </c>
      <c r="B849">
        <v>1</v>
      </c>
      <c r="C849">
        <v>34</v>
      </c>
      <c r="D849">
        <v>0</v>
      </c>
      <c r="E849">
        <v>163000</v>
      </c>
      <c r="F849">
        <v>3542</v>
      </c>
      <c r="G849">
        <v>1</v>
      </c>
      <c r="H849">
        <v>0</v>
      </c>
      <c r="I849">
        <v>1</v>
      </c>
      <c r="J849">
        <v>23</v>
      </c>
      <c r="K849">
        <v>1</v>
      </c>
      <c r="L849">
        <f>Résultats!G$32+Résultats!G$33*Données!C849+Résultats!G$34*Données!D849+Résultats!G$35*Données!E849+Résultats!G$36*Données!F849+Résultats!G$37*Données!G849+Résultats!G$38*Données!H849+Résultats!G$39*Données!I849</f>
        <v>135535.4998670498</v>
      </c>
      <c r="M849">
        <f t="shared" si="52"/>
        <v>14464.500132950197</v>
      </c>
      <c r="Q849">
        <v>214000</v>
      </c>
      <c r="R849">
        <v>1</v>
      </c>
      <c r="S849">
        <v>32.799999237060547</v>
      </c>
      <c r="T849">
        <v>0</v>
      </c>
      <c r="U849">
        <f t="shared" si="53"/>
        <v>12.323855681186558</v>
      </c>
      <c r="V849">
        <f t="shared" si="54"/>
        <v>8.3537326422632017</v>
      </c>
      <c r="W849">
        <v>1</v>
      </c>
      <c r="X849">
        <v>0</v>
      </c>
      <c r="Y849">
        <v>0</v>
      </c>
      <c r="Z849">
        <f>'Résultat (Ln)'!F$30+'Résultat (Ln)'!F$31*Données!S849+'Résultat (Ln)'!F$32*Données!T849+'Résultat (Ln)'!F$33*Données!U849+'Résultat (Ln)'!F$34*Données!V849+'Résultat (Ln)'!F$35*Données!W849+'Résultat (Ln)'!F$36*Données!X849+'Résultat (Ln)'!F$37*Données!Y849</f>
        <v>170116.69308739412</v>
      </c>
      <c r="AA849">
        <f t="shared" si="55"/>
        <v>43883.306912605884</v>
      </c>
    </row>
    <row r="850" spans="1:27" x14ac:dyDescent="0.25">
      <c r="A850">
        <v>128000</v>
      </c>
      <c r="B850">
        <v>1</v>
      </c>
      <c r="C850">
        <v>44</v>
      </c>
      <c r="D850">
        <v>1</v>
      </c>
      <c r="E850">
        <v>160000</v>
      </c>
      <c r="F850">
        <v>4931</v>
      </c>
      <c r="G850">
        <v>1</v>
      </c>
      <c r="H850">
        <v>0</v>
      </c>
      <c r="I850">
        <v>1</v>
      </c>
      <c r="J850">
        <v>34</v>
      </c>
      <c r="K850">
        <v>1</v>
      </c>
      <c r="L850">
        <f>Résultats!G$32+Résultats!G$33*Données!C850+Résultats!G$34*Données!D850+Résultats!G$35*Données!E850+Résultats!G$36*Données!F850+Résultats!G$37*Données!G850+Résultats!G$38*Données!H850+Résultats!G$39*Données!I850</f>
        <v>153161.17921853467</v>
      </c>
      <c r="M850">
        <f t="shared" si="52"/>
        <v>-25161.179218534671</v>
      </c>
      <c r="Q850">
        <v>150000</v>
      </c>
      <c r="R850">
        <v>1</v>
      </c>
      <c r="S850">
        <v>34</v>
      </c>
      <c r="T850">
        <v>0</v>
      </c>
      <c r="U850">
        <f t="shared" si="53"/>
        <v>12.0015054797889</v>
      </c>
      <c r="V850">
        <f t="shared" si="54"/>
        <v>8.1724468183427792</v>
      </c>
      <c r="W850">
        <v>1</v>
      </c>
      <c r="X850">
        <v>0</v>
      </c>
      <c r="Y850">
        <v>1</v>
      </c>
      <c r="Z850">
        <f>'Résultat (Ln)'!F$30+'Résultat (Ln)'!F$31*Données!S850+'Résultat (Ln)'!F$32*Données!T850+'Résultat (Ln)'!F$33*Données!U850+'Résultat (Ln)'!F$34*Données!V850+'Résultat (Ln)'!F$35*Données!W850+'Résultat (Ln)'!F$36*Données!X850+'Résultat (Ln)'!F$37*Données!Y850</f>
        <v>146031.25701902533</v>
      </c>
      <c r="AA850">
        <f t="shared" si="55"/>
        <v>3968.7429809746682</v>
      </c>
    </row>
    <row r="851" spans="1:27" x14ac:dyDescent="0.25">
      <c r="A851">
        <v>330000</v>
      </c>
      <c r="B851">
        <v>1</v>
      </c>
      <c r="C851">
        <v>36</v>
      </c>
      <c r="D851">
        <v>0</v>
      </c>
      <c r="E851">
        <v>550000</v>
      </c>
      <c r="F851">
        <v>6083</v>
      </c>
      <c r="G851">
        <v>1</v>
      </c>
      <c r="H851">
        <v>0</v>
      </c>
      <c r="I851">
        <v>0</v>
      </c>
      <c r="J851">
        <v>35</v>
      </c>
      <c r="K851">
        <v>1</v>
      </c>
      <c r="L851">
        <f>Résultats!G$32+Résultats!G$33*Données!C851+Résultats!G$34*Données!D851+Résultats!G$35*Données!E851+Résultats!G$36*Données!F851+Résultats!G$37*Données!G851+Résultats!G$38*Données!H851+Résultats!G$39*Données!I851</f>
        <v>313542.21644100593</v>
      </c>
      <c r="M851">
        <f t="shared" si="52"/>
        <v>16457.783558994066</v>
      </c>
      <c r="Q851">
        <v>128000</v>
      </c>
      <c r="R851">
        <v>1</v>
      </c>
      <c r="S851">
        <v>44</v>
      </c>
      <c r="T851">
        <v>1</v>
      </c>
      <c r="U851">
        <f t="shared" si="53"/>
        <v>11.982929094215963</v>
      </c>
      <c r="V851">
        <f t="shared" si="54"/>
        <v>8.5032970862241264</v>
      </c>
      <c r="W851">
        <v>1</v>
      </c>
      <c r="X851">
        <v>0</v>
      </c>
      <c r="Y851">
        <v>1</v>
      </c>
      <c r="Z851">
        <f>'Résultat (Ln)'!F$30+'Résultat (Ln)'!F$31*Données!S851+'Résultat (Ln)'!F$32*Données!T851+'Résultat (Ln)'!F$33*Données!U851+'Résultat (Ln)'!F$34*Données!V851+'Résultat (Ln)'!F$35*Données!W851+'Résultat (Ln)'!F$36*Données!X851+'Résultat (Ln)'!F$37*Données!Y851</f>
        <v>169888.13062588946</v>
      </c>
      <c r="AA851">
        <f t="shared" si="55"/>
        <v>-41888.130625889462</v>
      </c>
    </row>
    <row r="852" spans="1:27" x14ac:dyDescent="0.25">
      <c r="A852">
        <v>57000</v>
      </c>
      <c r="B852">
        <v>1</v>
      </c>
      <c r="C852">
        <v>35.400001525878913</v>
      </c>
      <c r="D852">
        <v>0</v>
      </c>
      <c r="E852">
        <v>72000</v>
      </c>
      <c r="F852">
        <v>2167</v>
      </c>
      <c r="G852">
        <v>1</v>
      </c>
      <c r="H852">
        <v>0</v>
      </c>
      <c r="I852">
        <v>1</v>
      </c>
      <c r="J852">
        <v>19.469999313354489</v>
      </c>
      <c r="K852">
        <v>1</v>
      </c>
      <c r="L852">
        <f>Résultats!G$32+Résultats!G$33*Données!C852+Résultats!G$34*Données!D852+Résultats!G$35*Données!E852+Résultats!G$36*Données!F852+Résultats!G$37*Données!G852+Résultats!G$38*Données!H852+Résultats!G$39*Données!I852</f>
        <v>91986.435073423869</v>
      </c>
      <c r="M852">
        <f t="shared" si="52"/>
        <v>-34986.435073423869</v>
      </c>
      <c r="Q852">
        <v>330000</v>
      </c>
      <c r="R852">
        <v>1</v>
      </c>
      <c r="S852">
        <v>36</v>
      </c>
      <c r="T852">
        <v>0</v>
      </c>
      <c r="U852">
        <f t="shared" si="53"/>
        <v>13.217673557208654</v>
      </c>
      <c r="V852">
        <f t="shared" si="54"/>
        <v>8.7132532743207047</v>
      </c>
      <c r="W852">
        <v>1</v>
      </c>
      <c r="X852">
        <v>0</v>
      </c>
      <c r="Y852">
        <v>0</v>
      </c>
      <c r="Z852">
        <f>'Résultat (Ln)'!F$30+'Résultat (Ln)'!F$31*Données!S852+'Résultat (Ln)'!F$32*Données!T852+'Résultat (Ln)'!F$33*Données!U852+'Résultat (Ln)'!F$34*Données!V852+'Résultat (Ln)'!F$35*Données!W852+'Résultat (Ln)'!F$36*Données!X852+'Résultat (Ln)'!F$37*Données!Y852</f>
        <v>279923.57977401884</v>
      </c>
      <c r="AA852">
        <f t="shared" si="55"/>
        <v>50076.420225981157</v>
      </c>
    </row>
    <row r="853" spans="1:27" x14ac:dyDescent="0.25">
      <c r="A853">
        <v>133000</v>
      </c>
      <c r="B853">
        <v>1</v>
      </c>
      <c r="C853">
        <v>29.60000038146973</v>
      </c>
      <c r="D853">
        <v>0</v>
      </c>
      <c r="E853">
        <v>147500</v>
      </c>
      <c r="F853">
        <v>4333</v>
      </c>
      <c r="G853">
        <v>1</v>
      </c>
      <c r="H853">
        <v>0</v>
      </c>
      <c r="I853">
        <v>0</v>
      </c>
      <c r="J853">
        <v>20.89999961853027</v>
      </c>
      <c r="K853">
        <v>1</v>
      </c>
      <c r="L853">
        <f>Résultats!G$32+Résultats!G$33*Données!C853+Résultats!G$34*Données!D853+Résultats!G$35*Données!E853+Résultats!G$36*Données!F853+Résultats!G$37*Données!G853+Résultats!G$38*Données!H853+Résultats!G$39*Données!I853</f>
        <v>114850.90792203319</v>
      </c>
      <c r="M853">
        <f t="shared" si="52"/>
        <v>18149.092077966809</v>
      </c>
      <c r="Q853">
        <v>57000</v>
      </c>
      <c r="R853">
        <v>1</v>
      </c>
      <c r="S853">
        <v>35.400001525878913</v>
      </c>
      <c r="T853">
        <v>0</v>
      </c>
      <c r="U853">
        <f t="shared" si="53"/>
        <v>11.184421397998193</v>
      </c>
      <c r="V853">
        <f t="shared" si="54"/>
        <v>7.6810990015363592</v>
      </c>
      <c r="W853">
        <v>1</v>
      </c>
      <c r="X853">
        <v>0</v>
      </c>
      <c r="Y853">
        <v>1</v>
      </c>
      <c r="Z853">
        <f>'Résultat (Ln)'!F$30+'Résultat (Ln)'!F$31*Données!S853+'Résultat (Ln)'!F$32*Données!T853+'Résultat (Ln)'!F$33*Données!U853+'Résultat (Ln)'!F$34*Données!V853+'Résultat (Ln)'!F$35*Données!W853+'Résultat (Ln)'!F$36*Données!X853+'Résultat (Ln)'!F$37*Données!Y853</f>
        <v>46374.08620307879</v>
      </c>
      <c r="AA853">
        <f t="shared" si="55"/>
        <v>10625.91379692121</v>
      </c>
    </row>
    <row r="854" spans="1:27" x14ac:dyDescent="0.25">
      <c r="A854">
        <v>134000</v>
      </c>
      <c r="B854">
        <v>1</v>
      </c>
      <c r="C854">
        <v>27</v>
      </c>
      <c r="D854">
        <v>0</v>
      </c>
      <c r="E854">
        <v>181000</v>
      </c>
      <c r="F854">
        <v>2060</v>
      </c>
      <c r="G854">
        <v>0</v>
      </c>
      <c r="H854">
        <v>0</v>
      </c>
      <c r="I854">
        <v>0</v>
      </c>
      <c r="J854">
        <v>27</v>
      </c>
      <c r="K854">
        <v>1</v>
      </c>
      <c r="L854">
        <f>Résultats!G$32+Résultats!G$33*Données!C854+Résultats!G$34*Données!D854+Résultats!G$35*Données!E854+Résultats!G$36*Données!F854+Résultats!G$37*Données!G854+Résultats!G$38*Données!H854+Résultats!G$39*Données!I854</f>
        <v>116086.08983526526</v>
      </c>
      <c r="M854">
        <f t="shared" si="52"/>
        <v>17913.910164734742</v>
      </c>
      <c r="Q854">
        <v>133000</v>
      </c>
      <c r="R854">
        <v>1</v>
      </c>
      <c r="S854">
        <v>29.60000038146973</v>
      </c>
      <c r="T854">
        <v>0</v>
      </c>
      <c r="U854">
        <f t="shared" si="53"/>
        <v>11.901583454762012</v>
      </c>
      <c r="V854">
        <f t="shared" si="54"/>
        <v>8.3740154217399088</v>
      </c>
      <c r="W854">
        <v>1</v>
      </c>
      <c r="X854">
        <v>0</v>
      </c>
      <c r="Y854">
        <v>0</v>
      </c>
      <c r="Z854">
        <f>'Résultat (Ln)'!F$30+'Résultat (Ln)'!F$31*Données!S854+'Résultat (Ln)'!F$32*Données!T854+'Résultat (Ln)'!F$33*Données!U854+'Résultat (Ln)'!F$34*Données!V854+'Résultat (Ln)'!F$35*Données!W854+'Résultat (Ln)'!F$36*Données!X854+'Résultat (Ln)'!F$37*Données!Y854</f>
        <v>121509.2995341858</v>
      </c>
      <c r="AA854">
        <f t="shared" si="55"/>
        <v>11490.700465814196</v>
      </c>
    </row>
    <row r="855" spans="1:27" x14ac:dyDescent="0.25">
      <c r="A855">
        <v>139000</v>
      </c>
      <c r="B855">
        <v>1</v>
      </c>
      <c r="C855">
        <v>33</v>
      </c>
      <c r="D855">
        <v>0</v>
      </c>
      <c r="E855">
        <v>153000</v>
      </c>
      <c r="F855">
        <v>2946</v>
      </c>
      <c r="G855">
        <v>1</v>
      </c>
      <c r="H855">
        <v>0</v>
      </c>
      <c r="I855">
        <v>1</v>
      </c>
      <c r="J855">
        <v>26</v>
      </c>
      <c r="K855">
        <v>1</v>
      </c>
      <c r="L855">
        <f>Résultats!G$32+Résultats!G$33*Données!C855+Résultats!G$34*Données!D855+Résultats!G$35*Données!E855+Résultats!G$36*Données!F855+Résultats!G$37*Données!G855+Résultats!G$38*Données!H855+Résultats!G$39*Données!I855</f>
        <v>128562.37553121541</v>
      </c>
      <c r="M855">
        <f t="shared" si="52"/>
        <v>10437.62446878459</v>
      </c>
      <c r="Q855">
        <v>134000</v>
      </c>
      <c r="R855">
        <v>1</v>
      </c>
      <c r="S855">
        <v>27</v>
      </c>
      <c r="T855">
        <v>0</v>
      </c>
      <c r="U855">
        <f t="shared" si="53"/>
        <v>12.106252310247962</v>
      </c>
      <c r="V855">
        <f t="shared" si="54"/>
        <v>7.6304612617836272</v>
      </c>
      <c r="W855">
        <v>0</v>
      </c>
      <c r="X855">
        <v>0</v>
      </c>
      <c r="Y855">
        <v>0</v>
      </c>
      <c r="Z855">
        <f>'Résultat (Ln)'!F$30+'Résultat (Ln)'!F$31*Données!S855+'Résultat (Ln)'!F$32*Données!T855+'Résultat (Ln)'!F$33*Données!U855+'Résultat (Ln)'!F$34*Données!V855+'Résultat (Ln)'!F$35*Données!W855+'Résultat (Ln)'!F$36*Données!X855+'Résultat (Ln)'!F$37*Données!Y855</f>
        <v>114903.9896025091</v>
      </c>
      <c r="AA855">
        <f t="shared" si="55"/>
        <v>19096.0103974909</v>
      </c>
    </row>
    <row r="856" spans="1:27" x14ac:dyDescent="0.25">
      <c r="A856">
        <v>155000</v>
      </c>
      <c r="B856">
        <v>1</v>
      </c>
      <c r="C856">
        <v>16</v>
      </c>
      <c r="D856">
        <v>0</v>
      </c>
      <c r="E856">
        <v>300000</v>
      </c>
      <c r="F856">
        <v>3481</v>
      </c>
      <c r="G856">
        <v>0</v>
      </c>
      <c r="H856">
        <v>0</v>
      </c>
      <c r="I856">
        <v>1</v>
      </c>
      <c r="J856">
        <v>16</v>
      </c>
      <c r="K856">
        <v>0</v>
      </c>
      <c r="L856">
        <f>Résultats!G$32+Résultats!G$33*Données!C856+Résultats!G$34*Données!D856+Résultats!G$35*Données!E856+Résultats!G$36*Données!F856+Résultats!G$37*Données!G856+Résultats!G$38*Données!H856+Résultats!G$39*Données!I856</f>
        <v>171697.20734071982</v>
      </c>
      <c r="M856">
        <f t="shared" si="52"/>
        <v>-16697.207340719819</v>
      </c>
      <c r="Q856">
        <v>139000</v>
      </c>
      <c r="R856">
        <v>1</v>
      </c>
      <c r="S856">
        <v>33</v>
      </c>
      <c r="T856">
        <v>0</v>
      </c>
      <c r="U856">
        <f t="shared" si="53"/>
        <v>11.938193200374572</v>
      </c>
      <c r="V856">
        <f t="shared" si="54"/>
        <v>7.9882035970225758</v>
      </c>
      <c r="W856">
        <v>1</v>
      </c>
      <c r="X856">
        <v>0</v>
      </c>
      <c r="Y856">
        <v>1</v>
      </c>
      <c r="Z856">
        <f>'Résultat (Ln)'!F$30+'Résultat (Ln)'!F$31*Données!S856+'Résultat (Ln)'!F$32*Données!T856+'Résultat (Ln)'!F$33*Données!U856+'Résultat (Ln)'!F$34*Données!V856+'Résultat (Ln)'!F$35*Données!W856+'Résultat (Ln)'!F$36*Données!X856+'Résultat (Ln)'!F$37*Données!Y856</f>
        <v>132855.17317321087</v>
      </c>
      <c r="AA856">
        <f t="shared" si="55"/>
        <v>6144.8268267891253</v>
      </c>
    </row>
    <row r="857" spans="1:27" x14ac:dyDescent="0.25">
      <c r="A857">
        <v>120000</v>
      </c>
      <c r="B857">
        <v>1</v>
      </c>
      <c r="C857">
        <v>20</v>
      </c>
      <c r="D857">
        <v>0</v>
      </c>
      <c r="E857">
        <v>149800.00305175781</v>
      </c>
      <c r="F857">
        <v>7200</v>
      </c>
      <c r="G857">
        <v>0</v>
      </c>
      <c r="H857">
        <v>0</v>
      </c>
      <c r="I857">
        <v>1</v>
      </c>
      <c r="J857">
        <v>18</v>
      </c>
      <c r="K857">
        <v>0</v>
      </c>
      <c r="L857">
        <f>Résultats!G$32+Résultats!G$33*Données!C857+Résultats!G$34*Données!D857+Résultats!G$35*Données!E857+Résultats!G$36*Données!F857+Résultats!G$37*Données!G857+Résultats!G$38*Données!H857+Résultats!G$39*Données!I857</f>
        <v>113362.1405408374</v>
      </c>
      <c r="M857">
        <f t="shared" si="52"/>
        <v>6637.8594591626024</v>
      </c>
      <c r="Q857">
        <v>155000</v>
      </c>
      <c r="R857">
        <v>1</v>
      </c>
      <c r="S857">
        <v>16</v>
      </c>
      <c r="T857">
        <v>0</v>
      </c>
      <c r="U857">
        <f t="shared" si="53"/>
        <v>12.611537753638338</v>
      </c>
      <c r="V857">
        <f t="shared" si="54"/>
        <v>8.1550748878114394</v>
      </c>
      <c r="W857">
        <v>0</v>
      </c>
      <c r="X857">
        <v>0</v>
      </c>
      <c r="Y857">
        <v>1</v>
      </c>
      <c r="Z857">
        <f>'Résultat (Ln)'!F$30+'Résultat (Ln)'!F$31*Données!S857+'Résultat (Ln)'!F$32*Données!T857+'Résultat (Ln)'!F$33*Données!U857+'Résultat (Ln)'!F$34*Données!V857+'Résultat (Ln)'!F$35*Données!W857+'Résultat (Ln)'!F$36*Données!X857+'Résultat (Ln)'!F$37*Données!Y857</f>
        <v>184426.03424943989</v>
      </c>
      <c r="AA857">
        <f t="shared" si="55"/>
        <v>-29426.034249439894</v>
      </c>
    </row>
    <row r="858" spans="1:27" x14ac:dyDescent="0.25">
      <c r="A858">
        <v>128000</v>
      </c>
      <c r="B858">
        <v>1</v>
      </c>
      <c r="C858">
        <v>29</v>
      </c>
      <c r="D858">
        <v>0</v>
      </c>
      <c r="E858">
        <v>160000</v>
      </c>
      <c r="F858">
        <v>5166</v>
      </c>
      <c r="G858">
        <v>0</v>
      </c>
      <c r="H858">
        <v>0</v>
      </c>
      <c r="I858">
        <v>0</v>
      </c>
      <c r="J858">
        <v>29</v>
      </c>
      <c r="K858">
        <v>1</v>
      </c>
      <c r="L858">
        <f>Résultats!G$32+Résultats!G$33*Données!C858+Résultats!G$34*Données!D858+Résultats!G$35*Données!E858+Résultats!G$36*Données!F858+Résultats!G$37*Données!G858+Résultats!G$38*Données!H858+Résultats!G$39*Données!I858</f>
        <v>114596.17950941328</v>
      </c>
      <c r="M858">
        <f t="shared" si="52"/>
        <v>13403.820490586717</v>
      </c>
      <c r="Q858">
        <v>120000</v>
      </c>
      <c r="R858">
        <v>1</v>
      </c>
      <c r="S858">
        <v>20</v>
      </c>
      <c r="T858">
        <v>0</v>
      </c>
      <c r="U858">
        <f t="shared" si="53"/>
        <v>11.917056370437471</v>
      </c>
      <c r="V858">
        <f t="shared" si="54"/>
        <v>8.8818363050041462</v>
      </c>
      <c r="W858">
        <v>0</v>
      </c>
      <c r="X858">
        <v>0</v>
      </c>
      <c r="Y858">
        <v>1</v>
      </c>
      <c r="Z858">
        <f>'Résultat (Ln)'!F$30+'Résultat (Ln)'!F$31*Données!S858+'Résultat (Ln)'!F$32*Données!T858+'Résultat (Ln)'!F$33*Données!U858+'Résultat (Ln)'!F$34*Données!V858+'Résultat (Ln)'!F$35*Données!W858+'Résultat (Ln)'!F$36*Données!X858+'Résultat (Ln)'!F$37*Données!Y858</f>
        <v>135251.47309067805</v>
      </c>
      <c r="AA858">
        <f t="shared" si="55"/>
        <v>-15251.473090678046</v>
      </c>
    </row>
    <row r="859" spans="1:27" x14ac:dyDescent="0.25">
      <c r="A859">
        <v>100000</v>
      </c>
      <c r="B859">
        <v>1</v>
      </c>
      <c r="C859">
        <v>33</v>
      </c>
      <c r="D859">
        <v>0</v>
      </c>
      <c r="E859">
        <v>125000</v>
      </c>
      <c r="F859">
        <v>5450</v>
      </c>
      <c r="G859">
        <v>1</v>
      </c>
      <c r="H859">
        <v>1</v>
      </c>
      <c r="I859">
        <v>0</v>
      </c>
      <c r="J859">
        <v>24</v>
      </c>
      <c r="K859">
        <v>0</v>
      </c>
      <c r="L859">
        <f>Résultats!G$32+Résultats!G$33*Données!C859+Résultats!G$34*Données!D859+Résultats!G$35*Données!E859+Résultats!G$36*Données!F859+Résultats!G$37*Données!G859+Résultats!G$38*Données!H859+Résultats!G$39*Données!I859</f>
        <v>108789.17023608844</v>
      </c>
      <c r="M859">
        <f t="shared" si="52"/>
        <v>-8789.1702360884374</v>
      </c>
      <c r="Q859">
        <v>128000</v>
      </c>
      <c r="R859">
        <v>1</v>
      </c>
      <c r="S859">
        <v>29</v>
      </c>
      <c r="T859">
        <v>0</v>
      </c>
      <c r="U859">
        <f t="shared" si="53"/>
        <v>11.982929094215963</v>
      </c>
      <c r="V859">
        <f t="shared" si="54"/>
        <v>8.5498539736557859</v>
      </c>
      <c r="W859">
        <v>0</v>
      </c>
      <c r="X859">
        <v>0</v>
      </c>
      <c r="Y859">
        <v>0</v>
      </c>
      <c r="Z859">
        <f>'Résultat (Ln)'!F$30+'Résultat (Ln)'!F$31*Données!S859+'Résultat (Ln)'!F$32*Données!T859+'Résultat (Ln)'!F$33*Données!U859+'Résultat (Ln)'!F$34*Données!V859+'Résultat (Ln)'!F$35*Données!W859+'Résultat (Ln)'!F$36*Données!X859+'Résultat (Ln)'!F$37*Données!Y859</f>
        <v>129913.46712504537</v>
      </c>
      <c r="AA859">
        <f t="shared" si="55"/>
        <v>-1913.4671250453684</v>
      </c>
    </row>
    <row r="860" spans="1:27" x14ac:dyDescent="0.25">
      <c r="A860">
        <v>250000</v>
      </c>
      <c r="B860">
        <v>1</v>
      </c>
      <c r="C860">
        <v>13</v>
      </c>
      <c r="D860">
        <v>0</v>
      </c>
      <c r="E860">
        <v>500000</v>
      </c>
      <c r="F860">
        <v>7408</v>
      </c>
      <c r="G860">
        <v>1</v>
      </c>
      <c r="H860">
        <v>0</v>
      </c>
      <c r="I860">
        <v>0</v>
      </c>
      <c r="J860">
        <v>12</v>
      </c>
      <c r="K860">
        <v>1</v>
      </c>
      <c r="L860">
        <f>Résultats!G$32+Résultats!G$33*Données!C860+Résultats!G$34*Données!D860+Résultats!G$35*Données!E860+Résultats!G$36*Données!F860+Résultats!G$37*Données!G860+Résultats!G$38*Données!H860+Résultats!G$39*Données!I860</f>
        <v>266342.70254729356</v>
      </c>
      <c r="M860">
        <f t="shared" si="52"/>
        <v>-16342.702547293564</v>
      </c>
      <c r="Q860">
        <v>100000</v>
      </c>
      <c r="R860">
        <v>1</v>
      </c>
      <c r="S860">
        <v>33</v>
      </c>
      <c r="T860">
        <v>0</v>
      </c>
      <c r="U860">
        <f t="shared" si="53"/>
        <v>11.736069016284437</v>
      </c>
      <c r="V860">
        <f t="shared" si="54"/>
        <v>8.6033708876572899</v>
      </c>
      <c r="W860">
        <v>1</v>
      </c>
      <c r="X860">
        <v>1</v>
      </c>
      <c r="Y860">
        <v>0</v>
      </c>
      <c r="Z860">
        <f>'Résultat (Ln)'!F$30+'Résultat (Ln)'!F$31*Données!S860+'Résultat (Ln)'!F$32*Données!T860+'Résultat (Ln)'!F$33*Données!U860+'Résultat (Ln)'!F$34*Données!V860+'Résultat (Ln)'!F$35*Données!W860+'Résultat (Ln)'!F$36*Données!X860+'Résultat (Ln)'!F$37*Données!Y860</f>
        <v>114176.74120725796</v>
      </c>
      <c r="AA860">
        <f t="shared" si="55"/>
        <v>-14176.741207257961</v>
      </c>
    </row>
    <row r="861" spans="1:27" x14ac:dyDescent="0.25">
      <c r="A861">
        <v>151000</v>
      </c>
      <c r="B861">
        <v>1</v>
      </c>
      <c r="C861">
        <v>36</v>
      </c>
      <c r="D861">
        <v>1</v>
      </c>
      <c r="E861">
        <v>168000</v>
      </c>
      <c r="F861">
        <v>4095</v>
      </c>
      <c r="G861">
        <v>0</v>
      </c>
      <c r="H861">
        <v>0</v>
      </c>
      <c r="I861">
        <v>1</v>
      </c>
      <c r="J861">
        <v>20</v>
      </c>
      <c r="K861">
        <v>1</v>
      </c>
      <c r="L861">
        <f>Résultats!G$32+Résultats!G$33*Données!C861+Résultats!G$34*Données!D861+Résultats!G$35*Données!E861+Résultats!G$36*Données!F861+Résultats!G$37*Données!G861+Résultats!G$38*Données!H861+Résultats!G$39*Données!I861</f>
        <v>139070.83361615325</v>
      </c>
      <c r="M861">
        <f t="shared" si="52"/>
        <v>11929.16638384675</v>
      </c>
      <c r="Q861">
        <v>250000</v>
      </c>
      <c r="R861">
        <v>1</v>
      </c>
      <c r="S861">
        <v>13</v>
      </c>
      <c r="T861">
        <v>0</v>
      </c>
      <c r="U861">
        <f t="shared" si="53"/>
        <v>13.122363377404328</v>
      </c>
      <c r="V861">
        <f t="shared" si="54"/>
        <v>8.9103157763260157</v>
      </c>
      <c r="W861">
        <v>1</v>
      </c>
      <c r="X861">
        <v>0</v>
      </c>
      <c r="Y861">
        <v>0</v>
      </c>
      <c r="Z861">
        <f>'Résultat (Ln)'!F$30+'Résultat (Ln)'!F$31*Données!S861+'Résultat (Ln)'!F$32*Données!T861+'Résultat (Ln)'!F$33*Données!U861+'Résultat (Ln)'!F$34*Données!V861+'Résultat (Ln)'!F$35*Données!W861+'Résultat (Ln)'!F$36*Données!X861+'Résultat (Ln)'!F$37*Données!Y861</f>
        <v>247126.582885223</v>
      </c>
      <c r="AA861">
        <f t="shared" si="55"/>
        <v>2873.4171147769957</v>
      </c>
    </row>
    <row r="862" spans="1:27" x14ac:dyDescent="0.25">
      <c r="A862">
        <v>140000</v>
      </c>
      <c r="B862">
        <v>1</v>
      </c>
      <c r="C862">
        <v>32</v>
      </c>
      <c r="D862">
        <v>0</v>
      </c>
      <c r="E862">
        <v>175000</v>
      </c>
      <c r="F862">
        <v>4583</v>
      </c>
      <c r="G862">
        <v>0</v>
      </c>
      <c r="H862">
        <v>0</v>
      </c>
      <c r="I862">
        <v>0</v>
      </c>
      <c r="J862">
        <v>32</v>
      </c>
      <c r="K862">
        <v>1</v>
      </c>
      <c r="L862">
        <f>Résultats!G$32+Résultats!G$33*Données!C862+Résultats!G$34*Données!D862+Résultats!G$35*Données!E862+Résultats!G$36*Données!F862+Résultats!G$37*Données!G862+Résultats!G$38*Données!H862+Résultats!G$39*Données!I862</f>
        <v>123916.75964262013</v>
      </c>
      <c r="M862">
        <f t="shared" si="52"/>
        <v>16083.240357379866</v>
      </c>
      <c r="Q862">
        <v>151000</v>
      </c>
      <c r="R862">
        <v>1</v>
      </c>
      <c r="S862">
        <v>36</v>
      </c>
      <c r="T862">
        <v>1</v>
      </c>
      <c r="U862">
        <f t="shared" si="53"/>
        <v>12.031719258385396</v>
      </c>
      <c r="V862">
        <f t="shared" si="54"/>
        <v>8.3175219962871694</v>
      </c>
      <c r="W862">
        <v>0</v>
      </c>
      <c r="X862">
        <v>0</v>
      </c>
      <c r="Y862">
        <v>1</v>
      </c>
      <c r="Z862">
        <f>'Résultat (Ln)'!F$30+'Résultat (Ln)'!F$31*Données!S862+'Résultat (Ln)'!F$32*Données!T862+'Résultat (Ln)'!F$33*Données!U862+'Résultat (Ln)'!F$34*Données!V862+'Résultat (Ln)'!F$35*Données!W862+'Résultat (Ln)'!F$36*Données!X862+'Résultat (Ln)'!F$37*Données!Y862</f>
        <v>155617.65159360363</v>
      </c>
      <c r="AA862">
        <f t="shared" si="55"/>
        <v>-4617.6515936036303</v>
      </c>
    </row>
    <row r="863" spans="1:27" x14ac:dyDescent="0.25">
      <c r="A863">
        <v>150000</v>
      </c>
      <c r="B863">
        <v>1</v>
      </c>
      <c r="C863">
        <v>36.599998474121087</v>
      </c>
      <c r="D863">
        <v>0</v>
      </c>
      <c r="E863">
        <v>188000</v>
      </c>
      <c r="F863">
        <v>4708</v>
      </c>
      <c r="G863">
        <v>1</v>
      </c>
      <c r="H863">
        <v>0</v>
      </c>
      <c r="I863">
        <v>0</v>
      </c>
      <c r="J863">
        <v>26.10000038146973</v>
      </c>
      <c r="K863">
        <v>1</v>
      </c>
      <c r="L863">
        <f>Résultats!G$32+Résultats!G$33*Données!C863+Résultats!G$34*Données!D863+Résultats!G$35*Données!E863+Résultats!G$36*Données!F863+Résultats!G$37*Données!G863+Résultats!G$38*Données!H863+Résultats!G$39*Données!I863</f>
        <v>142529.87602834197</v>
      </c>
      <c r="M863">
        <f t="shared" si="52"/>
        <v>7470.1239716580312</v>
      </c>
      <c r="Q863">
        <v>140000</v>
      </c>
      <c r="R863">
        <v>1</v>
      </c>
      <c r="S863">
        <v>32</v>
      </c>
      <c r="T863">
        <v>0</v>
      </c>
      <c r="U863">
        <f t="shared" si="53"/>
        <v>12.072541252905651</v>
      </c>
      <c r="V863">
        <f t="shared" si="54"/>
        <v>8.4301090845091249</v>
      </c>
      <c r="W863">
        <v>0</v>
      </c>
      <c r="X863">
        <v>0</v>
      </c>
      <c r="Y863">
        <v>0</v>
      </c>
      <c r="Z863">
        <f>'Résultat (Ln)'!F$30+'Résultat (Ln)'!F$31*Données!S863+'Résultat (Ln)'!F$32*Données!T863+'Résultat (Ln)'!F$33*Données!U863+'Résultat (Ln)'!F$34*Données!V863+'Résultat (Ln)'!F$35*Données!W863+'Résultat (Ln)'!F$36*Données!X863+'Résultat (Ln)'!F$37*Données!Y863</f>
        <v>139827.27577978035</v>
      </c>
      <c r="AA863">
        <f t="shared" si="55"/>
        <v>172.72422021965031</v>
      </c>
    </row>
    <row r="864" spans="1:27" x14ac:dyDescent="0.25">
      <c r="A864">
        <v>187000</v>
      </c>
      <c r="B864">
        <v>1</v>
      </c>
      <c r="C864">
        <v>30.5</v>
      </c>
      <c r="D864">
        <v>0</v>
      </c>
      <c r="E864">
        <v>187449.99694824219</v>
      </c>
      <c r="F864">
        <v>5823</v>
      </c>
      <c r="G864">
        <v>0</v>
      </c>
      <c r="H864">
        <v>0</v>
      </c>
      <c r="I864">
        <v>0</v>
      </c>
      <c r="J864">
        <v>23.89999961853027</v>
      </c>
      <c r="K864">
        <v>1</v>
      </c>
      <c r="L864">
        <f>Résultats!G$32+Résultats!G$33*Données!C864+Résultats!G$34*Données!D864+Résultats!G$35*Données!E864+Résultats!G$36*Données!F864+Résultats!G$37*Données!G864+Résultats!G$38*Données!H864+Résultats!G$39*Données!I864</f>
        <v>130410.17717742659</v>
      </c>
      <c r="M864">
        <f t="shared" si="52"/>
        <v>56589.822822573406</v>
      </c>
      <c r="Q864">
        <v>150000</v>
      </c>
      <c r="R864">
        <v>1</v>
      </c>
      <c r="S864">
        <v>36.599998474121087</v>
      </c>
      <c r="T864">
        <v>0</v>
      </c>
      <c r="U864">
        <f t="shared" si="53"/>
        <v>12.144197241812087</v>
      </c>
      <c r="V864">
        <f t="shared" si="54"/>
        <v>8.4570184683801681</v>
      </c>
      <c r="W864">
        <v>1</v>
      </c>
      <c r="X864">
        <v>0</v>
      </c>
      <c r="Y864">
        <v>0</v>
      </c>
      <c r="Z864">
        <f>'Résultat (Ln)'!F$30+'Résultat (Ln)'!F$31*Données!S864+'Résultat (Ln)'!F$32*Données!T864+'Résultat (Ln)'!F$33*Données!U864+'Résultat (Ln)'!F$34*Données!V864+'Résultat (Ln)'!F$35*Données!W864+'Résultat (Ln)'!F$36*Données!X864+'Résultat (Ln)'!F$37*Données!Y864</f>
        <v>158398.59256090564</v>
      </c>
      <c r="AA864">
        <f t="shared" si="55"/>
        <v>-8398.592560905643</v>
      </c>
    </row>
    <row r="865" spans="1:27" x14ac:dyDescent="0.25">
      <c r="A865">
        <v>123000</v>
      </c>
      <c r="B865">
        <v>1</v>
      </c>
      <c r="C865">
        <v>36.099998474121087</v>
      </c>
      <c r="D865">
        <v>0</v>
      </c>
      <c r="E865">
        <v>140000</v>
      </c>
      <c r="F865">
        <v>3561</v>
      </c>
      <c r="G865">
        <v>0</v>
      </c>
      <c r="H865">
        <v>0</v>
      </c>
      <c r="I865">
        <v>0</v>
      </c>
      <c r="J865">
        <v>33.700000762939453</v>
      </c>
      <c r="K865">
        <v>1</v>
      </c>
      <c r="L865">
        <f>Résultats!G$32+Résultats!G$33*Données!C865+Résultats!G$34*Données!D865+Résultats!G$35*Données!E865+Résultats!G$36*Données!F865+Résultats!G$37*Données!G865+Résultats!G$38*Données!H865+Résultats!G$39*Données!I865</f>
        <v>110302.52335292679</v>
      </c>
      <c r="M865">
        <f t="shared" si="52"/>
        <v>12697.476647073214</v>
      </c>
      <c r="Q865">
        <v>187000</v>
      </c>
      <c r="R865">
        <v>1</v>
      </c>
      <c r="S865">
        <v>30.5</v>
      </c>
      <c r="T865">
        <v>0</v>
      </c>
      <c r="U865">
        <f t="shared" si="53"/>
        <v>12.141267405883674</v>
      </c>
      <c r="V865">
        <f t="shared" si="54"/>
        <v>8.6695708718371201</v>
      </c>
      <c r="W865">
        <v>0</v>
      </c>
      <c r="X865">
        <v>0</v>
      </c>
      <c r="Y865">
        <v>0</v>
      </c>
      <c r="Z865">
        <f>'Résultat (Ln)'!F$30+'Résultat (Ln)'!F$31*Données!S865+'Résultat (Ln)'!F$32*Données!T865+'Résultat (Ln)'!F$33*Données!U865+'Résultat (Ln)'!F$34*Données!V865+'Résultat (Ln)'!F$35*Données!W865+'Résultat (Ln)'!F$36*Données!X865+'Résultat (Ln)'!F$37*Données!Y865</f>
        <v>152077.24891041423</v>
      </c>
      <c r="AA865">
        <f t="shared" si="55"/>
        <v>34922.75108958577</v>
      </c>
    </row>
    <row r="866" spans="1:27" x14ac:dyDescent="0.25">
      <c r="A866">
        <v>95000</v>
      </c>
      <c r="B866">
        <v>1</v>
      </c>
      <c r="C866">
        <v>37</v>
      </c>
      <c r="D866">
        <v>0</v>
      </c>
      <c r="E866">
        <v>132000</v>
      </c>
      <c r="F866">
        <v>3417</v>
      </c>
      <c r="G866">
        <v>1</v>
      </c>
      <c r="H866">
        <v>0</v>
      </c>
      <c r="I866">
        <v>0</v>
      </c>
      <c r="J866">
        <v>29</v>
      </c>
      <c r="K866">
        <v>1</v>
      </c>
      <c r="L866">
        <f>Résultats!G$32+Résultats!G$33*Données!C866+Résultats!G$34*Données!D866+Résultats!G$35*Données!E866+Résultats!G$36*Données!F866+Résultats!G$37*Données!G866+Résultats!G$38*Données!H866+Résultats!G$39*Données!I866</f>
        <v>114338.27939786349</v>
      </c>
      <c r="M866">
        <f t="shared" si="52"/>
        <v>-19338.279397863487</v>
      </c>
      <c r="Q866">
        <v>123000</v>
      </c>
      <c r="R866">
        <v>1</v>
      </c>
      <c r="S866">
        <v>36.099998474121087</v>
      </c>
      <c r="T866">
        <v>0</v>
      </c>
      <c r="U866">
        <f t="shared" si="53"/>
        <v>11.849397701591441</v>
      </c>
      <c r="V866">
        <f t="shared" si="54"/>
        <v>8.1777966832777782</v>
      </c>
      <c r="W866">
        <v>0</v>
      </c>
      <c r="X866">
        <v>0</v>
      </c>
      <c r="Y866">
        <v>0</v>
      </c>
      <c r="Z866">
        <f>'Résultat (Ln)'!F$30+'Résultat (Ln)'!F$31*Données!S866+'Résultat (Ln)'!F$32*Données!T866+'Résultat (Ln)'!F$33*Données!U866+'Résultat (Ln)'!F$34*Données!V866+'Résultat (Ln)'!F$35*Données!W866+'Résultat (Ln)'!F$36*Données!X866+'Résultat (Ln)'!F$37*Données!Y866</f>
        <v>113841.34117432439</v>
      </c>
      <c r="AA866">
        <f t="shared" si="55"/>
        <v>9158.6588256756077</v>
      </c>
    </row>
    <row r="867" spans="1:27" x14ac:dyDescent="0.25">
      <c r="A867">
        <v>143000</v>
      </c>
      <c r="B867">
        <v>1</v>
      </c>
      <c r="C867">
        <v>37</v>
      </c>
      <c r="D867">
        <v>0</v>
      </c>
      <c r="E867">
        <v>190000</v>
      </c>
      <c r="F867">
        <v>7895</v>
      </c>
      <c r="G867">
        <v>1</v>
      </c>
      <c r="H867">
        <v>0</v>
      </c>
      <c r="I867">
        <v>0</v>
      </c>
      <c r="J867">
        <v>20</v>
      </c>
      <c r="K867">
        <v>1</v>
      </c>
      <c r="L867">
        <f>Résultats!G$32+Résultats!G$33*Données!C867+Résultats!G$34*Données!D867+Résultats!G$35*Données!E867+Résultats!G$36*Données!F867+Résultats!G$37*Données!G867+Résultats!G$38*Données!H867+Résultats!G$39*Données!I867</f>
        <v>150098.98080473003</v>
      </c>
      <c r="M867">
        <f t="shared" si="52"/>
        <v>-7098.9808047300321</v>
      </c>
      <c r="Q867">
        <v>95000</v>
      </c>
      <c r="R867">
        <v>1</v>
      </c>
      <c r="S867">
        <v>37</v>
      </c>
      <c r="T867">
        <v>0</v>
      </c>
      <c r="U867">
        <f t="shared" si="53"/>
        <v>11.790557201568507</v>
      </c>
      <c r="V867">
        <f t="shared" si="54"/>
        <v>8.136518252115291</v>
      </c>
      <c r="W867">
        <v>1</v>
      </c>
      <c r="X867">
        <v>0</v>
      </c>
      <c r="Y867">
        <v>0</v>
      </c>
      <c r="Z867">
        <f>'Résultat (Ln)'!F$30+'Résultat (Ln)'!F$31*Données!S867+'Résultat (Ln)'!F$32*Données!T867+'Résultat (Ln)'!F$33*Données!U867+'Résultat (Ln)'!F$34*Données!V867+'Résultat (Ln)'!F$35*Données!W867+'Résultat (Ln)'!F$36*Données!X867+'Résultat (Ln)'!F$37*Données!Y867</f>
        <v>111990.0837176905</v>
      </c>
      <c r="AA867">
        <f t="shared" si="55"/>
        <v>-16990.083717690504</v>
      </c>
    </row>
    <row r="868" spans="1:27" x14ac:dyDescent="0.25">
      <c r="A868">
        <v>160000</v>
      </c>
      <c r="B868">
        <v>1</v>
      </c>
      <c r="C868">
        <v>35</v>
      </c>
      <c r="D868">
        <v>0</v>
      </c>
      <c r="E868">
        <v>211000</v>
      </c>
      <c r="F868">
        <v>4333</v>
      </c>
      <c r="G868">
        <v>1</v>
      </c>
      <c r="H868">
        <v>0</v>
      </c>
      <c r="I868">
        <v>0</v>
      </c>
      <c r="J868">
        <v>26</v>
      </c>
      <c r="K868">
        <v>1</v>
      </c>
      <c r="L868">
        <f>Résultats!G$32+Résultats!G$33*Données!C868+Résultats!G$34*Données!D868+Résultats!G$35*Données!E868+Résultats!G$36*Données!F868+Résultats!G$37*Données!G868+Résultats!G$38*Données!H868+Résultats!G$39*Données!I868</f>
        <v>150705.26009179736</v>
      </c>
      <c r="M868">
        <f t="shared" si="52"/>
        <v>9294.7399082026386</v>
      </c>
      <c r="Q868">
        <v>143000</v>
      </c>
      <c r="R868">
        <v>1</v>
      </c>
      <c r="S868">
        <v>37</v>
      </c>
      <c r="T868">
        <v>0</v>
      </c>
      <c r="U868">
        <f t="shared" si="53"/>
        <v>12.154779351142624</v>
      </c>
      <c r="V868">
        <f t="shared" si="54"/>
        <v>8.9739849266897433</v>
      </c>
      <c r="W868">
        <v>1</v>
      </c>
      <c r="X868">
        <v>0</v>
      </c>
      <c r="Y868">
        <v>0</v>
      </c>
      <c r="Z868">
        <f>'Résultat (Ln)'!F$30+'Résultat (Ln)'!F$31*Données!S868+'Résultat (Ln)'!F$32*Données!T868+'Résultat (Ln)'!F$33*Données!U868+'Résultat (Ln)'!F$34*Données!V868+'Résultat (Ln)'!F$35*Données!W868+'Résultat (Ln)'!F$36*Données!X868+'Résultat (Ln)'!F$37*Données!Y868</f>
        <v>174520.50023365961</v>
      </c>
      <c r="AA868">
        <f t="shared" si="55"/>
        <v>-31520.500233659608</v>
      </c>
    </row>
    <row r="869" spans="1:27" x14ac:dyDescent="0.25">
      <c r="A869">
        <v>135000</v>
      </c>
      <c r="B869">
        <v>1</v>
      </c>
      <c r="C869">
        <v>43</v>
      </c>
      <c r="D869">
        <v>0</v>
      </c>
      <c r="E869">
        <v>152000</v>
      </c>
      <c r="F869">
        <v>3418</v>
      </c>
      <c r="G869">
        <v>0</v>
      </c>
      <c r="H869">
        <v>0</v>
      </c>
      <c r="I869">
        <v>0</v>
      </c>
      <c r="J869">
        <v>42</v>
      </c>
      <c r="K869">
        <v>0</v>
      </c>
      <c r="L869">
        <f>Résultats!G$32+Résultats!G$33*Données!C869+Résultats!G$34*Données!D869+Résultats!G$35*Données!E869+Résultats!G$36*Données!F869+Résultats!G$37*Données!G869+Résultats!G$38*Données!H869+Résultats!G$39*Données!I869</f>
        <v>123554.68635233941</v>
      </c>
      <c r="M869">
        <f t="shared" si="52"/>
        <v>11445.313647660587</v>
      </c>
      <c r="Q869">
        <v>160000</v>
      </c>
      <c r="R869">
        <v>1</v>
      </c>
      <c r="S869">
        <v>35</v>
      </c>
      <c r="T869">
        <v>0</v>
      </c>
      <c r="U869">
        <f t="shared" si="53"/>
        <v>12.259613412458204</v>
      </c>
      <c r="V869">
        <f t="shared" si="54"/>
        <v>8.3740154217399088</v>
      </c>
      <c r="W869">
        <v>1</v>
      </c>
      <c r="X869">
        <v>0</v>
      </c>
      <c r="Y869">
        <v>0</v>
      </c>
      <c r="Z869">
        <f>'Résultat (Ln)'!F$30+'Résultat (Ln)'!F$31*Données!S869+'Résultat (Ln)'!F$32*Données!T869+'Résultat (Ln)'!F$33*Données!U869+'Résultat (Ln)'!F$34*Données!V869+'Résultat (Ln)'!F$35*Données!W869+'Résultat (Ln)'!F$36*Données!X869+'Résultat (Ln)'!F$37*Données!Y869</f>
        <v>166487.54440249436</v>
      </c>
      <c r="AA869">
        <f t="shared" si="55"/>
        <v>-6487.5444024943572</v>
      </c>
    </row>
    <row r="870" spans="1:27" x14ac:dyDescent="0.25">
      <c r="A870">
        <v>90000</v>
      </c>
      <c r="B870">
        <v>1</v>
      </c>
      <c r="C870">
        <v>30</v>
      </c>
      <c r="D870">
        <v>0</v>
      </c>
      <c r="E870">
        <v>140000</v>
      </c>
      <c r="F870">
        <v>2876</v>
      </c>
      <c r="G870">
        <v>0</v>
      </c>
      <c r="H870">
        <v>0</v>
      </c>
      <c r="I870">
        <v>0</v>
      </c>
      <c r="J870">
        <v>22</v>
      </c>
      <c r="K870">
        <v>0</v>
      </c>
      <c r="L870">
        <f>Résultats!G$32+Résultats!G$33*Données!C870+Résultats!G$34*Données!D870+Résultats!G$35*Données!E870+Résultats!G$36*Données!F870+Résultats!G$37*Données!G870+Résultats!G$38*Données!H870+Résultats!G$39*Données!I870</f>
        <v>101968.25144749779</v>
      </c>
      <c r="M870">
        <f t="shared" si="52"/>
        <v>-11968.251447497794</v>
      </c>
      <c r="Q870">
        <v>135000</v>
      </c>
      <c r="R870">
        <v>1</v>
      </c>
      <c r="S870">
        <v>43</v>
      </c>
      <c r="T870">
        <v>0</v>
      </c>
      <c r="U870">
        <f t="shared" si="53"/>
        <v>11.931635799828413</v>
      </c>
      <c r="V870">
        <f t="shared" si="54"/>
        <v>8.136810863675537</v>
      </c>
      <c r="W870">
        <v>0</v>
      </c>
      <c r="X870">
        <v>0</v>
      </c>
      <c r="Y870">
        <v>0</v>
      </c>
      <c r="Z870">
        <f>'Résultat (Ln)'!F$30+'Résultat (Ln)'!F$31*Données!S870+'Résultat (Ln)'!F$32*Données!T870+'Résultat (Ln)'!F$33*Données!U870+'Résultat (Ln)'!F$34*Données!V870+'Résultat (Ln)'!F$35*Données!W870+'Résultat (Ln)'!F$36*Données!X870+'Résultat (Ln)'!F$37*Données!Y870</f>
        <v>129939.50544001441</v>
      </c>
      <c r="AA870">
        <f t="shared" si="55"/>
        <v>5060.4945599855855</v>
      </c>
    </row>
    <row r="871" spans="1:27" x14ac:dyDescent="0.25">
      <c r="A871">
        <v>250000</v>
      </c>
      <c r="B871">
        <v>1</v>
      </c>
      <c r="C871">
        <v>36</v>
      </c>
      <c r="D871">
        <v>0</v>
      </c>
      <c r="E871">
        <v>350000</v>
      </c>
      <c r="F871">
        <v>9545</v>
      </c>
      <c r="G871">
        <v>0</v>
      </c>
      <c r="H871">
        <v>0</v>
      </c>
      <c r="I871">
        <v>0</v>
      </c>
      <c r="J871">
        <v>36</v>
      </c>
      <c r="K871">
        <v>1</v>
      </c>
      <c r="L871">
        <f>Résultats!G$32+Résultats!G$33*Données!C871+Résultats!G$34*Données!D871+Résultats!G$35*Données!E871+Résultats!G$36*Données!F871+Résultats!G$37*Données!G871+Résultats!G$38*Données!H871+Résultats!G$39*Données!I871</f>
        <v>219843.56408567994</v>
      </c>
      <c r="M871">
        <f t="shared" si="52"/>
        <v>30156.435914320056</v>
      </c>
      <c r="Q871">
        <v>90000</v>
      </c>
      <c r="R871">
        <v>1</v>
      </c>
      <c r="S871">
        <v>30</v>
      </c>
      <c r="T871">
        <v>0</v>
      </c>
      <c r="U871">
        <f t="shared" si="53"/>
        <v>11.849397701591441</v>
      </c>
      <c r="V871">
        <f t="shared" si="54"/>
        <v>7.9641557188409369</v>
      </c>
      <c r="W871">
        <v>0</v>
      </c>
      <c r="X871">
        <v>0</v>
      </c>
      <c r="Y871">
        <v>0</v>
      </c>
      <c r="Z871">
        <f>'Résultat (Ln)'!F$30+'Résultat (Ln)'!F$31*Données!S871+'Résultat (Ln)'!F$32*Données!T871+'Résultat (Ln)'!F$33*Données!U871+'Résultat (Ln)'!F$34*Données!V871+'Résultat (Ln)'!F$35*Données!W871+'Résultat (Ln)'!F$36*Données!X871+'Résultat (Ln)'!F$37*Données!Y871</f>
        <v>100395.16288528903</v>
      </c>
      <c r="AA871">
        <f t="shared" si="55"/>
        <v>-10395.162885289028</v>
      </c>
    </row>
    <row r="872" spans="1:27" x14ac:dyDescent="0.25">
      <c r="A872">
        <v>209000</v>
      </c>
      <c r="B872">
        <v>1</v>
      </c>
      <c r="C872">
        <v>31</v>
      </c>
      <c r="D872">
        <v>0</v>
      </c>
      <c r="E872">
        <v>244000</v>
      </c>
      <c r="F872">
        <v>4150</v>
      </c>
      <c r="G872">
        <v>0</v>
      </c>
      <c r="H872">
        <v>0</v>
      </c>
      <c r="I872">
        <v>0</v>
      </c>
      <c r="J872">
        <v>27</v>
      </c>
      <c r="K872">
        <v>1</v>
      </c>
      <c r="L872">
        <f>Résultats!G$32+Résultats!G$33*Données!C872+Résultats!G$34*Données!D872+Résultats!G$35*Données!E872+Résultats!G$36*Données!F872+Résultats!G$37*Données!G872+Résultats!G$38*Données!H872+Résultats!G$39*Données!I872</f>
        <v>154148.80287254089</v>
      </c>
      <c r="M872">
        <f t="shared" si="52"/>
        <v>54851.197127459105</v>
      </c>
      <c r="Q872">
        <v>250000</v>
      </c>
      <c r="R872">
        <v>1</v>
      </c>
      <c r="S872">
        <v>36</v>
      </c>
      <c r="T872">
        <v>0</v>
      </c>
      <c r="U872">
        <f t="shared" si="53"/>
        <v>12.765688433465597</v>
      </c>
      <c r="V872">
        <f t="shared" si="54"/>
        <v>9.1637727361598476</v>
      </c>
      <c r="W872">
        <v>0</v>
      </c>
      <c r="X872">
        <v>0</v>
      </c>
      <c r="Y872">
        <v>0</v>
      </c>
      <c r="Z872">
        <f>'Résultat (Ln)'!F$30+'Résultat (Ln)'!F$31*Données!S872+'Résultat (Ln)'!F$32*Données!T872+'Résultat (Ln)'!F$33*Données!U872+'Résultat (Ln)'!F$34*Données!V872+'Résultat (Ln)'!F$35*Données!W872+'Résultat (Ln)'!F$36*Données!X872+'Résultat (Ln)'!F$37*Données!Y872</f>
        <v>239593.92308802882</v>
      </c>
      <c r="AA872">
        <f t="shared" si="55"/>
        <v>10406.076911971177</v>
      </c>
    </row>
    <row r="873" spans="1:27" x14ac:dyDescent="0.25">
      <c r="A873">
        <v>89000</v>
      </c>
      <c r="B873">
        <v>1</v>
      </c>
      <c r="C873">
        <v>36</v>
      </c>
      <c r="D873">
        <v>0</v>
      </c>
      <c r="E873">
        <v>99000</v>
      </c>
      <c r="F873">
        <v>2318</v>
      </c>
      <c r="G873">
        <v>1</v>
      </c>
      <c r="H873">
        <v>0</v>
      </c>
      <c r="I873">
        <v>0</v>
      </c>
      <c r="J873">
        <v>26.60000038146973</v>
      </c>
      <c r="K873">
        <v>1</v>
      </c>
      <c r="L873">
        <f>Résultats!G$32+Résultats!G$33*Données!C873+Résultats!G$34*Données!D873+Résultats!G$35*Données!E873+Résultats!G$36*Données!F873+Résultats!G$37*Données!G873+Résultats!G$38*Données!H873+Résultats!G$39*Données!I873</f>
        <v>95650.522837583674</v>
      </c>
      <c r="M873">
        <f t="shared" si="52"/>
        <v>-6650.5228375836741</v>
      </c>
      <c r="Q873">
        <v>209000</v>
      </c>
      <c r="R873">
        <v>1</v>
      </c>
      <c r="S873">
        <v>31</v>
      </c>
      <c r="T873">
        <v>0</v>
      </c>
      <c r="U873">
        <f t="shared" si="53"/>
        <v>12.404923504275338</v>
      </c>
      <c r="V873">
        <f t="shared" si="54"/>
        <v>8.3308636132247447</v>
      </c>
      <c r="W873">
        <v>0</v>
      </c>
      <c r="X873">
        <v>0</v>
      </c>
      <c r="Y873">
        <v>0</v>
      </c>
      <c r="Z873">
        <f>'Résultat (Ln)'!F$30+'Résultat (Ln)'!F$31*Données!S873+'Résultat (Ln)'!F$32*Données!T873+'Résultat (Ln)'!F$33*Données!U873+'Résultat (Ln)'!F$34*Données!V873+'Résultat (Ln)'!F$35*Données!W873+'Résultat (Ln)'!F$36*Données!X873+'Résultat (Ln)'!F$37*Données!Y873</f>
        <v>171451.72057111663</v>
      </c>
      <c r="AA873">
        <f t="shared" si="55"/>
        <v>37548.279428883368</v>
      </c>
    </row>
    <row r="874" spans="1:27" x14ac:dyDescent="0.25">
      <c r="A874">
        <v>30000</v>
      </c>
      <c r="B874">
        <v>1</v>
      </c>
      <c r="C874">
        <v>27</v>
      </c>
      <c r="D874">
        <v>0</v>
      </c>
      <c r="E874">
        <v>88000</v>
      </c>
      <c r="F874">
        <v>3237</v>
      </c>
      <c r="G874">
        <v>0</v>
      </c>
      <c r="H874">
        <v>0</v>
      </c>
      <c r="I874">
        <v>1</v>
      </c>
      <c r="J874">
        <v>15</v>
      </c>
      <c r="K874">
        <v>0</v>
      </c>
      <c r="L874">
        <f>Résultats!G$32+Résultats!G$33*Données!C874+Résultats!G$34*Données!D874+Résultats!G$35*Données!E874+Résultats!G$36*Données!F874+Résultats!G$37*Données!G874+Résultats!G$38*Données!H874+Résultats!G$39*Données!I874</f>
        <v>84865.668435175001</v>
      </c>
      <c r="M874">
        <f t="shared" si="52"/>
        <v>-54865.668435175001</v>
      </c>
      <c r="Q874">
        <v>89000</v>
      </c>
      <c r="R874">
        <v>1</v>
      </c>
      <c r="S874">
        <v>36</v>
      </c>
      <c r="T874">
        <v>0</v>
      </c>
      <c r="U874">
        <f t="shared" si="53"/>
        <v>11.502875129116727</v>
      </c>
      <c r="V874">
        <f t="shared" si="54"/>
        <v>7.748460023899697</v>
      </c>
      <c r="W874">
        <v>1</v>
      </c>
      <c r="X874">
        <v>0</v>
      </c>
      <c r="Y874">
        <v>0</v>
      </c>
      <c r="Z874">
        <f>'Résultat (Ln)'!F$30+'Résultat (Ln)'!F$31*Données!S874+'Résultat (Ln)'!F$32*Données!T874+'Résultat (Ln)'!F$33*Données!U874+'Résultat (Ln)'!F$34*Données!V874+'Résultat (Ln)'!F$35*Données!W874+'Résultat (Ln)'!F$36*Données!X874+'Résultat (Ln)'!F$37*Données!Y874</f>
        <v>69046.39935703871</v>
      </c>
      <c r="AA874">
        <f t="shared" si="55"/>
        <v>19953.60064296129</v>
      </c>
    </row>
    <row r="875" spans="1:27" x14ac:dyDescent="0.25">
      <c r="A875">
        <v>109000</v>
      </c>
      <c r="B875">
        <v>1</v>
      </c>
      <c r="C875">
        <v>29</v>
      </c>
      <c r="D875">
        <v>0</v>
      </c>
      <c r="E875">
        <v>155000</v>
      </c>
      <c r="F875">
        <v>5250</v>
      </c>
      <c r="G875">
        <v>1</v>
      </c>
      <c r="H875">
        <v>0</v>
      </c>
      <c r="I875">
        <v>0</v>
      </c>
      <c r="J875">
        <v>21</v>
      </c>
      <c r="K875">
        <v>1</v>
      </c>
      <c r="L875">
        <f>Résultats!G$32+Résultats!G$33*Données!C875+Résultats!G$34*Données!D875+Résultats!G$35*Données!E875+Résultats!G$36*Données!F875+Résultats!G$37*Données!G875+Résultats!G$38*Données!H875+Résultats!G$39*Données!I875</f>
        <v>119440.80578582232</v>
      </c>
      <c r="M875">
        <f t="shared" si="52"/>
        <v>-10440.805785822318</v>
      </c>
      <c r="Q875">
        <v>30000</v>
      </c>
      <c r="R875">
        <v>1</v>
      </c>
      <c r="S875">
        <v>27</v>
      </c>
      <c r="T875">
        <v>0</v>
      </c>
      <c r="U875">
        <f t="shared" si="53"/>
        <v>11.385092093460344</v>
      </c>
      <c r="V875">
        <f t="shared" si="54"/>
        <v>8.0824022539262437</v>
      </c>
      <c r="W875">
        <v>0</v>
      </c>
      <c r="X875">
        <v>0</v>
      </c>
      <c r="Y875">
        <v>1</v>
      </c>
      <c r="Z875">
        <f>'Résultat (Ln)'!F$30+'Résultat (Ln)'!F$31*Données!S875+'Résultat (Ln)'!F$32*Données!T875+'Résultat (Ln)'!F$33*Données!U875+'Résultat (Ln)'!F$34*Données!V875+'Résultat (Ln)'!F$35*Données!W875+'Résultat (Ln)'!F$36*Données!X875+'Résultat (Ln)'!F$37*Données!Y875</f>
        <v>64360.786088353372</v>
      </c>
      <c r="AA875">
        <f t="shared" si="55"/>
        <v>-34360.786088353372</v>
      </c>
    </row>
    <row r="876" spans="1:27" x14ac:dyDescent="0.25">
      <c r="A876">
        <v>200000</v>
      </c>
      <c r="B876">
        <v>1</v>
      </c>
      <c r="C876">
        <v>28</v>
      </c>
      <c r="D876">
        <v>0</v>
      </c>
      <c r="E876">
        <v>280000</v>
      </c>
      <c r="F876">
        <v>4083</v>
      </c>
      <c r="G876">
        <v>1</v>
      </c>
      <c r="H876">
        <v>0</v>
      </c>
      <c r="I876">
        <v>0</v>
      </c>
      <c r="J876">
        <v>27</v>
      </c>
      <c r="K876">
        <v>1</v>
      </c>
      <c r="L876">
        <f>Résultats!G$32+Résultats!G$33*Données!C876+Résultats!G$34*Données!D876+Résultats!G$35*Données!E876+Résultats!G$36*Données!F876+Résultats!G$37*Données!G876+Résultats!G$38*Données!H876+Résultats!G$39*Données!I876</f>
        <v>174399.89613494504</v>
      </c>
      <c r="M876">
        <f t="shared" si="52"/>
        <v>25600.10386505496</v>
      </c>
      <c r="Q876">
        <v>109000</v>
      </c>
      <c r="R876">
        <v>1</v>
      </c>
      <c r="S876">
        <v>29</v>
      </c>
      <c r="T876">
        <v>0</v>
      </c>
      <c r="U876">
        <f t="shared" si="53"/>
        <v>11.951180395901384</v>
      </c>
      <c r="V876">
        <f t="shared" si="54"/>
        <v>8.5659833555856686</v>
      </c>
      <c r="W876">
        <v>1</v>
      </c>
      <c r="X876">
        <v>0</v>
      </c>
      <c r="Y876">
        <v>0</v>
      </c>
      <c r="Z876">
        <f>'Résultat (Ln)'!F$30+'Résultat (Ln)'!F$31*Données!S876+'Résultat (Ln)'!F$32*Données!T876+'Résultat (Ln)'!F$33*Données!U876+'Résultat (Ln)'!F$34*Données!V876+'Résultat (Ln)'!F$35*Données!W876+'Résultat (Ln)'!F$36*Données!X876+'Résultat (Ln)'!F$37*Données!Y876</f>
        <v>131476.53959562306</v>
      </c>
      <c r="AA876">
        <f t="shared" si="55"/>
        <v>-22476.539595623064</v>
      </c>
    </row>
    <row r="877" spans="1:27" x14ac:dyDescent="0.25">
      <c r="A877">
        <v>136000</v>
      </c>
      <c r="B877">
        <v>1</v>
      </c>
      <c r="C877">
        <v>17</v>
      </c>
      <c r="D877">
        <v>0</v>
      </c>
      <c r="E877">
        <v>436000</v>
      </c>
      <c r="F877">
        <v>11146</v>
      </c>
      <c r="G877">
        <v>1</v>
      </c>
      <c r="H877">
        <v>0</v>
      </c>
      <c r="I877">
        <v>0</v>
      </c>
      <c r="J877">
        <v>13</v>
      </c>
      <c r="K877">
        <v>1</v>
      </c>
      <c r="L877">
        <f>Résultats!G$32+Résultats!G$33*Données!C877+Résultats!G$34*Données!D877+Résultats!G$35*Données!E877+Résultats!G$36*Données!F877+Résultats!G$37*Données!G877+Résultats!G$38*Données!H877+Résultats!G$39*Données!I877</f>
        <v>248295.82404191207</v>
      </c>
      <c r="M877">
        <f t="shared" si="52"/>
        <v>-112295.82404191207</v>
      </c>
      <c r="Q877">
        <v>200000</v>
      </c>
      <c r="R877">
        <v>1</v>
      </c>
      <c r="S877">
        <v>28</v>
      </c>
      <c r="T877">
        <v>0</v>
      </c>
      <c r="U877">
        <f t="shared" si="53"/>
        <v>12.542544882151386</v>
      </c>
      <c r="V877">
        <f t="shared" si="54"/>
        <v>8.314587291319576</v>
      </c>
      <c r="W877">
        <v>1</v>
      </c>
      <c r="X877">
        <v>0</v>
      </c>
      <c r="Y877">
        <v>0</v>
      </c>
      <c r="Z877">
        <f>'Résultat (Ln)'!F$30+'Résultat (Ln)'!F$31*Données!S877+'Résultat (Ln)'!F$32*Données!T877+'Résultat (Ln)'!F$33*Données!U877+'Résultat (Ln)'!F$34*Données!V877+'Résultat (Ln)'!F$35*Données!W877+'Résultat (Ln)'!F$36*Données!X877+'Résultat (Ln)'!F$37*Données!Y877</f>
        <v>186595.54772174233</v>
      </c>
      <c r="AA877">
        <f t="shared" si="55"/>
        <v>13404.452278257668</v>
      </c>
    </row>
    <row r="878" spans="1:27" x14ac:dyDescent="0.25">
      <c r="A878">
        <v>126000</v>
      </c>
      <c r="B878">
        <v>1</v>
      </c>
      <c r="C878">
        <v>31</v>
      </c>
      <c r="D878">
        <v>0</v>
      </c>
      <c r="E878">
        <v>158000</v>
      </c>
      <c r="F878">
        <v>2833</v>
      </c>
      <c r="G878">
        <v>0</v>
      </c>
      <c r="H878">
        <v>0</v>
      </c>
      <c r="I878">
        <v>0</v>
      </c>
      <c r="J878">
        <v>28</v>
      </c>
      <c r="K878">
        <v>1</v>
      </c>
      <c r="L878">
        <f>Résultats!G$32+Résultats!G$33*Données!C878+Résultats!G$34*Données!D878+Résultats!G$35*Données!E878+Résultats!G$36*Données!F878+Résultats!G$37*Données!G878+Résultats!G$38*Données!H878+Résultats!G$39*Données!I878</f>
        <v>111438.75580599518</v>
      </c>
      <c r="M878">
        <f t="shared" si="52"/>
        <v>14561.244194004816</v>
      </c>
      <c r="Q878">
        <v>136000</v>
      </c>
      <c r="R878">
        <v>1</v>
      </c>
      <c r="S878">
        <v>17</v>
      </c>
      <c r="T878">
        <v>0</v>
      </c>
      <c r="U878">
        <f t="shared" si="53"/>
        <v>12.985397522331171</v>
      </c>
      <c r="V878">
        <f t="shared" si="54"/>
        <v>9.3188359681294823</v>
      </c>
      <c r="W878">
        <v>1</v>
      </c>
      <c r="X878">
        <v>0</v>
      </c>
      <c r="Y878">
        <v>0</v>
      </c>
      <c r="Z878">
        <f>'Résultat (Ln)'!F$30+'Résultat (Ln)'!F$31*Données!S878+'Résultat (Ln)'!F$32*Données!T878+'Résultat (Ln)'!F$33*Données!U878+'Résultat (Ln)'!F$34*Données!V878+'Résultat (Ln)'!F$35*Données!W878+'Résultat (Ln)'!F$36*Données!X878+'Résultat (Ln)'!F$37*Données!Y878</f>
        <v>248789.88704043208</v>
      </c>
      <c r="AA878">
        <f t="shared" si="55"/>
        <v>-112789.88704043208</v>
      </c>
    </row>
    <row r="879" spans="1:27" x14ac:dyDescent="0.25">
      <c r="A879">
        <v>185000</v>
      </c>
      <c r="B879">
        <v>1</v>
      </c>
      <c r="C879">
        <v>29</v>
      </c>
      <c r="D879">
        <v>0</v>
      </c>
      <c r="E879">
        <v>370000</v>
      </c>
      <c r="F879">
        <v>14908</v>
      </c>
      <c r="G879">
        <v>1</v>
      </c>
      <c r="H879">
        <v>0</v>
      </c>
      <c r="I879">
        <v>1</v>
      </c>
      <c r="J879">
        <v>9</v>
      </c>
      <c r="K879">
        <v>1</v>
      </c>
      <c r="L879">
        <f>Résultats!G$32+Résultats!G$33*Données!C879+Résultats!G$34*Données!D879+Résultats!G$35*Données!E879+Résultats!G$36*Données!F879+Résultats!G$37*Données!G879+Résultats!G$38*Données!H879+Résultats!G$39*Données!I879</f>
        <v>248476.36578587414</v>
      </c>
      <c r="M879">
        <f t="shared" si="52"/>
        <v>-63476.365785874135</v>
      </c>
      <c r="Q879">
        <v>126000</v>
      </c>
      <c r="R879">
        <v>1</v>
      </c>
      <c r="S879">
        <v>31</v>
      </c>
      <c r="T879">
        <v>0</v>
      </c>
      <c r="U879">
        <f t="shared" si="53"/>
        <v>11.970350312009105</v>
      </c>
      <c r="V879">
        <f t="shared" si="54"/>
        <v>7.9490914998305167</v>
      </c>
      <c r="W879">
        <v>0</v>
      </c>
      <c r="X879">
        <v>0</v>
      </c>
      <c r="Y879">
        <v>0</v>
      </c>
      <c r="Z879">
        <f>'Résultat (Ln)'!F$30+'Résultat (Ln)'!F$31*Données!S879+'Résultat (Ln)'!F$32*Données!T879+'Résultat (Ln)'!F$33*Données!U879+'Résultat (Ln)'!F$34*Données!V879+'Résultat (Ln)'!F$35*Données!W879+'Résultat (Ln)'!F$36*Données!X879+'Résultat (Ln)'!F$37*Données!Y879</f>
        <v>114160.29946834352</v>
      </c>
      <c r="AA879">
        <f t="shared" si="55"/>
        <v>11839.700531656476</v>
      </c>
    </row>
    <row r="880" spans="1:27" x14ac:dyDescent="0.25">
      <c r="A880">
        <v>150000</v>
      </c>
      <c r="B880">
        <v>1</v>
      </c>
      <c r="C880">
        <v>34.200000762939453</v>
      </c>
      <c r="D880">
        <v>0</v>
      </c>
      <c r="E880">
        <v>195000</v>
      </c>
      <c r="F880">
        <v>2620</v>
      </c>
      <c r="G880">
        <v>1</v>
      </c>
      <c r="H880">
        <v>0</v>
      </c>
      <c r="I880">
        <v>0</v>
      </c>
      <c r="J880">
        <v>32.200000762939453</v>
      </c>
      <c r="K880">
        <v>1</v>
      </c>
      <c r="L880">
        <f>Résultats!G$32+Résultats!G$33*Données!C880+Résultats!G$34*Données!D880+Résultats!G$35*Données!E880+Résultats!G$36*Données!F880+Résultats!G$37*Données!G880+Résultats!G$38*Données!H880+Résultats!G$39*Données!I880</f>
        <v>138995.64260856749</v>
      </c>
      <c r="M880">
        <f t="shared" si="52"/>
        <v>11004.35739143251</v>
      </c>
      <c r="Q880">
        <v>185000</v>
      </c>
      <c r="R880">
        <v>1</v>
      </c>
      <c r="S880">
        <v>29</v>
      </c>
      <c r="T880">
        <v>0</v>
      </c>
      <c r="U880">
        <f t="shared" si="53"/>
        <v>12.821258284620408</v>
      </c>
      <c r="V880">
        <f t="shared" si="54"/>
        <v>9.6096532605991491</v>
      </c>
      <c r="W880">
        <v>1</v>
      </c>
      <c r="X880">
        <v>0</v>
      </c>
      <c r="Y880">
        <v>1</v>
      </c>
      <c r="Z880">
        <f>'Résultat (Ln)'!F$30+'Résultat (Ln)'!F$31*Données!S880+'Résultat (Ln)'!F$32*Données!T880+'Résultat (Ln)'!F$33*Données!U880+'Résultat (Ln)'!F$34*Données!V880+'Résultat (Ln)'!F$35*Données!W880+'Résultat (Ln)'!F$36*Données!X880+'Résultat (Ln)'!F$37*Données!Y880</f>
        <v>268102.5125929768</v>
      </c>
      <c r="AA880">
        <f t="shared" si="55"/>
        <v>-83102.512592976796</v>
      </c>
    </row>
    <row r="881" spans="1:27" x14ac:dyDescent="0.25">
      <c r="A881">
        <v>108000</v>
      </c>
      <c r="B881">
        <v>1</v>
      </c>
      <c r="C881">
        <v>29</v>
      </c>
      <c r="D881">
        <v>0</v>
      </c>
      <c r="E881">
        <v>135000</v>
      </c>
      <c r="F881">
        <v>4407</v>
      </c>
      <c r="G881">
        <v>1</v>
      </c>
      <c r="H881">
        <v>0</v>
      </c>
      <c r="I881">
        <v>1</v>
      </c>
      <c r="J881">
        <v>22.70000076293945</v>
      </c>
      <c r="K881">
        <v>1</v>
      </c>
      <c r="L881">
        <f>Résultats!G$32+Résultats!G$33*Données!C881+Résultats!G$34*Données!D881+Résultats!G$35*Données!E881+Résultats!G$36*Données!F881+Résultats!G$37*Données!G881+Résultats!G$38*Données!H881+Résultats!G$39*Données!I881</f>
        <v>118393.64252000657</v>
      </c>
      <c r="M881">
        <f t="shared" si="52"/>
        <v>-10393.642520006571</v>
      </c>
      <c r="Q881">
        <v>150000</v>
      </c>
      <c r="R881">
        <v>1</v>
      </c>
      <c r="S881">
        <v>34.200000762939453</v>
      </c>
      <c r="T881">
        <v>0</v>
      </c>
      <c r="U881">
        <f t="shared" si="53"/>
        <v>12.180754837545884</v>
      </c>
      <c r="V881">
        <f t="shared" si="54"/>
        <v>7.8709295967551425</v>
      </c>
      <c r="W881">
        <v>1</v>
      </c>
      <c r="X881">
        <v>0</v>
      </c>
      <c r="Y881">
        <v>0</v>
      </c>
      <c r="Z881">
        <f>'Résultat (Ln)'!F$30+'Résultat (Ln)'!F$31*Données!S881+'Résultat (Ln)'!F$32*Données!T881+'Résultat (Ln)'!F$33*Données!U881+'Résultat (Ln)'!F$34*Données!V881+'Résultat (Ln)'!F$35*Données!W881+'Résultat (Ln)'!F$36*Données!X881+'Résultat (Ln)'!F$37*Données!Y881</f>
        <v>142947.18210724817</v>
      </c>
      <c r="AA881">
        <f t="shared" si="55"/>
        <v>7052.8178927518311</v>
      </c>
    </row>
    <row r="882" spans="1:27" x14ac:dyDescent="0.25">
      <c r="A882">
        <v>90000</v>
      </c>
      <c r="B882">
        <v>1</v>
      </c>
      <c r="C882">
        <v>29</v>
      </c>
      <c r="D882">
        <v>0</v>
      </c>
      <c r="E882">
        <v>239000</v>
      </c>
      <c r="F882">
        <v>3900</v>
      </c>
      <c r="G882">
        <v>1</v>
      </c>
      <c r="H882">
        <v>0</v>
      </c>
      <c r="I882">
        <v>0</v>
      </c>
      <c r="J882">
        <v>28</v>
      </c>
      <c r="K882">
        <v>1</v>
      </c>
      <c r="L882">
        <f>Résultats!G$32+Résultats!G$33*Données!C882+Résultats!G$34*Données!D882+Résultats!G$35*Données!E882+Résultats!G$36*Données!F882+Résultats!G$37*Données!G882+Résultats!G$38*Données!H882+Résultats!G$39*Données!I882</f>
        <v>156048.86741055205</v>
      </c>
      <c r="M882">
        <f t="shared" si="52"/>
        <v>-66048.867410552048</v>
      </c>
      <c r="Q882">
        <v>108000</v>
      </c>
      <c r="R882">
        <v>1</v>
      </c>
      <c r="S882">
        <v>29</v>
      </c>
      <c r="T882">
        <v>0</v>
      </c>
      <c r="U882">
        <f t="shared" si="53"/>
        <v>11.813030057420567</v>
      </c>
      <c r="V882">
        <f t="shared" si="54"/>
        <v>8.3909494648419862</v>
      </c>
      <c r="W882">
        <v>1</v>
      </c>
      <c r="X882">
        <v>0</v>
      </c>
      <c r="Y882">
        <v>1</v>
      </c>
      <c r="Z882">
        <f>'Résultat (Ln)'!F$30+'Résultat (Ln)'!F$31*Données!S882+'Résultat (Ln)'!F$32*Données!T882+'Résultat (Ln)'!F$33*Données!U882+'Résultat (Ln)'!F$34*Données!V882+'Résultat (Ln)'!F$35*Données!W882+'Résultat (Ln)'!F$36*Données!X882+'Résultat (Ln)'!F$37*Données!Y882</f>
        <v>125845.40248853881</v>
      </c>
      <c r="AA882">
        <f t="shared" si="55"/>
        <v>-17845.402488538806</v>
      </c>
    </row>
    <row r="883" spans="1:27" x14ac:dyDescent="0.25">
      <c r="A883">
        <v>90000</v>
      </c>
      <c r="B883">
        <v>1</v>
      </c>
      <c r="C883">
        <v>34.200000762939453</v>
      </c>
      <c r="D883">
        <v>0</v>
      </c>
      <c r="E883">
        <v>100000</v>
      </c>
      <c r="F883">
        <v>2686</v>
      </c>
      <c r="G883">
        <v>1</v>
      </c>
      <c r="H883">
        <v>0</v>
      </c>
      <c r="I883">
        <v>0</v>
      </c>
      <c r="J883">
        <v>31.39999961853027</v>
      </c>
      <c r="K883">
        <v>1</v>
      </c>
      <c r="L883">
        <f>Résultats!G$32+Résultats!G$33*Données!C883+Résultats!G$34*Données!D883+Résultats!G$35*Données!E883+Résultats!G$36*Données!F883+Résultats!G$37*Données!G883+Résultats!G$38*Données!H883+Résultats!G$39*Données!I883</f>
        <v>94762.976050808458</v>
      </c>
      <c r="M883">
        <f t="shared" si="52"/>
        <v>-4762.9760508084582</v>
      </c>
      <c r="Q883">
        <v>90000</v>
      </c>
      <c r="R883">
        <v>1</v>
      </c>
      <c r="S883">
        <v>29</v>
      </c>
      <c r="T883">
        <v>0</v>
      </c>
      <c r="U883">
        <f t="shared" si="53"/>
        <v>12.384218830913648</v>
      </c>
      <c r="V883">
        <f t="shared" si="54"/>
        <v>8.2687318321177372</v>
      </c>
      <c r="W883">
        <v>1</v>
      </c>
      <c r="X883">
        <v>0</v>
      </c>
      <c r="Y883">
        <v>0</v>
      </c>
      <c r="Z883">
        <f>'Résultat (Ln)'!F$30+'Résultat (Ln)'!F$31*Données!S883+'Résultat (Ln)'!F$32*Données!T883+'Résultat (Ln)'!F$33*Données!U883+'Résultat (Ln)'!F$34*Données!V883+'Résultat (Ln)'!F$35*Données!W883+'Résultat (Ln)'!F$36*Données!X883+'Résultat (Ln)'!F$37*Données!Y883</f>
        <v>169559.68524346282</v>
      </c>
      <c r="AA883">
        <f t="shared" si="55"/>
        <v>-79559.685243462824</v>
      </c>
    </row>
    <row r="884" spans="1:27" x14ac:dyDescent="0.25">
      <c r="A884">
        <v>215000</v>
      </c>
      <c r="B884">
        <v>1</v>
      </c>
      <c r="C884">
        <v>17.60000038146973</v>
      </c>
      <c r="D884">
        <v>0</v>
      </c>
      <c r="E884">
        <v>277337.00561523438</v>
      </c>
      <c r="F884">
        <v>16976</v>
      </c>
      <c r="G884">
        <v>1</v>
      </c>
      <c r="H884">
        <v>0</v>
      </c>
      <c r="I884">
        <v>0</v>
      </c>
      <c r="J884">
        <v>12</v>
      </c>
      <c r="K884">
        <v>1</v>
      </c>
      <c r="L884">
        <f>Résultats!G$32+Résultats!G$33*Données!C884+Résultats!G$34*Données!D884+Résultats!G$35*Données!E884+Résultats!G$36*Données!F884+Résultats!G$37*Données!G884+Résultats!G$38*Données!H884+Résultats!G$39*Données!I884</f>
        <v>186194.12320457026</v>
      </c>
      <c r="M884">
        <f t="shared" si="52"/>
        <v>28805.876795429736</v>
      </c>
      <c r="Q884">
        <v>90000</v>
      </c>
      <c r="R884">
        <v>1</v>
      </c>
      <c r="S884">
        <v>34.200000762939453</v>
      </c>
      <c r="T884">
        <v>0</v>
      </c>
      <c r="U884">
        <f t="shared" si="53"/>
        <v>11.512925464970229</v>
      </c>
      <c r="V884">
        <f t="shared" si="54"/>
        <v>7.8958083770831831</v>
      </c>
      <c r="W884">
        <v>1</v>
      </c>
      <c r="X884">
        <v>0</v>
      </c>
      <c r="Y884">
        <v>0</v>
      </c>
      <c r="Z884">
        <f>'Résultat (Ln)'!F$30+'Résultat (Ln)'!F$31*Données!S884+'Résultat (Ln)'!F$32*Données!T884+'Résultat (Ln)'!F$33*Données!U884+'Résultat (Ln)'!F$34*Données!V884+'Résultat (Ln)'!F$35*Données!W884+'Résultat (Ln)'!F$36*Données!X884+'Résultat (Ln)'!F$37*Données!Y884</f>
        <v>72056.579383485412</v>
      </c>
      <c r="AA884">
        <f t="shared" si="55"/>
        <v>17943.420616514588</v>
      </c>
    </row>
    <row r="885" spans="1:27" x14ac:dyDescent="0.25">
      <c r="A885">
        <v>90000</v>
      </c>
      <c r="B885">
        <v>1</v>
      </c>
      <c r="C885">
        <v>37</v>
      </c>
      <c r="D885">
        <v>0</v>
      </c>
      <c r="E885">
        <v>119900.00152587891</v>
      </c>
      <c r="F885">
        <v>3124</v>
      </c>
      <c r="G885">
        <v>1</v>
      </c>
      <c r="H885">
        <v>0</v>
      </c>
      <c r="I885">
        <v>0</v>
      </c>
      <c r="J885">
        <v>32.200000762939453</v>
      </c>
      <c r="K885">
        <v>0</v>
      </c>
      <c r="L885">
        <f>Résultats!G$32+Résultats!G$33*Données!C885+Résultats!G$34*Données!D885+Résultats!G$35*Données!E885+Résultats!G$36*Données!F885+Résultats!G$37*Données!G885+Résultats!G$38*Données!H885+Résultats!G$39*Données!I885</f>
        <v>108120.3738612725</v>
      </c>
      <c r="M885">
        <f t="shared" si="52"/>
        <v>-18120.373861272499</v>
      </c>
      <c r="Q885">
        <v>215000</v>
      </c>
      <c r="R885">
        <v>1</v>
      </c>
      <c r="S885">
        <v>17.60000038146973</v>
      </c>
      <c r="T885">
        <v>0</v>
      </c>
      <c r="U885">
        <f t="shared" si="53"/>
        <v>12.532988672448655</v>
      </c>
      <c r="V885">
        <f t="shared" si="54"/>
        <v>9.7395558608537645</v>
      </c>
      <c r="W885">
        <v>1</v>
      </c>
      <c r="X885">
        <v>0</v>
      </c>
      <c r="Y885">
        <v>0</v>
      </c>
      <c r="Z885">
        <f>'Résultat (Ln)'!F$30+'Résultat (Ln)'!F$31*Données!S885+'Résultat (Ln)'!F$32*Données!T885+'Résultat (Ln)'!F$33*Données!U885+'Résultat (Ln)'!F$34*Données!V885+'Résultat (Ln)'!F$35*Données!W885+'Résultat (Ln)'!F$36*Données!X885+'Résultat (Ln)'!F$37*Données!Y885</f>
        <v>212826.31215898026</v>
      </c>
      <c r="AA885">
        <f t="shared" si="55"/>
        <v>2173.6878410197387</v>
      </c>
    </row>
    <row r="886" spans="1:27" x14ac:dyDescent="0.25">
      <c r="A886">
        <v>115000</v>
      </c>
      <c r="B886">
        <v>1</v>
      </c>
      <c r="C886">
        <v>34.099998474121087</v>
      </c>
      <c r="D886">
        <v>0</v>
      </c>
      <c r="E886">
        <v>127800.0030517578</v>
      </c>
      <c r="F886">
        <v>2750</v>
      </c>
      <c r="G886">
        <v>1</v>
      </c>
      <c r="H886">
        <v>0</v>
      </c>
      <c r="I886">
        <v>0</v>
      </c>
      <c r="J886">
        <v>26.60000038146973</v>
      </c>
      <c r="K886">
        <v>1</v>
      </c>
      <c r="L886">
        <f>Résultats!G$32+Résultats!G$33*Données!C886+Résultats!G$34*Données!D886+Résultats!G$35*Données!E886+Résultats!G$36*Données!F886+Résultats!G$37*Données!G886+Résultats!G$38*Données!H886+Résultats!G$39*Données!I886</f>
        <v>107753.42706933431</v>
      </c>
      <c r="M886">
        <f t="shared" si="52"/>
        <v>7246.5729306656867</v>
      </c>
      <c r="Q886">
        <v>90000</v>
      </c>
      <c r="R886">
        <v>1</v>
      </c>
      <c r="S886">
        <v>37</v>
      </c>
      <c r="T886">
        <v>0</v>
      </c>
      <c r="U886">
        <f t="shared" si="53"/>
        <v>11.694413353741869</v>
      </c>
      <c r="V886">
        <f t="shared" si="54"/>
        <v>8.046869510959576</v>
      </c>
      <c r="W886">
        <v>1</v>
      </c>
      <c r="X886">
        <v>0</v>
      </c>
      <c r="Y886">
        <v>0</v>
      </c>
      <c r="Z886">
        <f>'Résultat (Ln)'!F$30+'Résultat (Ln)'!F$31*Données!S886+'Résultat (Ln)'!F$32*Données!T886+'Résultat (Ln)'!F$33*Données!U886+'Résultat (Ln)'!F$34*Données!V886+'Résultat (Ln)'!F$35*Données!W886+'Résultat (Ln)'!F$36*Données!X886+'Résultat (Ln)'!F$37*Données!Y886</f>
        <v>99169.619468520992</v>
      </c>
      <c r="AA886">
        <f t="shared" si="55"/>
        <v>-9169.6194685209921</v>
      </c>
    </row>
    <row r="887" spans="1:27" x14ac:dyDescent="0.25">
      <c r="A887">
        <v>186000</v>
      </c>
      <c r="B887">
        <v>1</v>
      </c>
      <c r="C887">
        <v>37</v>
      </c>
      <c r="D887">
        <v>0</v>
      </c>
      <c r="E887">
        <v>233000</v>
      </c>
      <c r="F887">
        <v>3000</v>
      </c>
      <c r="G887">
        <v>1</v>
      </c>
      <c r="H887">
        <v>0</v>
      </c>
      <c r="I887">
        <v>0</v>
      </c>
      <c r="J887">
        <v>32</v>
      </c>
      <c r="K887">
        <v>1</v>
      </c>
      <c r="L887">
        <f>Résultats!G$32+Résultats!G$33*Données!C887+Résultats!G$34*Données!D887+Résultats!G$35*Données!E887+Résultats!G$36*Données!F887+Résultats!G$37*Données!G887+Résultats!G$38*Données!H887+Résultats!G$39*Données!I887</f>
        <v>160692.50220227794</v>
      </c>
      <c r="M887">
        <f t="shared" si="52"/>
        <v>25307.497797722055</v>
      </c>
      <c r="Q887">
        <v>115000</v>
      </c>
      <c r="R887">
        <v>1</v>
      </c>
      <c r="S887">
        <v>34.099998474121087</v>
      </c>
      <c r="T887">
        <v>0</v>
      </c>
      <c r="U887">
        <f t="shared" si="53"/>
        <v>11.758221844804741</v>
      </c>
      <c r="V887">
        <f t="shared" si="54"/>
        <v>7.9193561906606167</v>
      </c>
      <c r="W887">
        <v>1</v>
      </c>
      <c r="X887">
        <v>0</v>
      </c>
      <c r="Y887">
        <v>0</v>
      </c>
      <c r="Z887">
        <f>'Résultat (Ln)'!F$30+'Résultat (Ln)'!F$31*Données!S887+'Résultat (Ln)'!F$32*Données!T887+'Résultat (Ln)'!F$33*Données!U887+'Résultat (Ln)'!F$34*Données!V887+'Résultat (Ln)'!F$35*Données!W887+'Résultat (Ln)'!F$36*Données!X887+'Résultat (Ln)'!F$37*Données!Y887</f>
        <v>98889.473961306488</v>
      </c>
      <c r="AA887">
        <f t="shared" si="55"/>
        <v>16110.526038693512</v>
      </c>
    </row>
    <row r="888" spans="1:27" x14ac:dyDescent="0.25">
      <c r="A888">
        <v>59000</v>
      </c>
      <c r="B888">
        <v>1</v>
      </c>
      <c r="C888">
        <v>28.29999923706055</v>
      </c>
      <c r="D888">
        <v>0</v>
      </c>
      <c r="E888">
        <v>99000</v>
      </c>
      <c r="F888">
        <v>2763</v>
      </c>
      <c r="G888">
        <v>1</v>
      </c>
      <c r="H888">
        <v>0</v>
      </c>
      <c r="I888">
        <v>0</v>
      </c>
      <c r="J888">
        <v>28.29999923706055</v>
      </c>
      <c r="K888">
        <v>0</v>
      </c>
      <c r="L888">
        <f>Résultats!G$32+Résultats!G$33*Données!C888+Résultats!G$34*Données!D888+Résultats!G$35*Données!E888+Résultats!G$36*Données!F888+Résultats!G$37*Données!G888+Résultats!G$38*Données!H888+Résultats!G$39*Données!I888</f>
        <v>87668.075419772504</v>
      </c>
      <c r="M888">
        <f t="shared" si="52"/>
        <v>-28668.075419772504</v>
      </c>
      <c r="Q888">
        <v>186000</v>
      </c>
      <c r="R888">
        <v>1</v>
      </c>
      <c r="S888">
        <v>37</v>
      </c>
      <c r="T888">
        <v>0</v>
      </c>
      <c r="U888">
        <f t="shared" si="53"/>
        <v>12.358793732547838</v>
      </c>
      <c r="V888">
        <f t="shared" si="54"/>
        <v>8.0063675676502459</v>
      </c>
      <c r="W888">
        <v>1</v>
      </c>
      <c r="X888">
        <v>0</v>
      </c>
      <c r="Y888">
        <v>0</v>
      </c>
      <c r="Z888">
        <f>'Résultat (Ln)'!F$30+'Résultat (Ln)'!F$31*Données!S888+'Résultat (Ln)'!F$32*Données!T888+'Résultat (Ln)'!F$33*Données!U888+'Résultat (Ln)'!F$34*Données!V888+'Résultat (Ln)'!F$35*Données!W888+'Résultat (Ln)'!F$36*Données!X888+'Résultat (Ln)'!F$37*Données!Y888</f>
        <v>169252.34135852809</v>
      </c>
      <c r="AA888">
        <f t="shared" si="55"/>
        <v>16747.658641471906</v>
      </c>
    </row>
    <row r="889" spans="1:27" x14ac:dyDescent="0.25">
      <c r="A889">
        <v>207000</v>
      </c>
      <c r="B889">
        <v>1</v>
      </c>
      <c r="C889">
        <v>39</v>
      </c>
      <c r="D889">
        <v>0</v>
      </c>
      <c r="E889">
        <v>230000</v>
      </c>
      <c r="F889">
        <v>3993</v>
      </c>
      <c r="G889">
        <v>1</v>
      </c>
      <c r="H889">
        <v>0</v>
      </c>
      <c r="I889">
        <v>0</v>
      </c>
      <c r="J889">
        <v>30</v>
      </c>
      <c r="K889">
        <v>1</v>
      </c>
      <c r="L889">
        <f>Résultats!G$32+Résultats!G$33*Données!C889+Résultats!G$34*Données!D889+Résultats!G$35*Données!E889+Résultats!G$36*Données!F889+Résultats!G$37*Données!G889+Résultats!G$38*Données!H889+Résultats!G$39*Données!I889</f>
        <v>163513.20600869108</v>
      </c>
      <c r="M889">
        <f t="shared" si="52"/>
        <v>43486.793991308921</v>
      </c>
      <c r="Q889">
        <v>59000</v>
      </c>
      <c r="R889">
        <v>1</v>
      </c>
      <c r="S889">
        <v>28.29999923706055</v>
      </c>
      <c r="T889">
        <v>0</v>
      </c>
      <c r="U889">
        <f t="shared" si="53"/>
        <v>11.502875129116727</v>
      </c>
      <c r="V889">
        <f t="shared" si="54"/>
        <v>7.9240723249234168</v>
      </c>
      <c r="W889">
        <v>1</v>
      </c>
      <c r="X889">
        <v>0</v>
      </c>
      <c r="Y889">
        <v>0</v>
      </c>
      <c r="Z889">
        <f>'Résultat (Ln)'!F$30+'Résultat (Ln)'!F$31*Données!S889+'Résultat (Ln)'!F$32*Données!T889+'Résultat (Ln)'!F$33*Données!U889+'Résultat (Ln)'!F$34*Données!V889+'Résultat (Ln)'!F$35*Données!W889+'Résultat (Ln)'!F$36*Données!X889+'Résultat (Ln)'!F$37*Données!Y889</f>
        <v>64561.869181771988</v>
      </c>
      <c r="AA889">
        <f t="shared" si="55"/>
        <v>-5561.8691817719882</v>
      </c>
    </row>
    <row r="890" spans="1:27" x14ac:dyDescent="0.25">
      <c r="A890">
        <v>80000</v>
      </c>
      <c r="B890">
        <v>1</v>
      </c>
      <c r="C890">
        <v>25.79999923706055</v>
      </c>
      <c r="D890">
        <v>0</v>
      </c>
      <c r="E890">
        <v>100000</v>
      </c>
      <c r="F890">
        <v>3103</v>
      </c>
      <c r="G890">
        <v>1</v>
      </c>
      <c r="H890">
        <v>0</v>
      </c>
      <c r="I890">
        <v>0</v>
      </c>
      <c r="J890">
        <v>21.45000076293945</v>
      </c>
      <c r="K890">
        <v>1</v>
      </c>
      <c r="L890">
        <f>Résultats!G$32+Résultats!G$33*Données!C890+Résultats!G$34*Données!D890+Résultats!G$35*Données!E890+Résultats!G$36*Données!F890+Résultats!G$37*Données!G890+Résultats!G$38*Données!H890+Résultats!G$39*Données!I890</f>
        <v>85922.20044500778</v>
      </c>
      <c r="M890">
        <f t="shared" si="52"/>
        <v>-5922.2004450077802</v>
      </c>
      <c r="Q890">
        <v>207000</v>
      </c>
      <c r="R890">
        <v>1</v>
      </c>
      <c r="S890">
        <v>39</v>
      </c>
      <c r="T890">
        <v>0</v>
      </c>
      <c r="U890">
        <f t="shared" si="53"/>
        <v>12.345834587905333</v>
      </c>
      <c r="V890">
        <f t="shared" si="54"/>
        <v>8.2922981070632211</v>
      </c>
      <c r="W890">
        <v>1</v>
      </c>
      <c r="X890">
        <v>0</v>
      </c>
      <c r="Y890">
        <v>0</v>
      </c>
      <c r="Z890">
        <f>'Résultat (Ln)'!F$30+'Résultat (Ln)'!F$31*Données!S890+'Résultat (Ln)'!F$32*Données!T890+'Résultat (Ln)'!F$33*Données!U890+'Résultat (Ln)'!F$34*Données!V890+'Résultat (Ln)'!F$35*Données!W890+'Résultat (Ln)'!F$36*Données!X890+'Résultat (Ln)'!F$37*Données!Y890</f>
        <v>178326.40913483209</v>
      </c>
      <c r="AA890">
        <f t="shared" si="55"/>
        <v>28673.590865167906</v>
      </c>
    </row>
    <row r="891" spans="1:27" x14ac:dyDescent="0.25">
      <c r="A891">
        <v>330000</v>
      </c>
      <c r="B891">
        <v>1</v>
      </c>
      <c r="C891">
        <v>24</v>
      </c>
      <c r="D891">
        <v>0</v>
      </c>
      <c r="E891">
        <v>180000</v>
      </c>
      <c r="F891">
        <v>5517</v>
      </c>
      <c r="G891">
        <v>1</v>
      </c>
      <c r="H891">
        <v>0</v>
      </c>
      <c r="I891">
        <v>1</v>
      </c>
      <c r="J891">
        <v>20</v>
      </c>
      <c r="K891">
        <v>1</v>
      </c>
      <c r="L891">
        <f>Résultats!G$32+Résultats!G$33*Données!C891+Résultats!G$34*Données!D891+Résultats!G$35*Données!E891+Résultats!G$36*Données!F891+Résultats!G$37*Données!G891+Résultats!G$38*Données!H891+Résultats!G$39*Données!I891</f>
        <v>135814.13169067475</v>
      </c>
      <c r="M891">
        <f t="shared" si="52"/>
        <v>194185.86830932525</v>
      </c>
      <c r="Q891">
        <v>80000</v>
      </c>
      <c r="R891">
        <v>1</v>
      </c>
      <c r="S891">
        <v>25.79999923706055</v>
      </c>
      <c r="T891">
        <v>0</v>
      </c>
      <c r="U891">
        <f t="shared" si="53"/>
        <v>11.512925464970229</v>
      </c>
      <c r="V891">
        <f t="shared" si="54"/>
        <v>8.0401246644483795</v>
      </c>
      <c r="W891">
        <v>1</v>
      </c>
      <c r="X891">
        <v>0</v>
      </c>
      <c r="Y891">
        <v>0</v>
      </c>
      <c r="Z891">
        <f>'Résultat (Ln)'!F$30+'Résultat (Ln)'!F$31*Données!S891+'Résultat (Ln)'!F$32*Données!T891+'Résultat (Ln)'!F$33*Données!U891+'Résultat (Ln)'!F$34*Données!V891+'Résultat (Ln)'!F$35*Données!W891+'Résultat (Ln)'!F$36*Données!X891+'Résultat (Ln)'!F$37*Données!Y891</f>
        <v>65838.89808011493</v>
      </c>
      <c r="AA891">
        <f t="shared" si="55"/>
        <v>14161.10191988507</v>
      </c>
    </row>
    <row r="892" spans="1:27" x14ac:dyDescent="0.25">
      <c r="A892">
        <v>84000</v>
      </c>
      <c r="B892">
        <v>1</v>
      </c>
      <c r="C892">
        <v>30.29999923706055</v>
      </c>
      <c r="D892">
        <v>0</v>
      </c>
      <c r="E892">
        <v>88000</v>
      </c>
      <c r="F892">
        <v>2964</v>
      </c>
      <c r="G892">
        <v>0</v>
      </c>
      <c r="H892">
        <v>0</v>
      </c>
      <c r="I892">
        <v>0</v>
      </c>
      <c r="J892">
        <v>25.770000457763668</v>
      </c>
      <c r="K892">
        <v>1</v>
      </c>
      <c r="L892">
        <f>Résultats!G$32+Résultats!G$33*Données!C892+Résultats!G$34*Données!D892+Résultats!G$35*Données!E892+Résultats!G$36*Données!F892+Résultats!G$37*Données!G892+Résultats!G$38*Données!H892+Résultats!G$39*Données!I892</f>
        <v>78201.807002077432</v>
      </c>
      <c r="M892">
        <f t="shared" si="52"/>
        <v>5798.1929979225679</v>
      </c>
      <c r="Q892">
        <v>330000</v>
      </c>
      <c r="R892">
        <v>1</v>
      </c>
      <c r="S892">
        <v>24</v>
      </c>
      <c r="T892">
        <v>0</v>
      </c>
      <c r="U892">
        <f t="shared" si="53"/>
        <v>12.100712129872347</v>
      </c>
      <c r="V892">
        <f t="shared" si="54"/>
        <v>8.6155895132724307</v>
      </c>
      <c r="W892">
        <v>1</v>
      </c>
      <c r="X892">
        <v>0</v>
      </c>
      <c r="Y892">
        <v>1</v>
      </c>
      <c r="Z892">
        <f>'Résultat (Ln)'!F$30+'Résultat (Ln)'!F$31*Données!S892+'Résultat (Ln)'!F$32*Données!T892+'Résultat (Ln)'!F$33*Données!U892+'Résultat (Ln)'!F$34*Données!V892+'Résultat (Ln)'!F$35*Données!W892+'Résultat (Ln)'!F$36*Données!X892+'Résultat (Ln)'!F$37*Données!Y892</f>
        <v>156873.64860874612</v>
      </c>
      <c r="AA892">
        <f t="shared" si="55"/>
        <v>173126.35139125388</v>
      </c>
    </row>
    <row r="893" spans="1:27" x14ac:dyDescent="0.25">
      <c r="A893">
        <v>436000</v>
      </c>
      <c r="B893">
        <v>1</v>
      </c>
      <c r="C893">
        <v>33</v>
      </c>
      <c r="D893">
        <v>0</v>
      </c>
      <c r="E893">
        <v>545000</v>
      </c>
      <c r="F893">
        <v>14583</v>
      </c>
      <c r="G893">
        <v>1</v>
      </c>
      <c r="H893">
        <v>0</v>
      </c>
      <c r="I893">
        <v>0</v>
      </c>
      <c r="J893">
        <v>32</v>
      </c>
      <c r="K893">
        <v>1</v>
      </c>
      <c r="L893">
        <f>Résultats!G$32+Résultats!G$33*Données!C893+Résultats!G$34*Données!D893+Résultats!G$35*Données!E893+Résultats!G$36*Données!F893+Résultats!G$37*Données!G893+Résultats!G$38*Données!H893+Résultats!G$39*Données!I893</f>
        <v>324232.63156921405</v>
      </c>
      <c r="M893">
        <f t="shared" si="52"/>
        <v>111767.36843078595</v>
      </c>
      <c r="Q893">
        <v>84000</v>
      </c>
      <c r="R893">
        <v>1</v>
      </c>
      <c r="S893">
        <v>30.29999923706055</v>
      </c>
      <c r="T893">
        <v>0</v>
      </c>
      <c r="U893">
        <f t="shared" si="53"/>
        <v>11.385092093460344</v>
      </c>
      <c r="V893">
        <f t="shared" si="54"/>
        <v>7.9942949864159774</v>
      </c>
      <c r="W893">
        <v>0</v>
      </c>
      <c r="X893">
        <v>0</v>
      </c>
      <c r="Y893">
        <v>0</v>
      </c>
      <c r="Z893">
        <f>'Résultat (Ln)'!F$30+'Résultat (Ln)'!F$31*Données!S893+'Résultat (Ln)'!F$32*Données!T893+'Résultat (Ln)'!F$33*Données!U893+'Résultat (Ln)'!F$34*Données!V893+'Résultat (Ln)'!F$35*Données!W893+'Résultat (Ln)'!F$36*Données!X893+'Résultat (Ln)'!F$37*Données!Y893</f>
        <v>51835.551258941763</v>
      </c>
      <c r="AA893">
        <f t="shared" si="55"/>
        <v>32164.448741058237</v>
      </c>
    </row>
    <row r="894" spans="1:27" x14ac:dyDescent="0.25">
      <c r="A894">
        <v>124000</v>
      </c>
      <c r="B894">
        <v>1</v>
      </c>
      <c r="C894">
        <v>26</v>
      </c>
      <c r="D894">
        <v>0</v>
      </c>
      <c r="E894">
        <v>124599.99847412109</v>
      </c>
      <c r="F894">
        <v>4100</v>
      </c>
      <c r="G894">
        <v>1</v>
      </c>
      <c r="H894">
        <v>0</v>
      </c>
      <c r="I894">
        <v>1</v>
      </c>
      <c r="J894">
        <v>25</v>
      </c>
      <c r="K894">
        <v>0</v>
      </c>
      <c r="L894">
        <f>Résultats!G$32+Résultats!G$33*Données!C894+Résultats!G$34*Données!D894+Résultats!G$35*Données!E894+Résultats!G$36*Données!F894+Résultats!G$37*Données!G894+Résultats!G$38*Données!H894+Résultats!G$39*Données!I894</f>
        <v>109496.41595465694</v>
      </c>
      <c r="M894">
        <f t="shared" si="52"/>
        <v>14503.584045343057</v>
      </c>
      <c r="Q894">
        <v>436000</v>
      </c>
      <c r="R894">
        <v>1</v>
      </c>
      <c r="S894">
        <v>33</v>
      </c>
      <c r="T894">
        <v>0</v>
      </c>
      <c r="U894">
        <f t="shared" si="53"/>
        <v>13.208541073645382</v>
      </c>
      <c r="V894">
        <f t="shared" si="54"/>
        <v>9.5876117457135646</v>
      </c>
      <c r="W894">
        <v>1</v>
      </c>
      <c r="X894">
        <v>0</v>
      </c>
      <c r="Y894">
        <v>0</v>
      </c>
      <c r="Z894">
        <f>'Résultat (Ln)'!F$30+'Résultat (Ln)'!F$31*Données!S894+'Résultat (Ln)'!F$32*Données!T894+'Résultat (Ln)'!F$33*Données!U894+'Résultat (Ln)'!F$34*Données!V894+'Résultat (Ln)'!F$35*Données!W894+'Résultat (Ln)'!F$36*Données!X894+'Résultat (Ln)'!F$37*Données!Y894</f>
        <v>299800.57171128283</v>
      </c>
      <c r="AA894">
        <f t="shared" si="55"/>
        <v>136199.42828871717</v>
      </c>
    </row>
    <row r="895" spans="1:27" x14ac:dyDescent="0.25">
      <c r="A895">
        <v>116000</v>
      </c>
      <c r="B895">
        <v>1</v>
      </c>
      <c r="C895">
        <v>37</v>
      </c>
      <c r="D895">
        <v>0</v>
      </c>
      <c r="E895">
        <v>145000</v>
      </c>
      <c r="F895">
        <v>5583</v>
      </c>
      <c r="G895">
        <v>0</v>
      </c>
      <c r="H895">
        <v>0</v>
      </c>
      <c r="I895">
        <v>0</v>
      </c>
      <c r="J895">
        <v>26</v>
      </c>
      <c r="K895">
        <v>1</v>
      </c>
      <c r="L895">
        <f>Résultats!G$32+Résultats!G$33*Données!C895+Résultats!G$34*Données!D895+Résultats!G$35*Données!E895+Résultats!G$36*Données!F895+Résultats!G$37*Données!G895+Résultats!G$38*Données!H895+Résultats!G$39*Données!I895</f>
        <v>117589.30084378601</v>
      </c>
      <c r="M895">
        <f t="shared" si="52"/>
        <v>-1589.3008437860117</v>
      </c>
      <c r="Q895">
        <v>124000</v>
      </c>
      <c r="R895">
        <v>1</v>
      </c>
      <c r="S895">
        <v>26</v>
      </c>
      <c r="T895">
        <v>0</v>
      </c>
      <c r="U895">
        <f t="shared" si="53"/>
        <v>11.73286387308927</v>
      </c>
      <c r="V895">
        <f t="shared" si="54"/>
        <v>8.3187422526923989</v>
      </c>
      <c r="W895">
        <v>1</v>
      </c>
      <c r="X895">
        <v>0</v>
      </c>
      <c r="Y895">
        <v>1</v>
      </c>
      <c r="Z895">
        <f>'Résultat (Ln)'!F$30+'Résultat (Ln)'!F$31*Données!S895+'Résultat (Ln)'!F$32*Données!T895+'Résultat (Ln)'!F$33*Données!U895+'Résultat (Ln)'!F$34*Données!V895+'Résultat (Ln)'!F$35*Données!W895+'Résultat (Ln)'!F$36*Données!X895+'Résultat (Ln)'!F$37*Données!Y895</f>
        <v>111560.71152890705</v>
      </c>
      <c r="AA895">
        <f t="shared" si="55"/>
        <v>12439.28847109295</v>
      </c>
    </row>
    <row r="896" spans="1:27" x14ac:dyDescent="0.25">
      <c r="A896">
        <v>158000</v>
      </c>
      <c r="B896">
        <v>1</v>
      </c>
      <c r="C896">
        <v>32</v>
      </c>
      <c r="D896">
        <v>1</v>
      </c>
      <c r="E896">
        <v>175000</v>
      </c>
      <c r="F896">
        <v>4053</v>
      </c>
      <c r="G896">
        <v>0</v>
      </c>
      <c r="H896">
        <v>0</v>
      </c>
      <c r="I896">
        <v>0</v>
      </c>
      <c r="J896">
        <v>24</v>
      </c>
      <c r="K896">
        <v>1</v>
      </c>
      <c r="L896">
        <f>Résultats!G$32+Résultats!G$33*Données!C896+Résultats!G$34*Données!D896+Résultats!G$35*Données!E896+Résultats!G$36*Données!F896+Résultats!G$37*Données!G896+Résultats!G$38*Données!H896+Résultats!G$39*Données!I896</f>
        <v>127737.98105406009</v>
      </c>
      <c r="M896">
        <f t="shared" si="52"/>
        <v>30262.018945939912</v>
      </c>
      <c r="Q896">
        <v>116000</v>
      </c>
      <c r="R896">
        <v>1</v>
      </c>
      <c r="S896">
        <v>37</v>
      </c>
      <c r="T896">
        <v>0</v>
      </c>
      <c r="U896">
        <f t="shared" si="53"/>
        <v>11.884489021402711</v>
      </c>
      <c r="V896">
        <f t="shared" si="54"/>
        <v>8.6274815453103599</v>
      </c>
      <c r="W896">
        <v>0</v>
      </c>
      <c r="X896">
        <v>0</v>
      </c>
      <c r="Y896">
        <v>0</v>
      </c>
      <c r="Z896">
        <f>'Résultat (Ln)'!F$30+'Résultat (Ln)'!F$31*Données!S896+'Résultat (Ln)'!F$32*Données!T896+'Résultat (Ln)'!F$33*Données!U896+'Résultat (Ln)'!F$34*Données!V896+'Résultat (Ln)'!F$35*Données!W896+'Résultat (Ln)'!F$36*Données!X896+'Résultat (Ln)'!F$37*Données!Y896</f>
        <v>131314.58231704135</v>
      </c>
      <c r="AA896">
        <f t="shared" si="55"/>
        <v>-15314.58231704135</v>
      </c>
    </row>
    <row r="897" spans="1:27" x14ac:dyDescent="0.25">
      <c r="A897">
        <v>65000</v>
      </c>
      <c r="B897">
        <v>1</v>
      </c>
      <c r="C897">
        <v>29</v>
      </c>
      <c r="D897">
        <v>0</v>
      </c>
      <c r="E897">
        <v>87000</v>
      </c>
      <c r="F897">
        <v>2708</v>
      </c>
      <c r="G897">
        <v>0</v>
      </c>
      <c r="H897">
        <v>0</v>
      </c>
      <c r="I897">
        <v>0</v>
      </c>
      <c r="J897">
        <v>28</v>
      </c>
      <c r="K897">
        <v>0</v>
      </c>
      <c r="L897">
        <f>Résultats!G$32+Résultats!G$33*Données!C897+Résultats!G$34*Données!D897+Résultats!G$35*Données!E897+Résultats!G$36*Données!F897+Résultats!G$37*Données!G897+Résultats!G$38*Données!H897+Résultats!G$39*Données!I897</f>
        <v>75745.509551284209</v>
      </c>
      <c r="M897">
        <f t="shared" si="52"/>
        <v>-10745.509551284209</v>
      </c>
      <c r="Q897">
        <v>158000</v>
      </c>
      <c r="R897">
        <v>1</v>
      </c>
      <c r="S897">
        <v>32</v>
      </c>
      <c r="T897">
        <v>1</v>
      </c>
      <c r="U897">
        <f t="shared" si="53"/>
        <v>12.072541252905651</v>
      </c>
      <c r="V897">
        <f t="shared" si="54"/>
        <v>8.3072126266283082</v>
      </c>
      <c r="W897">
        <v>0</v>
      </c>
      <c r="X897">
        <v>0</v>
      </c>
      <c r="Y897">
        <v>0</v>
      </c>
      <c r="Z897">
        <f>'Résultat (Ln)'!F$30+'Résultat (Ln)'!F$31*Données!S897+'Résultat (Ln)'!F$32*Données!T897+'Résultat (Ln)'!F$33*Données!U897+'Résultat (Ln)'!F$34*Données!V897+'Résultat (Ln)'!F$35*Données!W897+'Résultat (Ln)'!F$36*Données!X897+'Résultat (Ln)'!F$37*Données!Y897</f>
        <v>140729.35917280248</v>
      </c>
      <c r="AA897">
        <f t="shared" si="55"/>
        <v>17270.640827197523</v>
      </c>
    </row>
    <row r="898" spans="1:27" x14ac:dyDescent="0.25">
      <c r="A898">
        <v>68000</v>
      </c>
      <c r="B898">
        <v>1</v>
      </c>
      <c r="C898">
        <v>32</v>
      </c>
      <c r="D898">
        <v>0</v>
      </c>
      <c r="E898">
        <v>80000</v>
      </c>
      <c r="F898">
        <v>2167</v>
      </c>
      <c r="G898">
        <v>0</v>
      </c>
      <c r="H898">
        <v>0</v>
      </c>
      <c r="I898">
        <v>1</v>
      </c>
      <c r="J898">
        <v>32</v>
      </c>
      <c r="K898">
        <v>0</v>
      </c>
      <c r="L898">
        <f>Résultats!G$32+Résultats!G$33*Données!C898+Résultats!G$34*Données!D898+Résultats!G$35*Données!E898+Résultats!G$36*Données!F898+Résultats!G$37*Données!G898+Résultats!G$38*Données!H898+Résultats!G$39*Données!I898</f>
        <v>84799.961700023996</v>
      </c>
      <c r="M898">
        <f t="shared" si="52"/>
        <v>-16799.961700023996</v>
      </c>
      <c r="Q898">
        <v>65000</v>
      </c>
      <c r="R898">
        <v>1</v>
      </c>
      <c r="S898">
        <v>29</v>
      </c>
      <c r="T898">
        <v>0</v>
      </c>
      <c r="U898">
        <f t="shared" si="53"/>
        <v>11.373663397636721</v>
      </c>
      <c r="V898">
        <f t="shared" si="54"/>
        <v>7.9039656340321658</v>
      </c>
      <c r="W898">
        <v>0</v>
      </c>
      <c r="X898">
        <v>0</v>
      </c>
      <c r="Y898">
        <v>0</v>
      </c>
      <c r="Z898">
        <f>'Résultat (Ln)'!F$30+'Résultat (Ln)'!F$31*Données!S898+'Résultat (Ln)'!F$32*Données!T898+'Résultat (Ln)'!F$33*Données!U898+'Résultat (Ln)'!F$34*Données!V898+'Résultat (Ln)'!F$35*Données!W898+'Résultat (Ln)'!F$36*Données!X898+'Résultat (Ln)'!F$37*Données!Y898</f>
        <v>46488.435100879258</v>
      </c>
      <c r="AA898">
        <f t="shared" si="55"/>
        <v>18511.564899120742</v>
      </c>
    </row>
    <row r="899" spans="1:27" x14ac:dyDescent="0.25">
      <c r="A899">
        <v>170000</v>
      </c>
      <c r="B899">
        <v>1</v>
      </c>
      <c r="C899">
        <v>29</v>
      </c>
      <c r="D899">
        <v>0</v>
      </c>
      <c r="E899">
        <v>180000</v>
      </c>
      <c r="F899">
        <v>4699</v>
      </c>
      <c r="G899">
        <v>1</v>
      </c>
      <c r="H899">
        <v>0</v>
      </c>
      <c r="I899">
        <v>0</v>
      </c>
      <c r="J899">
        <v>24</v>
      </c>
      <c r="K899">
        <v>1</v>
      </c>
      <c r="L899">
        <f>Résultats!G$32+Résultats!G$33*Données!C899+Résultats!G$34*Données!D899+Résultats!G$35*Données!E899+Résultats!G$36*Données!F899+Résultats!G$37*Données!G899+Résultats!G$38*Données!H899+Résultats!G$39*Données!I899</f>
        <v>130046.91666410636</v>
      </c>
      <c r="M899">
        <f t="shared" ref="M899:M962" si="56">A899-L899</f>
        <v>39953.083335893636</v>
      </c>
      <c r="Q899">
        <v>68000</v>
      </c>
      <c r="R899">
        <v>1</v>
      </c>
      <c r="S899">
        <v>32</v>
      </c>
      <c r="T899">
        <v>0</v>
      </c>
      <c r="U899">
        <f t="shared" si="53"/>
        <v>11.289781913656018</v>
      </c>
      <c r="V899">
        <f t="shared" si="54"/>
        <v>7.6810990015363592</v>
      </c>
      <c r="W899">
        <v>0</v>
      </c>
      <c r="X899">
        <v>0</v>
      </c>
      <c r="Y899">
        <v>1</v>
      </c>
      <c r="Z899">
        <f>'Résultat (Ln)'!F$30+'Résultat (Ln)'!F$31*Données!S899+'Résultat (Ln)'!F$32*Données!T899+'Résultat (Ln)'!F$33*Données!U899+'Résultat (Ln)'!F$34*Données!V899+'Résultat (Ln)'!F$35*Données!W899+'Résultat (Ln)'!F$36*Données!X899+'Résultat (Ln)'!F$37*Données!Y899</f>
        <v>48999.294329463184</v>
      </c>
      <c r="AA899">
        <f t="shared" si="55"/>
        <v>19000.705670536816</v>
      </c>
    </row>
    <row r="900" spans="1:27" x14ac:dyDescent="0.25">
      <c r="A900">
        <v>112000</v>
      </c>
      <c r="B900">
        <v>1</v>
      </c>
      <c r="C900">
        <v>39.5</v>
      </c>
      <c r="D900">
        <v>0</v>
      </c>
      <c r="E900">
        <v>150000</v>
      </c>
      <c r="F900">
        <v>3927</v>
      </c>
      <c r="G900">
        <v>1</v>
      </c>
      <c r="H900">
        <v>0</v>
      </c>
      <c r="I900">
        <v>1</v>
      </c>
      <c r="J900">
        <v>24.139999389648441</v>
      </c>
      <c r="K900">
        <v>1</v>
      </c>
      <c r="L900">
        <f>Résultats!G$32+Résultats!G$33*Données!C900+Résultats!G$34*Données!D900+Résultats!G$35*Données!E900+Résultats!G$36*Données!F900+Résultats!G$37*Données!G900+Résultats!G$38*Données!H900+Résultats!G$39*Données!I900</f>
        <v>136528.84259526926</v>
      </c>
      <c r="M900">
        <f t="shared" si="56"/>
        <v>-24528.842595269263</v>
      </c>
      <c r="Q900">
        <v>170000</v>
      </c>
      <c r="R900">
        <v>1</v>
      </c>
      <c r="S900">
        <v>29</v>
      </c>
      <c r="T900">
        <v>0</v>
      </c>
      <c r="U900">
        <f t="shared" ref="U900:U963" si="57">LN(E899)</f>
        <v>12.100712129872347</v>
      </c>
      <c r="V900">
        <f t="shared" ref="V900:V963" si="58">LN(F899)</f>
        <v>8.4551049991028151</v>
      </c>
      <c r="W900">
        <v>1</v>
      </c>
      <c r="X900">
        <v>0</v>
      </c>
      <c r="Y900">
        <v>0</v>
      </c>
      <c r="Z900">
        <f>'Résultat (Ln)'!F$30+'Résultat (Ln)'!F$31*Données!S900+'Résultat (Ln)'!F$32*Données!T900+'Résultat (Ln)'!F$33*Données!U900+'Résultat (Ln)'!F$34*Données!V900+'Résultat (Ln)'!F$35*Données!W900+'Résultat (Ln)'!F$36*Données!X900+'Résultat (Ln)'!F$37*Données!Y900</f>
        <v>144396.00709058947</v>
      </c>
      <c r="AA900">
        <f t="shared" ref="AA900:AA963" si="59">Q900-Z900</f>
        <v>25603.992909410532</v>
      </c>
    </row>
    <row r="901" spans="1:27" x14ac:dyDescent="0.25">
      <c r="A901">
        <v>78000</v>
      </c>
      <c r="B901">
        <v>1</v>
      </c>
      <c r="C901">
        <v>40</v>
      </c>
      <c r="D901">
        <v>0</v>
      </c>
      <c r="E901">
        <v>70000</v>
      </c>
      <c r="F901">
        <v>2301</v>
      </c>
      <c r="G901">
        <v>1</v>
      </c>
      <c r="H901">
        <v>0</v>
      </c>
      <c r="I901">
        <v>0</v>
      </c>
      <c r="J901">
        <v>26</v>
      </c>
      <c r="K901">
        <v>1</v>
      </c>
      <c r="L901">
        <f>Résultats!G$32+Résultats!G$33*Données!C901+Résultats!G$34*Données!D901+Résultats!G$35*Données!E901+Résultats!G$36*Données!F901+Résultats!G$37*Données!G901+Résultats!G$38*Données!H901+Résultats!G$39*Données!I901</f>
        <v>86670.617177330772</v>
      </c>
      <c r="M901">
        <f t="shared" si="56"/>
        <v>-8670.6171773307724</v>
      </c>
      <c r="Q901">
        <v>112000</v>
      </c>
      <c r="R901">
        <v>1</v>
      </c>
      <c r="S901">
        <v>39.5</v>
      </c>
      <c r="T901">
        <v>0</v>
      </c>
      <c r="U901">
        <f t="shared" si="57"/>
        <v>11.918390573078392</v>
      </c>
      <c r="V901">
        <f t="shared" si="58"/>
        <v>8.2756310545780103</v>
      </c>
      <c r="W901">
        <v>1</v>
      </c>
      <c r="X901">
        <v>0</v>
      </c>
      <c r="Y901">
        <v>1</v>
      </c>
      <c r="Z901">
        <f>'Résultat (Ln)'!F$30+'Résultat (Ln)'!F$31*Données!S901+'Résultat (Ln)'!F$32*Données!T901+'Résultat (Ln)'!F$33*Données!U901+'Résultat (Ln)'!F$34*Données!V901+'Résultat (Ln)'!F$35*Données!W901+'Résultat (Ln)'!F$36*Données!X901+'Résultat (Ln)'!F$37*Données!Y901</f>
        <v>146736.81656927496</v>
      </c>
      <c r="AA901">
        <f t="shared" si="59"/>
        <v>-34736.816569274961</v>
      </c>
    </row>
    <row r="902" spans="1:27" x14ac:dyDescent="0.25">
      <c r="A902">
        <v>150000</v>
      </c>
      <c r="B902">
        <v>1</v>
      </c>
      <c r="C902">
        <v>38</v>
      </c>
      <c r="D902">
        <v>0</v>
      </c>
      <c r="E902">
        <v>208000</v>
      </c>
      <c r="F902">
        <v>5000</v>
      </c>
      <c r="G902">
        <v>1</v>
      </c>
      <c r="H902">
        <v>0</v>
      </c>
      <c r="I902">
        <v>0</v>
      </c>
      <c r="J902">
        <v>31</v>
      </c>
      <c r="K902">
        <v>1</v>
      </c>
      <c r="L902">
        <f>Résultats!G$32+Résultats!G$33*Données!C902+Résultats!G$34*Données!D902+Résultats!G$35*Données!E902+Résultats!G$36*Données!F902+Résultats!G$37*Données!G902+Résultats!G$38*Données!H902+Résultats!G$39*Données!I902</f>
        <v>154042.9155960918</v>
      </c>
      <c r="M902">
        <f t="shared" si="56"/>
        <v>-4042.9155960917997</v>
      </c>
      <c r="Q902">
        <v>78000</v>
      </c>
      <c r="R902">
        <v>1</v>
      </c>
      <c r="S902">
        <v>40</v>
      </c>
      <c r="T902">
        <v>0</v>
      </c>
      <c r="U902">
        <f t="shared" si="57"/>
        <v>11.156250521031495</v>
      </c>
      <c r="V902">
        <f t="shared" si="58"/>
        <v>7.741099090035366</v>
      </c>
      <c r="W902">
        <v>1</v>
      </c>
      <c r="X902">
        <v>0</v>
      </c>
      <c r="Y902">
        <v>0</v>
      </c>
      <c r="Z902">
        <f>'Résultat (Ln)'!F$30+'Résultat (Ln)'!F$31*Données!S902+'Résultat (Ln)'!F$32*Données!T902+'Résultat (Ln)'!F$33*Données!U902+'Résultat (Ln)'!F$34*Données!V902+'Résultat (Ln)'!F$35*Données!W902+'Résultat (Ln)'!F$36*Données!X902+'Résultat (Ln)'!F$37*Données!Y902</f>
        <v>36571.498820584813</v>
      </c>
      <c r="AA902">
        <f t="shared" si="59"/>
        <v>41428.501179415187</v>
      </c>
    </row>
    <row r="903" spans="1:27" x14ac:dyDescent="0.25">
      <c r="A903">
        <v>54000</v>
      </c>
      <c r="B903">
        <v>1</v>
      </c>
      <c r="C903">
        <v>25</v>
      </c>
      <c r="D903">
        <v>0</v>
      </c>
      <c r="E903">
        <v>62000</v>
      </c>
      <c r="F903">
        <v>1811</v>
      </c>
      <c r="G903">
        <v>0</v>
      </c>
      <c r="H903">
        <v>1</v>
      </c>
      <c r="I903">
        <v>0</v>
      </c>
      <c r="J903">
        <v>22</v>
      </c>
      <c r="K903">
        <v>0</v>
      </c>
      <c r="L903">
        <f>Résultats!G$32+Résultats!G$33*Données!C903+Résultats!G$34*Données!D903+Résultats!G$35*Données!E903+Résultats!G$36*Données!F903+Résultats!G$37*Données!G903+Résultats!G$38*Données!H903+Résultats!G$39*Données!I903</f>
        <v>56113.524571737442</v>
      </c>
      <c r="M903">
        <f t="shared" si="56"/>
        <v>-2113.5245717374419</v>
      </c>
      <c r="Q903">
        <v>150000</v>
      </c>
      <c r="R903">
        <v>1</v>
      </c>
      <c r="S903">
        <v>38</v>
      </c>
      <c r="T903">
        <v>0</v>
      </c>
      <c r="U903">
        <f t="shared" si="57"/>
        <v>12.245293358683455</v>
      </c>
      <c r="V903">
        <f t="shared" si="58"/>
        <v>8.5171931914162382</v>
      </c>
      <c r="W903">
        <v>1</v>
      </c>
      <c r="X903">
        <v>0</v>
      </c>
      <c r="Y903">
        <v>0</v>
      </c>
      <c r="Z903">
        <f>'Résultat (Ln)'!F$30+'Résultat (Ln)'!F$31*Données!S903+'Résultat (Ln)'!F$32*Données!T903+'Résultat (Ln)'!F$33*Données!U903+'Résultat (Ln)'!F$34*Données!V903+'Résultat (Ln)'!F$35*Données!W903+'Résultat (Ln)'!F$36*Données!X903+'Résultat (Ln)'!F$37*Données!Y903</f>
        <v>172634.15510960296</v>
      </c>
      <c r="AA903">
        <f t="shared" si="59"/>
        <v>-22634.155109602958</v>
      </c>
    </row>
    <row r="904" spans="1:27" x14ac:dyDescent="0.25">
      <c r="A904">
        <v>100000</v>
      </c>
      <c r="B904">
        <v>1</v>
      </c>
      <c r="C904">
        <v>26</v>
      </c>
      <c r="D904">
        <v>0</v>
      </c>
      <c r="E904">
        <v>180000</v>
      </c>
      <c r="F904">
        <v>4802</v>
      </c>
      <c r="G904">
        <v>0</v>
      </c>
      <c r="H904">
        <v>0</v>
      </c>
      <c r="I904">
        <v>0</v>
      </c>
      <c r="J904">
        <v>26</v>
      </c>
      <c r="K904">
        <v>0</v>
      </c>
      <c r="L904">
        <f>Résultats!G$32+Résultats!G$33*Données!C904+Résultats!G$34*Données!D904+Résultats!G$35*Données!E904+Résultats!G$36*Données!F904+Résultats!G$37*Données!G904+Résultats!G$38*Données!H904+Résultats!G$39*Données!I904</f>
        <v>119783.87914437737</v>
      </c>
      <c r="M904">
        <f t="shared" si="56"/>
        <v>-19783.879144377366</v>
      </c>
      <c r="Q904">
        <v>54000</v>
      </c>
      <c r="R904">
        <v>1</v>
      </c>
      <c r="S904">
        <v>25</v>
      </c>
      <c r="T904">
        <v>0</v>
      </c>
      <c r="U904">
        <f t="shared" si="57"/>
        <v>11.034889664027229</v>
      </c>
      <c r="V904">
        <f t="shared" si="58"/>
        <v>7.5016344578834131</v>
      </c>
      <c r="W904">
        <v>0</v>
      </c>
      <c r="X904">
        <v>1</v>
      </c>
      <c r="Y904">
        <v>0</v>
      </c>
      <c r="Z904">
        <f>'Résultat (Ln)'!F$30+'Résultat (Ln)'!F$31*Données!S904+'Résultat (Ln)'!F$32*Données!T904+'Résultat (Ln)'!F$33*Données!U904+'Résultat (Ln)'!F$34*Données!V904+'Résultat (Ln)'!F$35*Données!W904+'Résultat (Ln)'!F$36*Données!X904+'Résultat (Ln)'!F$37*Données!Y904</f>
        <v>-6176.00693790282</v>
      </c>
      <c r="AA904">
        <f t="shared" si="59"/>
        <v>60176.006937902821</v>
      </c>
    </row>
    <row r="905" spans="1:27" x14ac:dyDescent="0.25">
      <c r="A905">
        <v>274000</v>
      </c>
      <c r="B905">
        <v>1</v>
      </c>
      <c r="C905">
        <v>36</v>
      </c>
      <c r="D905">
        <v>0</v>
      </c>
      <c r="E905">
        <v>342500</v>
      </c>
      <c r="F905">
        <v>4167</v>
      </c>
      <c r="G905">
        <v>1</v>
      </c>
      <c r="H905">
        <v>1</v>
      </c>
      <c r="I905">
        <v>1</v>
      </c>
      <c r="J905">
        <v>33</v>
      </c>
      <c r="K905">
        <v>1</v>
      </c>
      <c r="L905">
        <f>Résultats!G$32+Résultats!G$33*Données!C905+Résultats!G$34*Données!D905+Résultats!G$35*Données!E905+Résultats!G$36*Données!F905+Résultats!G$37*Données!G905+Résultats!G$38*Données!H905+Résultats!G$39*Données!I905</f>
        <v>221236.7929764406</v>
      </c>
      <c r="M905">
        <f t="shared" si="56"/>
        <v>52763.2070235594</v>
      </c>
      <c r="Q905">
        <v>100000</v>
      </c>
      <c r="R905">
        <v>1</v>
      </c>
      <c r="S905">
        <v>26</v>
      </c>
      <c r="T905">
        <v>0</v>
      </c>
      <c r="U905">
        <f t="shared" si="57"/>
        <v>12.100712129872347</v>
      </c>
      <c r="V905">
        <f t="shared" si="58"/>
        <v>8.4767877767811992</v>
      </c>
      <c r="W905">
        <v>0</v>
      </c>
      <c r="X905">
        <v>0</v>
      </c>
      <c r="Y905">
        <v>0</v>
      </c>
      <c r="Z905">
        <f>'Résultat (Ln)'!F$30+'Résultat (Ln)'!F$31*Données!S905+'Résultat (Ln)'!F$32*Données!T905+'Résultat (Ln)'!F$33*Données!U905+'Résultat (Ln)'!F$34*Données!V905+'Résultat (Ln)'!F$35*Données!W905+'Résultat (Ln)'!F$36*Données!X905+'Résultat (Ln)'!F$37*Données!Y905</f>
        <v>136823.96401043597</v>
      </c>
      <c r="AA905">
        <f t="shared" si="59"/>
        <v>-36823.964010435971</v>
      </c>
    </row>
    <row r="906" spans="1:27" x14ac:dyDescent="0.25">
      <c r="A906">
        <v>103000</v>
      </c>
      <c r="B906">
        <v>1</v>
      </c>
      <c r="C906">
        <v>24</v>
      </c>
      <c r="D906">
        <v>0</v>
      </c>
      <c r="E906">
        <v>129000</v>
      </c>
      <c r="F906">
        <v>4800</v>
      </c>
      <c r="G906">
        <v>0</v>
      </c>
      <c r="H906">
        <v>0</v>
      </c>
      <c r="I906">
        <v>0</v>
      </c>
      <c r="J906">
        <v>23</v>
      </c>
      <c r="K906">
        <v>1</v>
      </c>
      <c r="L906">
        <f>Résultats!G$32+Résultats!G$33*Données!C906+Résultats!G$34*Données!D906+Résultats!G$35*Données!E906+Résultats!G$36*Données!F906+Résultats!G$37*Données!G906+Résultats!G$38*Données!H906+Résultats!G$39*Données!I906</f>
        <v>93668.04610910677</v>
      </c>
      <c r="M906">
        <f t="shared" si="56"/>
        <v>9331.95389089323</v>
      </c>
      <c r="Q906">
        <v>274000</v>
      </c>
      <c r="R906">
        <v>1</v>
      </c>
      <c r="S906">
        <v>36</v>
      </c>
      <c r="T906">
        <v>0</v>
      </c>
      <c r="U906">
        <f t="shared" si="57"/>
        <v>12.744026936684417</v>
      </c>
      <c r="V906">
        <f t="shared" si="58"/>
        <v>8.3349516314224541</v>
      </c>
      <c r="W906">
        <v>1</v>
      </c>
      <c r="X906">
        <v>1</v>
      </c>
      <c r="Y906">
        <v>1</v>
      </c>
      <c r="Z906">
        <f>'Résultat (Ln)'!F$30+'Résultat (Ln)'!F$31*Données!S906+'Résultat (Ln)'!F$32*Données!T906+'Résultat (Ln)'!F$33*Données!U906+'Résultat (Ln)'!F$34*Données!V906+'Résultat (Ln)'!F$35*Données!W906+'Résultat (Ln)'!F$36*Données!X906+'Résultat (Ln)'!F$37*Données!Y906</f>
        <v>232450.38434288892</v>
      </c>
      <c r="AA906">
        <f t="shared" si="59"/>
        <v>41549.615657111077</v>
      </c>
    </row>
    <row r="907" spans="1:27" x14ac:dyDescent="0.25">
      <c r="A907">
        <v>80000</v>
      </c>
      <c r="B907">
        <v>1</v>
      </c>
      <c r="C907">
        <v>44</v>
      </c>
      <c r="D907">
        <v>0</v>
      </c>
      <c r="E907">
        <v>160000</v>
      </c>
      <c r="F907">
        <v>3180</v>
      </c>
      <c r="G907">
        <v>0</v>
      </c>
      <c r="H907">
        <v>0</v>
      </c>
      <c r="I907">
        <v>1</v>
      </c>
      <c r="J907">
        <v>11</v>
      </c>
      <c r="K907">
        <v>1</v>
      </c>
      <c r="L907">
        <f>Résultats!G$32+Résultats!G$33*Données!C907+Résultats!G$34*Données!D907+Résultats!G$35*Données!E907+Résultats!G$36*Données!F907+Résultats!G$37*Données!G907+Résultats!G$38*Données!H907+Résultats!G$39*Données!I907</f>
        <v>137903.24634475703</v>
      </c>
      <c r="M907">
        <f t="shared" si="56"/>
        <v>-57903.246344757034</v>
      </c>
      <c r="Q907">
        <v>103000</v>
      </c>
      <c r="R907">
        <v>1</v>
      </c>
      <c r="S907">
        <v>24</v>
      </c>
      <c r="T907">
        <v>0</v>
      </c>
      <c r="U907">
        <f t="shared" si="57"/>
        <v>11.76756768334381</v>
      </c>
      <c r="V907">
        <f t="shared" si="58"/>
        <v>8.4763711968959825</v>
      </c>
      <c r="W907">
        <v>0</v>
      </c>
      <c r="X907">
        <v>0</v>
      </c>
      <c r="Y907">
        <v>0</v>
      </c>
      <c r="Z907">
        <f>'Résultat (Ln)'!F$30+'Résultat (Ln)'!F$31*Données!S907+'Résultat (Ln)'!F$32*Données!T907+'Résultat (Ln)'!F$33*Données!U907+'Résultat (Ln)'!F$34*Données!V907+'Résultat (Ln)'!F$35*Données!W907+'Résultat (Ln)'!F$36*Données!X907+'Résultat (Ln)'!F$37*Données!Y907</f>
        <v>98656.591123521153</v>
      </c>
      <c r="AA907">
        <f t="shared" si="59"/>
        <v>4343.4088764788467</v>
      </c>
    </row>
    <row r="908" spans="1:27" x14ac:dyDescent="0.25">
      <c r="A908">
        <v>85000</v>
      </c>
      <c r="B908">
        <v>1</v>
      </c>
      <c r="C908">
        <v>7</v>
      </c>
      <c r="D908">
        <v>0</v>
      </c>
      <c r="E908">
        <v>109000</v>
      </c>
      <c r="F908">
        <v>20667</v>
      </c>
      <c r="G908">
        <v>1</v>
      </c>
      <c r="H908">
        <v>6</v>
      </c>
      <c r="I908">
        <v>1</v>
      </c>
      <c r="J908">
        <v>2</v>
      </c>
      <c r="K908">
        <v>1</v>
      </c>
      <c r="L908">
        <f>Résultats!G$32+Résultats!G$33*Données!C908+Résultats!G$34*Données!D908+Résultats!G$35*Données!E908+Résultats!G$36*Données!F908+Résultats!G$37*Données!G908+Résultats!G$38*Données!H908+Résultats!G$39*Données!I908</f>
        <v>102738.87288605375</v>
      </c>
      <c r="M908">
        <f t="shared" si="56"/>
        <v>-17738.872886053752</v>
      </c>
      <c r="Q908">
        <v>80000</v>
      </c>
      <c r="R908">
        <v>1</v>
      </c>
      <c r="S908">
        <v>44</v>
      </c>
      <c r="T908">
        <v>0</v>
      </c>
      <c r="U908">
        <f t="shared" si="57"/>
        <v>11.982929094215963</v>
      </c>
      <c r="V908">
        <f t="shared" si="58"/>
        <v>8.0646364757742219</v>
      </c>
      <c r="W908">
        <v>0</v>
      </c>
      <c r="X908">
        <v>0</v>
      </c>
      <c r="Y908">
        <v>1</v>
      </c>
      <c r="Z908">
        <f>'Résultat (Ln)'!F$30+'Résultat (Ln)'!F$31*Données!S908+'Résultat (Ln)'!F$32*Données!T908+'Résultat (Ln)'!F$33*Données!U908+'Résultat (Ln)'!F$34*Données!V908+'Résultat (Ln)'!F$35*Données!W908+'Résultat (Ln)'!F$36*Données!X908+'Résultat (Ln)'!F$37*Données!Y908</f>
        <v>148722.70313913259</v>
      </c>
      <c r="AA908">
        <f t="shared" si="59"/>
        <v>-68722.703139132587</v>
      </c>
    </row>
    <row r="909" spans="1:27" x14ac:dyDescent="0.25">
      <c r="A909">
        <v>170000</v>
      </c>
      <c r="B909">
        <v>1</v>
      </c>
      <c r="C909">
        <v>31.39999961853027</v>
      </c>
      <c r="D909">
        <v>0</v>
      </c>
      <c r="E909">
        <v>178550.00305175781</v>
      </c>
      <c r="F909">
        <v>2268</v>
      </c>
      <c r="G909">
        <v>0</v>
      </c>
      <c r="H909">
        <v>0</v>
      </c>
      <c r="I909">
        <v>0</v>
      </c>
      <c r="J909">
        <v>22.430000305175781</v>
      </c>
      <c r="K909">
        <v>1</v>
      </c>
      <c r="L909">
        <f>Résultats!G$32+Résultats!G$33*Données!C909+Résultats!G$34*Données!D909+Résultats!G$35*Données!E909+Résultats!G$36*Données!F909+Résultats!G$37*Données!G909+Résultats!G$38*Données!H909+Résultats!G$39*Données!I909</f>
        <v>120399.26475405788</v>
      </c>
      <c r="M909">
        <f t="shared" si="56"/>
        <v>49600.735245942124</v>
      </c>
      <c r="Q909">
        <v>85000</v>
      </c>
      <c r="R909">
        <v>1</v>
      </c>
      <c r="S909">
        <v>7</v>
      </c>
      <c r="T909">
        <v>0</v>
      </c>
      <c r="U909">
        <f t="shared" si="57"/>
        <v>11.59910316121128</v>
      </c>
      <c r="V909">
        <f t="shared" si="58"/>
        <v>9.9362935042613056</v>
      </c>
      <c r="W909">
        <v>1</v>
      </c>
      <c r="X909">
        <v>6</v>
      </c>
      <c r="Y909">
        <v>1</v>
      </c>
      <c r="Z909">
        <f>'Résultat (Ln)'!F$30+'Résultat (Ln)'!F$31*Données!S909+'Résultat (Ln)'!F$32*Données!T909+'Résultat (Ln)'!F$33*Données!U909+'Résultat (Ln)'!F$34*Données!V909+'Résultat (Ln)'!F$35*Données!W909+'Résultat (Ln)'!F$36*Données!X909+'Résultat (Ln)'!F$37*Données!Y909</f>
        <v>118303.65078133461</v>
      </c>
      <c r="AA909">
        <f t="shared" si="59"/>
        <v>-33303.650781334611</v>
      </c>
    </row>
    <row r="910" spans="1:27" x14ac:dyDescent="0.25">
      <c r="A910">
        <v>89000</v>
      </c>
      <c r="B910">
        <v>1</v>
      </c>
      <c r="C910">
        <v>36</v>
      </c>
      <c r="D910">
        <v>0</v>
      </c>
      <c r="E910">
        <v>111000</v>
      </c>
      <c r="F910">
        <v>3158</v>
      </c>
      <c r="G910">
        <v>0</v>
      </c>
      <c r="H910">
        <v>0</v>
      </c>
      <c r="I910">
        <v>1</v>
      </c>
      <c r="J910">
        <v>18.29999923706055</v>
      </c>
      <c r="K910">
        <v>1</v>
      </c>
      <c r="L910">
        <f>Résultats!G$32+Résultats!G$33*Données!C910+Résultats!G$34*Données!D910+Résultats!G$35*Données!E910+Résultats!G$36*Données!F910+Résultats!G$37*Données!G910+Résultats!G$38*Données!H910+Résultats!G$39*Données!I910</f>
        <v>105790.54182481015</v>
      </c>
      <c r="M910">
        <f t="shared" si="56"/>
        <v>-16790.541824810149</v>
      </c>
      <c r="Q910">
        <v>170000</v>
      </c>
      <c r="R910">
        <v>1</v>
      </c>
      <c r="S910">
        <v>31.39999961853027</v>
      </c>
      <c r="T910">
        <v>0</v>
      </c>
      <c r="U910">
        <f t="shared" si="57"/>
        <v>12.09262397011449</v>
      </c>
      <c r="V910">
        <f t="shared" si="58"/>
        <v>7.7266536648476425</v>
      </c>
      <c r="W910">
        <v>0</v>
      </c>
      <c r="X910">
        <v>0</v>
      </c>
      <c r="Y910">
        <v>0</v>
      </c>
      <c r="Z910">
        <f>'Résultat (Ln)'!F$30+'Résultat (Ln)'!F$31*Données!S910+'Résultat (Ln)'!F$32*Données!T910+'Résultat (Ln)'!F$33*Données!U910+'Résultat (Ln)'!F$34*Données!V910+'Résultat (Ln)'!F$35*Données!W910+'Résultat (Ln)'!F$36*Données!X910+'Résultat (Ln)'!F$37*Données!Y910</f>
        <v>121517.86397576504</v>
      </c>
      <c r="AA910">
        <f t="shared" si="59"/>
        <v>48482.136024234962</v>
      </c>
    </row>
    <row r="911" spans="1:27" x14ac:dyDescent="0.25">
      <c r="A911">
        <v>99000</v>
      </c>
      <c r="B911">
        <v>1</v>
      </c>
      <c r="C911">
        <v>47</v>
      </c>
      <c r="D911">
        <v>0</v>
      </c>
      <c r="E911">
        <v>110000</v>
      </c>
      <c r="F911">
        <v>2600</v>
      </c>
      <c r="G911">
        <v>0</v>
      </c>
      <c r="H911">
        <v>0</v>
      </c>
      <c r="I911">
        <v>0</v>
      </c>
      <c r="J911">
        <v>33</v>
      </c>
      <c r="K911">
        <v>0</v>
      </c>
      <c r="L911">
        <f>Résultats!G$32+Résultats!G$33*Données!C911+Résultats!G$34*Données!D911+Résultats!G$35*Données!E911+Résultats!G$36*Données!F911+Résultats!G$37*Données!G911+Résultats!G$38*Données!H911+Résultats!G$39*Données!I911</f>
        <v>106952.22051937204</v>
      </c>
      <c r="M911">
        <f t="shared" si="56"/>
        <v>-7952.2205193720438</v>
      </c>
      <c r="Q911">
        <v>89000</v>
      </c>
      <c r="R911">
        <v>1</v>
      </c>
      <c r="S911">
        <v>36</v>
      </c>
      <c r="T911">
        <v>0</v>
      </c>
      <c r="U911">
        <f t="shared" si="57"/>
        <v>11.617285480294472</v>
      </c>
      <c r="V911">
        <f t="shared" si="58"/>
        <v>8.0576941948155874</v>
      </c>
      <c r="W911">
        <v>0</v>
      </c>
      <c r="X911">
        <v>0</v>
      </c>
      <c r="Y911">
        <v>1</v>
      </c>
      <c r="Z911">
        <f>'Résultat (Ln)'!F$30+'Résultat (Ln)'!F$31*Données!S911+'Résultat (Ln)'!F$32*Données!T911+'Résultat (Ln)'!F$33*Données!U911+'Résultat (Ln)'!F$34*Données!V911+'Résultat (Ln)'!F$35*Données!W911+'Résultat (Ln)'!F$36*Données!X911+'Résultat (Ln)'!F$37*Données!Y911</f>
        <v>99556.299318723381</v>
      </c>
      <c r="AA911">
        <f t="shared" si="59"/>
        <v>-10556.299318723381</v>
      </c>
    </row>
    <row r="912" spans="1:27" x14ac:dyDescent="0.25">
      <c r="A912">
        <v>120000</v>
      </c>
      <c r="B912">
        <v>1</v>
      </c>
      <c r="C912">
        <v>35</v>
      </c>
      <c r="D912">
        <v>0</v>
      </c>
      <c r="E912">
        <v>150000</v>
      </c>
      <c r="F912">
        <v>3704</v>
      </c>
      <c r="G912">
        <v>1</v>
      </c>
      <c r="H912">
        <v>0</v>
      </c>
      <c r="I912">
        <v>0</v>
      </c>
      <c r="J912">
        <v>21</v>
      </c>
      <c r="K912">
        <v>1</v>
      </c>
      <c r="L912">
        <f>Résultats!G$32+Résultats!G$33*Données!C912+Résultats!G$34*Données!D912+Résultats!G$35*Données!E912+Résultats!G$36*Données!F912+Résultats!G$37*Données!G912+Résultats!G$38*Données!H912+Résultats!G$39*Données!I912</f>
        <v>121002.24244970712</v>
      </c>
      <c r="M912">
        <f t="shared" si="56"/>
        <v>-1002.2424497071188</v>
      </c>
      <c r="Q912">
        <v>99000</v>
      </c>
      <c r="R912">
        <v>1</v>
      </c>
      <c r="S912">
        <v>47</v>
      </c>
      <c r="T912">
        <v>0</v>
      </c>
      <c r="U912">
        <f t="shared" si="57"/>
        <v>11.608235644774552</v>
      </c>
      <c r="V912">
        <f t="shared" si="58"/>
        <v>7.8632667240095735</v>
      </c>
      <c r="W912">
        <v>0</v>
      </c>
      <c r="X912">
        <v>0</v>
      </c>
      <c r="Y912">
        <v>0</v>
      </c>
      <c r="Z912">
        <f>'Résultat (Ln)'!F$30+'Résultat (Ln)'!F$31*Données!S912+'Résultat (Ln)'!F$32*Données!T912+'Résultat (Ln)'!F$33*Données!U912+'Résultat (Ln)'!F$34*Données!V912+'Résultat (Ln)'!F$35*Données!W912+'Résultat (Ln)'!F$36*Données!X912+'Résultat (Ln)'!F$37*Données!Y912</f>
        <v>92488.844241578714</v>
      </c>
      <c r="AA912">
        <f t="shared" si="59"/>
        <v>6511.155758421286</v>
      </c>
    </row>
    <row r="913" spans="1:27" x14ac:dyDescent="0.25">
      <c r="A913">
        <v>182000</v>
      </c>
      <c r="B913">
        <v>1</v>
      </c>
      <c r="C913">
        <v>43.900001525878913</v>
      </c>
      <c r="D913">
        <v>0</v>
      </c>
      <c r="E913">
        <v>227000</v>
      </c>
      <c r="F913">
        <v>4432</v>
      </c>
      <c r="G913">
        <v>1</v>
      </c>
      <c r="H913">
        <v>6</v>
      </c>
      <c r="I913">
        <v>0</v>
      </c>
      <c r="J913">
        <v>42.610000610351563</v>
      </c>
      <c r="K913">
        <v>0</v>
      </c>
      <c r="L913">
        <f>Résultats!G$32+Résultats!G$33*Données!C913+Résultats!G$34*Données!D913+Résultats!G$35*Données!E913+Résultats!G$36*Données!F913+Résultats!G$37*Données!G913+Résultats!G$38*Données!H913+Résultats!G$39*Données!I913</f>
        <v>158839.86259158465</v>
      </c>
      <c r="M913">
        <f t="shared" si="56"/>
        <v>23160.13740841535</v>
      </c>
      <c r="Q913">
        <v>120000</v>
      </c>
      <c r="R913">
        <v>1</v>
      </c>
      <c r="S913">
        <v>35</v>
      </c>
      <c r="T913">
        <v>0</v>
      </c>
      <c r="U913">
        <f t="shared" si="57"/>
        <v>11.918390573078392</v>
      </c>
      <c r="V913">
        <f t="shared" si="58"/>
        <v>8.2171685957660703</v>
      </c>
      <c r="W913">
        <v>1</v>
      </c>
      <c r="X913">
        <v>0</v>
      </c>
      <c r="Y913">
        <v>0</v>
      </c>
      <c r="Z913">
        <f>'Résultat (Ln)'!F$30+'Résultat (Ln)'!F$31*Données!S913+'Résultat (Ln)'!F$32*Données!T913+'Résultat (Ln)'!F$33*Données!U913+'Résultat (Ln)'!F$34*Données!V913+'Résultat (Ln)'!F$35*Données!W913+'Résultat (Ln)'!F$36*Données!X913+'Résultat (Ln)'!F$37*Données!Y913</f>
        <v>125511.07527498384</v>
      </c>
      <c r="AA913">
        <f t="shared" si="59"/>
        <v>-5511.075274983843</v>
      </c>
    </row>
    <row r="914" spans="1:27" x14ac:dyDescent="0.25">
      <c r="A914">
        <v>140000</v>
      </c>
      <c r="B914">
        <v>1</v>
      </c>
      <c r="C914">
        <v>25.29999923706055</v>
      </c>
      <c r="D914">
        <v>0</v>
      </c>
      <c r="E914">
        <v>200000</v>
      </c>
      <c r="F914">
        <v>8155</v>
      </c>
      <c r="G914">
        <v>0</v>
      </c>
      <c r="H914">
        <v>6</v>
      </c>
      <c r="I914">
        <v>0</v>
      </c>
      <c r="J914">
        <v>25.059999465942379</v>
      </c>
      <c r="K914">
        <v>0</v>
      </c>
      <c r="L914">
        <f>Résultats!G$32+Résultats!G$33*Données!C914+Résultats!G$34*Données!D914+Résultats!G$35*Données!E914+Résultats!G$36*Données!F914+Résultats!G$37*Données!G914+Résultats!G$38*Données!H914+Résultats!G$39*Données!I914</f>
        <v>125064.61653839647</v>
      </c>
      <c r="M914">
        <f t="shared" si="56"/>
        <v>14935.383461603531</v>
      </c>
      <c r="Q914">
        <v>182000</v>
      </c>
      <c r="R914">
        <v>1</v>
      </c>
      <c r="S914">
        <v>43.900001525878913</v>
      </c>
      <c r="T914">
        <v>0</v>
      </c>
      <c r="U914">
        <f t="shared" si="57"/>
        <v>12.332705296463539</v>
      </c>
      <c r="V914">
        <f t="shared" si="58"/>
        <v>8.3966062284271192</v>
      </c>
      <c r="W914">
        <v>1</v>
      </c>
      <c r="X914">
        <v>6</v>
      </c>
      <c r="Y914">
        <v>0</v>
      </c>
      <c r="Z914">
        <f>'Résultat (Ln)'!F$30+'Résultat (Ln)'!F$31*Données!S914+'Résultat (Ln)'!F$32*Données!T914+'Résultat (Ln)'!F$33*Données!U914+'Résultat (Ln)'!F$34*Données!V914+'Résultat (Ln)'!F$35*Données!W914+'Résultat (Ln)'!F$36*Données!X914+'Résultat (Ln)'!F$37*Données!Y914</f>
        <v>184767.1794498931</v>
      </c>
      <c r="AA914">
        <f t="shared" si="59"/>
        <v>-2767.1794498930976</v>
      </c>
    </row>
    <row r="915" spans="1:27" x14ac:dyDescent="0.25">
      <c r="A915">
        <v>260000</v>
      </c>
      <c r="B915">
        <v>1</v>
      </c>
      <c r="C915">
        <v>34.599998474121087</v>
      </c>
      <c r="D915">
        <v>0</v>
      </c>
      <c r="E915">
        <v>325000</v>
      </c>
      <c r="F915">
        <v>8698</v>
      </c>
      <c r="G915">
        <v>1</v>
      </c>
      <c r="H915">
        <v>0</v>
      </c>
      <c r="I915">
        <v>1</v>
      </c>
      <c r="J915">
        <v>26.840000152587891</v>
      </c>
      <c r="K915">
        <v>1</v>
      </c>
      <c r="L915">
        <f>Résultats!G$32+Résultats!G$33*Données!C915+Résultats!G$34*Données!D915+Résultats!G$35*Données!E915+Résultats!G$36*Données!F915+Résultats!G$37*Données!G915+Résultats!G$38*Données!H915+Résultats!G$39*Données!I915</f>
        <v>221862.36152459</v>
      </c>
      <c r="M915">
        <f t="shared" si="56"/>
        <v>38137.63847541</v>
      </c>
      <c r="Q915">
        <v>140000</v>
      </c>
      <c r="R915">
        <v>1</v>
      </c>
      <c r="S915">
        <v>25.29999923706055</v>
      </c>
      <c r="T915">
        <v>0</v>
      </c>
      <c r="U915">
        <f t="shared" si="57"/>
        <v>12.206072645530174</v>
      </c>
      <c r="V915">
        <f t="shared" si="58"/>
        <v>9.0063865150551141</v>
      </c>
      <c r="W915">
        <v>0</v>
      </c>
      <c r="X915">
        <v>6</v>
      </c>
      <c r="Y915">
        <v>0</v>
      </c>
      <c r="Z915">
        <f>'Résultat (Ln)'!F$30+'Résultat (Ln)'!F$31*Données!S915+'Résultat (Ln)'!F$32*Données!T915+'Résultat (Ln)'!F$33*Données!U915+'Résultat (Ln)'!F$34*Données!V915+'Résultat (Ln)'!F$35*Données!W915+'Résultat (Ln)'!F$36*Données!X915+'Résultat (Ln)'!F$37*Données!Y915</f>
        <v>161050.49663938434</v>
      </c>
      <c r="AA915">
        <f t="shared" si="59"/>
        <v>-21050.496639384335</v>
      </c>
    </row>
    <row r="916" spans="1:27" x14ac:dyDescent="0.25">
      <c r="A916">
        <v>143000</v>
      </c>
      <c r="B916">
        <v>1</v>
      </c>
      <c r="C916">
        <v>37</v>
      </c>
      <c r="D916">
        <v>0</v>
      </c>
      <c r="E916">
        <v>246000</v>
      </c>
      <c r="F916">
        <v>4970</v>
      </c>
      <c r="G916">
        <v>1</v>
      </c>
      <c r="H916">
        <v>0</v>
      </c>
      <c r="I916">
        <v>0</v>
      </c>
      <c r="J916">
        <v>26.10000038146973</v>
      </c>
      <c r="K916">
        <v>1</v>
      </c>
      <c r="L916">
        <f>Résultats!G$32+Résultats!G$33*Données!C916+Résultats!G$34*Données!D916+Résultats!G$35*Données!E916+Résultats!G$36*Données!F916+Résultats!G$37*Données!G916+Résultats!G$38*Données!H916+Résultats!G$39*Données!I916</f>
        <v>170580.33580556099</v>
      </c>
      <c r="M916">
        <f t="shared" si="56"/>
        <v>-27580.335805560986</v>
      </c>
      <c r="Q916">
        <v>260000</v>
      </c>
      <c r="R916">
        <v>1</v>
      </c>
      <c r="S916">
        <v>34.599998474121087</v>
      </c>
      <c r="T916">
        <v>0</v>
      </c>
      <c r="U916">
        <f t="shared" si="57"/>
        <v>12.691580461311874</v>
      </c>
      <c r="V916">
        <f t="shared" si="58"/>
        <v>9.0708483931575845</v>
      </c>
      <c r="W916">
        <v>1</v>
      </c>
      <c r="X916">
        <v>0</v>
      </c>
      <c r="Y916">
        <v>1</v>
      </c>
      <c r="Z916">
        <f>'Résultat (Ln)'!F$30+'Résultat (Ln)'!F$31*Données!S916+'Résultat (Ln)'!F$32*Données!T916+'Résultat (Ln)'!F$33*Données!U916+'Résultat (Ln)'!F$34*Données!V916+'Résultat (Ln)'!F$35*Données!W916+'Résultat (Ln)'!F$36*Données!X916+'Résultat (Ln)'!F$37*Données!Y916</f>
        <v>245933.84272346561</v>
      </c>
      <c r="AA916">
        <f t="shared" si="59"/>
        <v>14066.157276534388</v>
      </c>
    </row>
    <row r="917" spans="1:27" x14ac:dyDescent="0.25">
      <c r="A917">
        <v>115000</v>
      </c>
      <c r="B917">
        <v>1</v>
      </c>
      <c r="C917">
        <v>39</v>
      </c>
      <c r="D917">
        <v>0</v>
      </c>
      <c r="E917">
        <v>127000</v>
      </c>
      <c r="F917">
        <v>4124</v>
      </c>
      <c r="G917">
        <v>0</v>
      </c>
      <c r="H917">
        <v>0</v>
      </c>
      <c r="I917">
        <v>1</v>
      </c>
      <c r="J917">
        <v>32</v>
      </c>
      <c r="K917">
        <v>0</v>
      </c>
      <c r="L917">
        <f>Résultats!G$32+Résultats!G$33*Données!C917+Résultats!G$34*Données!D917+Résultats!G$35*Données!E917+Résultats!G$36*Données!F917+Résultats!G$37*Données!G917+Résultats!G$38*Données!H917+Résultats!G$39*Données!I917</f>
        <v>118579.7078562454</v>
      </c>
      <c r="M917">
        <f t="shared" si="56"/>
        <v>-3579.7078562453971</v>
      </c>
      <c r="Q917">
        <v>143000</v>
      </c>
      <c r="R917">
        <v>1</v>
      </c>
      <c r="S917">
        <v>37</v>
      </c>
      <c r="T917">
        <v>0</v>
      </c>
      <c r="U917">
        <f t="shared" si="57"/>
        <v>12.4130868149145</v>
      </c>
      <c r="V917">
        <f t="shared" si="58"/>
        <v>8.5111751190906748</v>
      </c>
      <c r="W917">
        <v>1</v>
      </c>
      <c r="X917">
        <v>0</v>
      </c>
      <c r="Y917">
        <v>0</v>
      </c>
      <c r="Z917">
        <f>'Résultat (Ln)'!F$30+'Résultat (Ln)'!F$31*Données!S917+'Résultat (Ln)'!F$32*Données!T917+'Résultat (Ln)'!F$33*Données!U917+'Résultat (Ln)'!F$34*Données!V917+'Résultat (Ln)'!F$35*Données!W917+'Résultat (Ln)'!F$36*Données!X917+'Résultat (Ln)'!F$37*Données!Y917</f>
        <v>189230.0471070614</v>
      </c>
      <c r="AA917">
        <f t="shared" si="59"/>
        <v>-46230.0471070614</v>
      </c>
    </row>
    <row r="918" spans="1:27" x14ac:dyDescent="0.25">
      <c r="A918">
        <v>175000</v>
      </c>
      <c r="B918">
        <v>1</v>
      </c>
      <c r="C918">
        <v>36</v>
      </c>
      <c r="D918">
        <v>0</v>
      </c>
      <c r="E918">
        <v>265500</v>
      </c>
      <c r="F918">
        <v>4291</v>
      </c>
      <c r="G918">
        <v>1</v>
      </c>
      <c r="H918">
        <v>0</v>
      </c>
      <c r="I918">
        <v>0</v>
      </c>
      <c r="J918">
        <v>36</v>
      </c>
      <c r="K918">
        <v>1</v>
      </c>
      <c r="L918">
        <f>Résultats!G$32+Résultats!G$33*Données!C918+Résultats!G$34*Données!D918+Résultats!G$35*Données!E918+Résultats!G$36*Données!F918+Résultats!G$37*Données!G918+Résultats!G$38*Données!H918+Résultats!G$39*Données!I918</f>
        <v>177221.49654421114</v>
      </c>
      <c r="M918">
        <f t="shared" si="56"/>
        <v>-2221.4965442111425</v>
      </c>
      <c r="Q918">
        <v>115000</v>
      </c>
      <c r="R918">
        <v>1</v>
      </c>
      <c r="S918">
        <v>39</v>
      </c>
      <c r="T918">
        <v>0</v>
      </c>
      <c r="U918">
        <f t="shared" si="57"/>
        <v>11.751942365440728</v>
      </c>
      <c r="V918">
        <f t="shared" si="58"/>
        <v>8.3245788451368501</v>
      </c>
      <c r="W918">
        <v>0</v>
      </c>
      <c r="X918">
        <v>0</v>
      </c>
      <c r="Y918">
        <v>1</v>
      </c>
      <c r="Z918">
        <f>'Résultat (Ln)'!F$30+'Résultat (Ln)'!F$31*Données!S918+'Résultat (Ln)'!F$32*Données!T918+'Résultat (Ln)'!F$33*Données!U918+'Résultat (Ln)'!F$34*Données!V918+'Résultat (Ln)'!F$35*Données!W918+'Résultat (Ln)'!F$36*Données!X918+'Résultat (Ln)'!F$37*Données!Y918</f>
        <v>125142.03492498968</v>
      </c>
      <c r="AA918">
        <f t="shared" si="59"/>
        <v>-10142.034924989683</v>
      </c>
    </row>
    <row r="919" spans="1:27" x14ac:dyDescent="0.25">
      <c r="A919">
        <v>120000</v>
      </c>
      <c r="B919">
        <v>1</v>
      </c>
      <c r="C919">
        <v>39.200000762939453</v>
      </c>
      <c r="D919">
        <v>1</v>
      </c>
      <c r="E919">
        <v>133000</v>
      </c>
      <c r="F919">
        <v>1141</v>
      </c>
      <c r="G919">
        <v>0</v>
      </c>
      <c r="H919">
        <v>0</v>
      </c>
      <c r="I919">
        <v>0</v>
      </c>
      <c r="J919">
        <v>33.380001068115227</v>
      </c>
      <c r="K919">
        <v>1</v>
      </c>
      <c r="L919">
        <f>Résultats!G$32+Résultats!G$33*Données!C919+Résultats!G$34*Données!D919+Résultats!G$35*Données!E919+Résultats!G$36*Données!F919+Résultats!G$37*Données!G919+Résultats!G$38*Données!H919+Résultats!G$39*Données!I919</f>
        <v>110753.53456674273</v>
      </c>
      <c r="M919">
        <f t="shared" si="56"/>
        <v>9246.4654332572682</v>
      </c>
      <c r="Q919">
        <v>175000</v>
      </c>
      <c r="R919">
        <v>1</v>
      </c>
      <c r="S919">
        <v>36</v>
      </c>
      <c r="T919">
        <v>0</v>
      </c>
      <c r="U919">
        <f t="shared" si="57"/>
        <v>12.48937011966413</v>
      </c>
      <c r="V919">
        <f t="shared" si="58"/>
        <v>8.3642750849915242</v>
      </c>
      <c r="W919">
        <v>1</v>
      </c>
      <c r="X919">
        <v>0</v>
      </c>
      <c r="Y919">
        <v>0</v>
      </c>
      <c r="Z919">
        <f>'Résultat (Ln)'!F$30+'Résultat (Ln)'!F$31*Données!S919+'Résultat (Ln)'!F$32*Données!T919+'Résultat (Ln)'!F$33*Données!U919+'Résultat (Ln)'!F$34*Données!V919+'Résultat (Ln)'!F$35*Données!W919+'Résultat (Ln)'!F$36*Données!X919+'Résultat (Ln)'!F$37*Données!Y919</f>
        <v>192065.31026539076</v>
      </c>
      <c r="AA919">
        <f t="shared" si="59"/>
        <v>-17065.310265390755</v>
      </c>
    </row>
    <row r="920" spans="1:27" x14ac:dyDescent="0.25">
      <c r="A920">
        <v>62000</v>
      </c>
      <c r="B920">
        <v>1</v>
      </c>
      <c r="C920">
        <v>35.299999237060547</v>
      </c>
      <c r="D920">
        <v>0</v>
      </c>
      <c r="E920">
        <v>93000</v>
      </c>
      <c r="F920">
        <v>2052</v>
      </c>
      <c r="G920">
        <v>1</v>
      </c>
      <c r="H920">
        <v>0</v>
      </c>
      <c r="I920">
        <v>0</v>
      </c>
      <c r="J920">
        <v>33.700000762939453</v>
      </c>
      <c r="K920">
        <v>0</v>
      </c>
      <c r="L920">
        <f>Résultats!G$32+Résultats!G$33*Données!C920+Résultats!G$34*Données!D920+Résultats!G$35*Données!E920+Résultats!G$36*Données!F920+Résultats!G$37*Données!G920+Résultats!G$38*Données!H920+Résultats!G$39*Données!I920</f>
        <v>91529.281644508519</v>
      </c>
      <c r="M920">
        <f t="shared" si="56"/>
        <v>-29529.281644508519</v>
      </c>
      <c r="Q920">
        <v>120000</v>
      </c>
      <c r="R920">
        <v>1</v>
      </c>
      <c r="S920">
        <v>39.200000762939453</v>
      </c>
      <c r="T920">
        <v>1</v>
      </c>
      <c r="U920">
        <f t="shared" si="57"/>
        <v>11.798104407203891</v>
      </c>
      <c r="V920">
        <f t="shared" si="58"/>
        <v>7.0396603498620758</v>
      </c>
      <c r="W920">
        <v>0</v>
      </c>
      <c r="X920">
        <v>0</v>
      </c>
      <c r="Y920">
        <v>0</v>
      </c>
      <c r="Z920">
        <f>'Résultat (Ln)'!F$30+'Résultat (Ln)'!F$31*Données!S920+'Résultat (Ln)'!F$32*Données!T920+'Résultat (Ln)'!F$33*Données!U920+'Résultat (Ln)'!F$34*Données!V920+'Résultat (Ln)'!F$35*Données!W920+'Résultat (Ln)'!F$36*Données!X920+'Résultat (Ln)'!F$37*Données!Y920</f>
        <v>84560.133350590331</v>
      </c>
      <c r="AA920">
        <f t="shared" si="59"/>
        <v>35439.866649409669</v>
      </c>
    </row>
    <row r="921" spans="1:27" x14ac:dyDescent="0.25">
      <c r="A921">
        <v>187000</v>
      </c>
      <c r="B921">
        <v>1</v>
      </c>
      <c r="C921">
        <v>42</v>
      </c>
      <c r="D921">
        <v>0</v>
      </c>
      <c r="E921">
        <v>225000</v>
      </c>
      <c r="F921">
        <v>9508</v>
      </c>
      <c r="G921">
        <v>0</v>
      </c>
      <c r="H921">
        <v>0</v>
      </c>
      <c r="I921">
        <v>0</v>
      </c>
      <c r="J921">
        <v>21</v>
      </c>
      <c r="K921">
        <v>1</v>
      </c>
      <c r="L921">
        <f>Résultats!G$32+Résultats!G$33*Données!C921+Résultats!G$34*Données!D921+Résultats!G$35*Données!E921+Résultats!G$36*Données!F921+Résultats!G$37*Données!G921+Résultats!G$38*Données!H921+Résultats!G$39*Données!I921</f>
        <v>168294.72964377591</v>
      </c>
      <c r="M921">
        <f t="shared" si="56"/>
        <v>18705.270356224093</v>
      </c>
      <c r="Q921">
        <v>62000</v>
      </c>
      <c r="R921">
        <v>1</v>
      </c>
      <c r="S921">
        <v>35.299999237060547</v>
      </c>
      <c r="T921">
        <v>0</v>
      </c>
      <c r="U921">
        <f t="shared" si="57"/>
        <v>11.440354772135393</v>
      </c>
      <c r="V921">
        <f t="shared" si="58"/>
        <v>7.6265702062906602</v>
      </c>
      <c r="W921">
        <v>1</v>
      </c>
      <c r="X921">
        <v>0</v>
      </c>
      <c r="Y921">
        <v>0</v>
      </c>
      <c r="Z921">
        <f>'Résultat (Ln)'!F$30+'Résultat (Ln)'!F$31*Données!S921+'Résultat (Ln)'!F$32*Données!T921+'Résultat (Ln)'!F$33*Données!U921+'Résultat (Ln)'!F$34*Données!V921+'Résultat (Ln)'!F$35*Données!W921+'Résultat (Ln)'!F$36*Données!X921+'Résultat (Ln)'!F$37*Données!Y921</f>
        <v>58070.568089476779</v>
      </c>
      <c r="AA921">
        <f t="shared" si="59"/>
        <v>3929.4319105232207</v>
      </c>
    </row>
    <row r="922" spans="1:27" x14ac:dyDescent="0.25">
      <c r="A922">
        <v>139000</v>
      </c>
      <c r="B922">
        <v>1</v>
      </c>
      <c r="C922">
        <v>34.099998474121087</v>
      </c>
      <c r="D922">
        <v>0</v>
      </c>
      <c r="E922">
        <v>154000</v>
      </c>
      <c r="F922">
        <v>3075</v>
      </c>
      <c r="G922">
        <v>1</v>
      </c>
      <c r="H922">
        <v>0</v>
      </c>
      <c r="I922">
        <v>0</v>
      </c>
      <c r="J922">
        <v>26.89999961853027</v>
      </c>
      <c r="K922">
        <v>1</v>
      </c>
      <c r="L922">
        <f>Résultats!G$32+Résultats!G$33*Données!C922+Résultats!G$34*Données!D922+Résultats!G$35*Données!E922+Résultats!G$36*Données!F922+Résultats!G$37*Données!G922+Résultats!G$38*Données!H922+Résultats!G$39*Données!I922</f>
        <v>120617.38217739931</v>
      </c>
      <c r="M922">
        <f t="shared" si="56"/>
        <v>18382.617822600689</v>
      </c>
      <c r="Q922">
        <v>187000</v>
      </c>
      <c r="R922">
        <v>1</v>
      </c>
      <c r="S922">
        <v>42</v>
      </c>
      <c r="T922">
        <v>0</v>
      </c>
      <c r="U922">
        <f t="shared" si="57"/>
        <v>12.323855681186558</v>
      </c>
      <c r="V922">
        <f t="shared" si="58"/>
        <v>9.159888828480085</v>
      </c>
      <c r="W922">
        <v>0</v>
      </c>
      <c r="X922">
        <v>0</v>
      </c>
      <c r="Y922">
        <v>0</v>
      </c>
      <c r="Z922">
        <f>'Résultat (Ln)'!F$30+'Résultat (Ln)'!F$31*Données!S922+'Résultat (Ln)'!F$32*Données!T922+'Résultat (Ln)'!F$33*Données!U922+'Résultat (Ln)'!F$34*Données!V922+'Résultat (Ln)'!F$35*Données!W922+'Résultat (Ln)'!F$36*Données!X922+'Résultat (Ln)'!F$37*Données!Y922</f>
        <v>199454.72950513658</v>
      </c>
      <c r="AA922">
        <f t="shared" si="59"/>
        <v>-12454.72950513658</v>
      </c>
    </row>
    <row r="923" spans="1:27" x14ac:dyDescent="0.25">
      <c r="A923">
        <v>144000</v>
      </c>
      <c r="B923">
        <v>1</v>
      </c>
      <c r="C923">
        <v>36</v>
      </c>
      <c r="D923">
        <v>0</v>
      </c>
      <c r="E923">
        <v>222000</v>
      </c>
      <c r="F923">
        <v>5896</v>
      </c>
      <c r="G923">
        <v>0</v>
      </c>
      <c r="H923">
        <v>0</v>
      </c>
      <c r="I923">
        <v>0</v>
      </c>
      <c r="J923">
        <v>32.200000762939453</v>
      </c>
      <c r="K923">
        <v>0</v>
      </c>
      <c r="L923">
        <f>Résultats!G$32+Résultats!G$33*Données!C923+Résultats!G$34*Données!D923+Résultats!G$35*Données!E923+Résultats!G$36*Données!F923+Résultats!G$37*Données!G923+Résultats!G$38*Données!H923+Résultats!G$39*Données!I923</f>
        <v>153002.55959794161</v>
      </c>
      <c r="M923">
        <f t="shared" si="56"/>
        <v>-9002.5595979416103</v>
      </c>
      <c r="Q923">
        <v>139000</v>
      </c>
      <c r="R923">
        <v>1</v>
      </c>
      <c r="S923">
        <v>34.099998474121087</v>
      </c>
      <c r="T923">
        <v>0</v>
      </c>
      <c r="U923">
        <f t="shared" si="57"/>
        <v>11.944707881395766</v>
      </c>
      <c r="V923">
        <f t="shared" si="58"/>
        <v>8.031060180240619</v>
      </c>
      <c r="W923">
        <v>1</v>
      </c>
      <c r="X923">
        <v>0</v>
      </c>
      <c r="Y923">
        <v>0</v>
      </c>
      <c r="Z923">
        <f>'Résultat (Ln)'!F$30+'Résultat (Ln)'!F$31*Données!S923+'Résultat (Ln)'!F$32*Données!T923+'Résultat (Ln)'!F$33*Données!U923+'Résultat (Ln)'!F$34*Données!V923+'Résultat (Ln)'!F$35*Données!W923+'Résultat (Ln)'!F$36*Données!X923+'Résultat (Ln)'!F$37*Données!Y923</f>
        <v>122012.77723311841</v>
      </c>
      <c r="AA923">
        <f t="shared" si="59"/>
        <v>16987.22276688159</v>
      </c>
    </row>
    <row r="924" spans="1:27" x14ac:dyDescent="0.25">
      <c r="A924">
        <v>127000</v>
      </c>
      <c r="B924">
        <v>1</v>
      </c>
      <c r="C924">
        <v>38.799999237060547</v>
      </c>
      <c r="D924">
        <v>0</v>
      </c>
      <c r="E924">
        <v>141000</v>
      </c>
      <c r="F924">
        <v>4400</v>
      </c>
      <c r="G924">
        <v>1</v>
      </c>
      <c r="H924">
        <v>0</v>
      </c>
      <c r="I924">
        <v>1</v>
      </c>
      <c r="J924">
        <v>32</v>
      </c>
      <c r="K924">
        <v>1</v>
      </c>
      <c r="L924">
        <f>Résultats!G$32+Résultats!G$33*Données!C924+Résultats!G$34*Données!D924+Résultats!G$35*Données!E924+Résultats!G$36*Données!F924+Résultats!G$37*Données!G924+Résultats!G$38*Données!H924+Résultats!G$39*Données!I924</f>
        <v>132438.76645946983</v>
      </c>
      <c r="M924">
        <f t="shared" si="56"/>
        <v>-5438.766459469829</v>
      </c>
      <c r="Q924">
        <v>144000</v>
      </c>
      <c r="R924">
        <v>1</v>
      </c>
      <c r="S924">
        <v>36</v>
      </c>
      <c r="T924">
        <v>0</v>
      </c>
      <c r="U924">
        <f t="shared" si="57"/>
        <v>12.310432660854417</v>
      </c>
      <c r="V924">
        <f t="shared" si="58"/>
        <v>8.6820294338691717</v>
      </c>
      <c r="W924">
        <v>0</v>
      </c>
      <c r="X924">
        <v>0</v>
      </c>
      <c r="Y924">
        <v>0</v>
      </c>
      <c r="Z924">
        <f>'Résultat (Ln)'!F$30+'Résultat (Ln)'!F$31*Données!S924+'Résultat (Ln)'!F$32*Données!T924+'Résultat (Ln)'!F$33*Données!U924+'Résultat (Ln)'!F$34*Données!V924+'Résultat (Ln)'!F$35*Données!W924+'Résultat (Ln)'!F$36*Données!X924+'Résultat (Ln)'!F$37*Données!Y924</f>
        <v>177281.64981279001</v>
      </c>
      <c r="AA924">
        <f t="shared" si="59"/>
        <v>-33281.649812790012</v>
      </c>
    </row>
    <row r="925" spans="1:27" x14ac:dyDescent="0.25">
      <c r="A925">
        <v>153000</v>
      </c>
      <c r="B925">
        <v>1</v>
      </c>
      <c r="C925">
        <v>25</v>
      </c>
      <c r="D925">
        <v>0</v>
      </c>
      <c r="E925">
        <v>228000</v>
      </c>
      <c r="F925">
        <v>3922</v>
      </c>
      <c r="G925">
        <v>1</v>
      </c>
      <c r="H925">
        <v>0</v>
      </c>
      <c r="I925">
        <v>0</v>
      </c>
      <c r="J925">
        <v>24</v>
      </c>
      <c r="K925">
        <v>1</v>
      </c>
      <c r="L925">
        <f>Résultats!G$32+Résultats!G$33*Données!C925+Résultats!G$34*Données!D925+Résultats!G$35*Données!E925+Résultats!G$36*Données!F925+Résultats!G$37*Données!G925+Résultats!G$38*Données!H925+Résultats!G$39*Données!I925</f>
        <v>146360.33126072891</v>
      </c>
      <c r="M925">
        <f t="shared" si="56"/>
        <v>6639.6687392710883</v>
      </c>
      <c r="Q925">
        <v>127000</v>
      </c>
      <c r="R925">
        <v>1</v>
      </c>
      <c r="S925">
        <v>38.799999237060547</v>
      </c>
      <c r="T925">
        <v>0</v>
      </c>
      <c r="U925">
        <f t="shared" si="57"/>
        <v>11.856515169360305</v>
      </c>
      <c r="V925">
        <f t="shared" si="58"/>
        <v>8.3893598199063533</v>
      </c>
      <c r="W925">
        <v>1</v>
      </c>
      <c r="X925">
        <v>0</v>
      </c>
      <c r="Y925">
        <v>1</v>
      </c>
      <c r="Z925">
        <f>'Résultat (Ln)'!F$30+'Résultat (Ln)'!F$31*Données!S925+'Résultat (Ln)'!F$32*Données!T925+'Résultat (Ln)'!F$33*Données!U925+'Résultat (Ln)'!F$34*Données!V925+'Résultat (Ln)'!F$35*Données!W925+'Résultat (Ln)'!F$36*Données!X925+'Résultat (Ln)'!F$37*Données!Y925</f>
        <v>142438.23140841397</v>
      </c>
      <c r="AA925">
        <f t="shared" si="59"/>
        <v>-15438.231408413965</v>
      </c>
    </row>
    <row r="926" spans="1:27" x14ac:dyDescent="0.25">
      <c r="A926">
        <v>134000</v>
      </c>
      <c r="B926">
        <v>1</v>
      </c>
      <c r="C926">
        <v>28</v>
      </c>
      <c r="D926">
        <v>0</v>
      </c>
      <c r="E926">
        <v>168000</v>
      </c>
      <c r="F926">
        <v>3153</v>
      </c>
      <c r="G926">
        <v>1</v>
      </c>
      <c r="H926">
        <v>0</v>
      </c>
      <c r="I926">
        <v>0</v>
      </c>
      <c r="J926">
        <v>28</v>
      </c>
      <c r="K926">
        <v>1</v>
      </c>
      <c r="L926">
        <f>Résultats!G$32+Résultats!G$33*Données!C926+Résultats!G$34*Données!D926+Résultats!G$35*Données!E926+Résultats!G$36*Données!F926+Résultats!G$37*Données!G926+Résultats!G$38*Données!H926+Résultats!G$39*Données!I926</f>
        <v>120298.98779345868</v>
      </c>
      <c r="M926">
        <f t="shared" si="56"/>
        <v>13701.012206541316</v>
      </c>
      <c r="Q926">
        <v>153000</v>
      </c>
      <c r="R926">
        <v>1</v>
      </c>
      <c r="S926">
        <v>25</v>
      </c>
      <c r="T926">
        <v>0</v>
      </c>
      <c r="U926">
        <f t="shared" si="57"/>
        <v>12.337100907936577</v>
      </c>
      <c r="V926">
        <f t="shared" si="58"/>
        <v>8.2743570067562917</v>
      </c>
      <c r="W926">
        <v>1</v>
      </c>
      <c r="X926">
        <v>0</v>
      </c>
      <c r="Y926">
        <v>0</v>
      </c>
      <c r="Z926">
        <f>'Résultat (Ln)'!F$30+'Résultat (Ln)'!F$31*Données!S926+'Résultat (Ln)'!F$32*Données!T926+'Résultat (Ln)'!F$33*Données!U926+'Résultat (Ln)'!F$34*Données!V926+'Résultat (Ln)'!F$35*Données!W926+'Résultat (Ln)'!F$36*Données!X926+'Résultat (Ln)'!F$37*Données!Y926</f>
        <v>159778.45140777598</v>
      </c>
      <c r="AA926">
        <f t="shared" si="59"/>
        <v>-6778.4514077759814</v>
      </c>
    </row>
    <row r="927" spans="1:27" x14ac:dyDescent="0.25">
      <c r="A927">
        <v>980000</v>
      </c>
      <c r="B927">
        <v>1</v>
      </c>
      <c r="C927">
        <v>38</v>
      </c>
      <c r="D927">
        <v>0</v>
      </c>
      <c r="E927">
        <v>760000</v>
      </c>
      <c r="F927">
        <v>16666</v>
      </c>
      <c r="G927">
        <v>1</v>
      </c>
      <c r="H927">
        <v>1</v>
      </c>
      <c r="I927">
        <v>1</v>
      </c>
      <c r="J927">
        <v>36</v>
      </c>
      <c r="K927">
        <v>1</v>
      </c>
      <c r="L927">
        <f>Résultats!G$32+Résultats!G$33*Données!C927+Résultats!G$34*Données!D927+Résultats!G$35*Données!E927+Résultats!G$36*Données!F927+Résultats!G$37*Données!G927+Résultats!G$38*Données!H927+Résultats!G$39*Données!I927</f>
        <v>442707.52769007685</v>
      </c>
      <c r="M927">
        <f t="shared" si="56"/>
        <v>537292.47230992315</v>
      </c>
      <c r="Q927">
        <v>134000</v>
      </c>
      <c r="R927">
        <v>1</v>
      </c>
      <c r="S927">
        <v>28</v>
      </c>
      <c r="T927">
        <v>0</v>
      </c>
      <c r="U927">
        <f t="shared" si="57"/>
        <v>12.031719258385396</v>
      </c>
      <c r="V927">
        <f t="shared" si="58"/>
        <v>8.0561096595450614</v>
      </c>
      <c r="W927">
        <v>1</v>
      </c>
      <c r="X927">
        <v>0</v>
      </c>
      <c r="Y927">
        <v>0</v>
      </c>
      <c r="Z927">
        <f>'Résultat (Ln)'!F$30+'Résultat (Ln)'!F$31*Données!S927+'Résultat (Ln)'!F$32*Données!T927+'Résultat (Ln)'!F$33*Données!U927+'Résultat (Ln)'!F$34*Données!V927+'Résultat (Ln)'!F$35*Données!W927+'Résultat (Ln)'!F$36*Données!X927+'Résultat (Ln)'!F$37*Données!Y927</f>
        <v>124588.09553093884</v>
      </c>
      <c r="AA927">
        <f t="shared" si="59"/>
        <v>9411.9044690611627</v>
      </c>
    </row>
    <row r="928" spans="1:27" x14ac:dyDescent="0.25">
      <c r="A928">
        <v>57000</v>
      </c>
      <c r="B928">
        <v>1</v>
      </c>
      <c r="C928">
        <v>29</v>
      </c>
      <c r="D928">
        <v>0</v>
      </c>
      <c r="E928">
        <v>63000</v>
      </c>
      <c r="F928">
        <v>2167</v>
      </c>
      <c r="G928">
        <v>0</v>
      </c>
      <c r="H928">
        <v>0</v>
      </c>
      <c r="I928">
        <v>0</v>
      </c>
      <c r="J928">
        <v>17</v>
      </c>
      <c r="K928">
        <v>1</v>
      </c>
      <c r="L928">
        <f>Résultats!G$32+Résultats!G$33*Données!C928+Résultats!G$34*Données!D928+Résultats!G$35*Données!E928+Résultats!G$36*Données!F928+Résultats!G$37*Données!G928+Résultats!G$38*Données!H928+Résultats!G$39*Données!I928</f>
        <v>63490.288138267431</v>
      </c>
      <c r="M928">
        <f t="shared" si="56"/>
        <v>-6490.2881382674313</v>
      </c>
      <c r="Q928">
        <v>980000</v>
      </c>
      <c r="R928">
        <v>1</v>
      </c>
      <c r="S928">
        <v>38</v>
      </c>
      <c r="T928">
        <v>0</v>
      </c>
      <c r="U928">
        <f t="shared" si="57"/>
        <v>13.541073712262515</v>
      </c>
      <c r="V928">
        <f t="shared" si="58"/>
        <v>9.7211259949421525</v>
      </c>
      <c r="W928">
        <v>1</v>
      </c>
      <c r="X928">
        <v>1</v>
      </c>
      <c r="Y928">
        <v>1</v>
      </c>
      <c r="Z928">
        <f>'Résultat (Ln)'!F$30+'Résultat (Ln)'!F$31*Données!S928+'Résultat (Ln)'!F$32*Données!T928+'Résultat (Ln)'!F$33*Données!U928+'Résultat (Ln)'!F$34*Données!V928+'Résultat (Ln)'!F$35*Données!W928+'Résultat (Ln)'!F$36*Données!X928+'Résultat (Ln)'!F$37*Données!Y928</f>
        <v>359210.70592640224</v>
      </c>
      <c r="AA928">
        <f t="shared" si="59"/>
        <v>620789.29407359776</v>
      </c>
    </row>
    <row r="929" spans="1:27" x14ac:dyDescent="0.25">
      <c r="A929">
        <v>135000</v>
      </c>
      <c r="B929">
        <v>1</v>
      </c>
      <c r="C929">
        <v>36</v>
      </c>
      <c r="D929">
        <v>0</v>
      </c>
      <c r="E929">
        <v>146000</v>
      </c>
      <c r="F929">
        <v>3042</v>
      </c>
      <c r="G929">
        <v>1</v>
      </c>
      <c r="H929">
        <v>0</v>
      </c>
      <c r="I929">
        <v>0</v>
      </c>
      <c r="J929">
        <v>22</v>
      </c>
      <c r="K929">
        <v>1</v>
      </c>
      <c r="L929">
        <f>Résultats!G$32+Résultats!G$33*Données!C929+Résultats!G$34*Données!D929+Résultats!G$35*Données!E929+Résultats!G$36*Données!F929+Résultats!G$37*Données!G929+Résultats!G$38*Données!H929+Résultats!G$39*Données!I929</f>
        <v>119000.28451800403</v>
      </c>
      <c r="M929">
        <f t="shared" si="56"/>
        <v>15999.715481995969</v>
      </c>
      <c r="Q929">
        <v>57000</v>
      </c>
      <c r="R929">
        <v>1</v>
      </c>
      <c r="S929">
        <v>29</v>
      </c>
      <c r="T929">
        <v>0</v>
      </c>
      <c r="U929">
        <f t="shared" si="57"/>
        <v>11.05089000537367</v>
      </c>
      <c r="V929">
        <f t="shared" si="58"/>
        <v>7.6810990015363592</v>
      </c>
      <c r="W929">
        <v>0</v>
      </c>
      <c r="X929">
        <v>0</v>
      </c>
      <c r="Y929">
        <v>0</v>
      </c>
      <c r="Z929">
        <f>'Résultat (Ln)'!F$30+'Résultat (Ln)'!F$31*Données!S929+'Résultat (Ln)'!F$32*Données!T929+'Résultat (Ln)'!F$33*Données!U929+'Résultat (Ln)'!F$34*Données!V929+'Résultat (Ln)'!F$35*Données!W929+'Résultat (Ln)'!F$36*Données!X929+'Résultat (Ln)'!F$37*Données!Y929</f>
        <v>5638.087086737185</v>
      </c>
      <c r="AA929">
        <f t="shared" si="59"/>
        <v>51361.912913262815</v>
      </c>
    </row>
    <row r="930" spans="1:27" x14ac:dyDescent="0.25">
      <c r="A930">
        <v>153000</v>
      </c>
      <c r="B930">
        <v>1</v>
      </c>
      <c r="C930">
        <v>35</v>
      </c>
      <c r="D930">
        <v>0</v>
      </c>
      <c r="E930">
        <v>170000</v>
      </c>
      <c r="F930">
        <v>1679</v>
      </c>
      <c r="G930">
        <v>0</v>
      </c>
      <c r="H930">
        <v>0</v>
      </c>
      <c r="I930">
        <v>0</v>
      </c>
      <c r="J930">
        <v>26</v>
      </c>
      <c r="K930">
        <v>1</v>
      </c>
      <c r="L930">
        <f>Résultats!G$32+Résultats!G$33*Données!C930+Résultats!G$34*Données!D930+Résultats!G$35*Données!E930+Résultats!G$36*Données!F930+Résultats!G$37*Données!G930+Résultats!G$38*Données!H930+Résultats!G$39*Données!I930</f>
        <v>119400.66992645533</v>
      </c>
      <c r="M930">
        <f t="shared" si="56"/>
        <v>33599.330073544668</v>
      </c>
      <c r="Q930">
        <v>135000</v>
      </c>
      <c r="R930">
        <v>1</v>
      </c>
      <c r="S930">
        <v>36</v>
      </c>
      <c r="T930">
        <v>0</v>
      </c>
      <c r="U930">
        <f t="shared" si="57"/>
        <v>11.891361900690473</v>
      </c>
      <c r="V930">
        <f t="shared" si="58"/>
        <v>8.020270472819238</v>
      </c>
      <c r="W930">
        <v>1</v>
      </c>
      <c r="X930">
        <v>0</v>
      </c>
      <c r="Y930">
        <v>0</v>
      </c>
      <c r="Z930">
        <f>'Résultat (Ln)'!F$30+'Résultat (Ln)'!F$31*Données!S930+'Résultat (Ln)'!F$32*Données!T930+'Résultat (Ln)'!F$33*Données!U930+'Résultat (Ln)'!F$34*Données!V930+'Résultat (Ln)'!F$35*Données!W930+'Résultat (Ln)'!F$36*Données!X930+'Résultat (Ln)'!F$37*Données!Y930</f>
        <v>118313.59842398636</v>
      </c>
      <c r="AA930">
        <f t="shared" si="59"/>
        <v>16686.401576013639</v>
      </c>
    </row>
    <row r="931" spans="1:27" x14ac:dyDescent="0.25">
      <c r="A931">
        <v>143000</v>
      </c>
      <c r="B931">
        <v>1</v>
      </c>
      <c r="C931">
        <v>29.39999961853027</v>
      </c>
      <c r="D931">
        <v>0</v>
      </c>
      <c r="E931">
        <v>180000</v>
      </c>
      <c r="F931">
        <v>5417</v>
      </c>
      <c r="G931">
        <v>0</v>
      </c>
      <c r="H931">
        <v>0</v>
      </c>
      <c r="I931">
        <v>1</v>
      </c>
      <c r="J931">
        <v>24.590000152587891</v>
      </c>
      <c r="K931">
        <v>0</v>
      </c>
      <c r="L931">
        <f>Résultats!G$32+Résultats!G$33*Données!C931+Résultats!G$34*Données!D931+Résultats!G$35*Données!E931+Résultats!G$36*Données!F931+Résultats!G$37*Données!G931+Résultats!G$38*Données!H931+Résultats!G$39*Données!I931</f>
        <v>134806.55408210331</v>
      </c>
      <c r="M931">
        <f t="shared" si="56"/>
        <v>8193.4459178966936</v>
      </c>
      <c r="Q931">
        <v>153000</v>
      </c>
      <c r="R931">
        <v>1</v>
      </c>
      <c r="S931">
        <v>35</v>
      </c>
      <c r="T931">
        <v>0</v>
      </c>
      <c r="U931">
        <f t="shared" si="57"/>
        <v>12.043553716032399</v>
      </c>
      <c r="V931">
        <f t="shared" si="58"/>
        <v>7.4259536570775406</v>
      </c>
      <c r="W931">
        <v>0</v>
      </c>
      <c r="X931">
        <v>0</v>
      </c>
      <c r="Y931">
        <v>0</v>
      </c>
      <c r="Z931">
        <f>'Résultat (Ln)'!F$30+'Résultat (Ln)'!F$31*Données!S931+'Résultat (Ln)'!F$32*Données!T931+'Résultat (Ln)'!F$33*Données!U931+'Résultat (Ln)'!F$34*Données!V931+'Résultat (Ln)'!F$35*Données!W931+'Résultat (Ln)'!F$36*Données!X931+'Résultat (Ln)'!F$37*Données!Y931</f>
        <v>112223.72811523426</v>
      </c>
      <c r="AA931">
        <f t="shared" si="59"/>
        <v>40776.271884765738</v>
      </c>
    </row>
    <row r="932" spans="1:27" x14ac:dyDescent="0.25">
      <c r="A932">
        <v>116000</v>
      </c>
      <c r="B932">
        <v>1</v>
      </c>
      <c r="C932">
        <v>36.900001525878913</v>
      </c>
      <c r="D932">
        <v>0</v>
      </c>
      <c r="E932">
        <v>146000</v>
      </c>
      <c r="F932">
        <v>2371</v>
      </c>
      <c r="G932">
        <v>1</v>
      </c>
      <c r="H932">
        <v>0</v>
      </c>
      <c r="I932">
        <v>0</v>
      </c>
      <c r="J932">
        <v>29.89999961853027</v>
      </c>
      <c r="K932">
        <v>1</v>
      </c>
      <c r="L932">
        <f>Résultats!G$32+Résultats!G$33*Données!C932+Résultats!G$34*Données!D932+Résultats!G$35*Données!E932+Résultats!G$36*Données!F932+Résultats!G$37*Données!G932+Résultats!G$38*Données!H932+Résultats!G$39*Données!I932</f>
        <v>118733.83428951973</v>
      </c>
      <c r="M932">
        <f t="shared" si="56"/>
        <v>-2733.8342895197275</v>
      </c>
      <c r="Q932">
        <v>143000</v>
      </c>
      <c r="R932">
        <v>1</v>
      </c>
      <c r="S932">
        <v>29.39999961853027</v>
      </c>
      <c r="T932">
        <v>0</v>
      </c>
      <c r="U932">
        <f t="shared" si="57"/>
        <v>12.100712129872347</v>
      </c>
      <c r="V932">
        <f t="shared" si="58"/>
        <v>8.5972974356578984</v>
      </c>
      <c r="W932">
        <v>0</v>
      </c>
      <c r="X932">
        <v>0</v>
      </c>
      <c r="Y932">
        <v>1</v>
      </c>
      <c r="Z932">
        <f>'Résultat (Ln)'!F$30+'Résultat (Ln)'!F$31*Données!S932+'Résultat (Ln)'!F$32*Données!T932+'Résultat (Ln)'!F$33*Données!U932+'Résultat (Ln)'!F$34*Données!V932+'Résultat (Ln)'!F$35*Données!W932+'Résultat (Ln)'!F$36*Données!X932+'Résultat (Ln)'!F$37*Données!Y932</f>
        <v>158445.62269407808</v>
      </c>
      <c r="AA932">
        <f t="shared" si="59"/>
        <v>-15445.622694078076</v>
      </c>
    </row>
    <row r="933" spans="1:27" x14ac:dyDescent="0.25">
      <c r="A933">
        <v>172000</v>
      </c>
      <c r="B933">
        <v>1</v>
      </c>
      <c r="C933">
        <v>35.599998474121087</v>
      </c>
      <c r="D933">
        <v>0</v>
      </c>
      <c r="E933">
        <v>216000</v>
      </c>
      <c r="F933">
        <v>2383</v>
      </c>
      <c r="G933">
        <v>1</v>
      </c>
      <c r="H933">
        <v>0</v>
      </c>
      <c r="I933">
        <v>0</v>
      </c>
      <c r="J933">
        <v>30.70000076293945</v>
      </c>
      <c r="K933">
        <v>1</v>
      </c>
      <c r="L933">
        <f>Résultats!G$32+Résultats!G$33*Données!C933+Résultats!G$34*Données!D933+Résultats!G$35*Données!E933+Résultats!G$36*Données!F933+Résultats!G$37*Données!G933+Résultats!G$38*Données!H933+Résultats!G$39*Données!I933</f>
        <v>149950.54154667535</v>
      </c>
      <c r="M933">
        <f t="shared" si="56"/>
        <v>22049.458453324653</v>
      </c>
      <c r="Q933">
        <v>116000</v>
      </c>
      <c r="R933">
        <v>1</v>
      </c>
      <c r="S933">
        <v>36.900001525878913</v>
      </c>
      <c r="T933">
        <v>0</v>
      </c>
      <c r="U933">
        <f t="shared" si="57"/>
        <v>11.891361900690473</v>
      </c>
      <c r="V933">
        <f t="shared" si="58"/>
        <v>7.7710670860654059</v>
      </c>
      <c r="W933">
        <v>1</v>
      </c>
      <c r="X933">
        <v>0</v>
      </c>
      <c r="Y933">
        <v>0</v>
      </c>
      <c r="Z933">
        <f>'Résultat (Ln)'!F$30+'Résultat (Ln)'!F$31*Données!S933+'Résultat (Ln)'!F$32*Données!T933+'Résultat (Ln)'!F$33*Données!U933+'Résultat (Ln)'!F$34*Données!V933+'Résultat (Ln)'!F$35*Données!W933+'Résultat (Ln)'!F$36*Données!X933+'Résultat (Ln)'!F$37*Données!Y933</f>
        <v>112424.33059067333</v>
      </c>
      <c r="AA933">
        <f t="shared" si="59"/>
        <v>3575.6694093266706</v>
      </c>
    </row>
    <row r="934" spans="1:27" x14ac:dyDescent="0.25">
      <c r="A934">
        <v>114000</v>
      </c>
      <c r="B934">
        <v>1</v>
      </c>
      <c r="C934">
        <v>18</v>
      </c>
      <c r="D934">
        <v>0</v>
      </c>
      <c r="E934">
        <v>113599.99847412109</v>
      </c>
      <c r="F934">
        <v>4238</v>
      </c>
      <c r="G934">
        <v>1</v>
      </c>
      <c r="H934">
        <v>0</v>
      </c>
      <c r="I934">
        <v>0</v>
      </c>
      <c r="J934">
        <v>15</v>
      </c>
      <c r="K934">
        <v>1</v>
      </c>
      <c r="L934">
        <f>Résultats!G$32+Résultats!G$33*Données!C934+Résultats!G$34*Données!D934+Résultats!G$35*Données!E934+Résultats!G$36*Données!F934+Résultats!G$37*Données!G934+Résultats!G$38*Données!H934+Résultats!G$39*Données!I934</f>
        <v>85512.524765821756</v>
      </c>
      <c r="M934">
        <f t="shared" si="56"/>
        <v>28487.475234178244</v>
      </c>
      <c r="Q934">
        <v>172000</v>
      </c>
      <c r="R934">
        <v>1</v>
      </c>
      <c r="S934">
        <v>35.599998474121087</v>
      </c>
      <c r="T934">
        <v>0</v>
      </c>
      <c r="U934">
        <f t="shared" si="57"/>
        <v>12.283033686666302</v>
      </c>
      <c r="V934">
        <f t="shared" si="58"/>
        <v>7.7761154770987417</v>
      </c>
      <c r="W934">
        <v>1</v>
      </c>
      <c r="X934">
        <v>0</v>
      </c>
      <c r="Y934">
        <v>0</v>
      </c>
      <c r="Z934">
        <f>'Résultat (Ln)'!F$30+'Résultat (Ln)'!F$31*Données!S934+'Résultat (Ln)'!F$32*Données!T934+'Résultat (Ln)'!F$33*Données!U934+'Résultat (Ln)'!F$34*Données!V934+'Résultat (Ln)'!F$35*Données!W934+'Résultat (Ln)'!F$36*Données!X934+'Résultat (Ln)'!F$37*Données!Y934</f>
        <v>152962.73866628521</v>
      </c>
      <c r="AA934">
        <f t="shared" si="59"/>
        <v>19037.261333714792</v>
      </c>
    </row>
    <row r="935" spans="1:27" x14ac:dyDescent="0.25">
      <c r="A935">
        <v>110000</v>
      </c>
      <c r="B935">
        <v>1</v>
      </c>
      <c r="C935">
        <v>33</v>
      </c>
      <c r="D935">
        <v>0</v>
      </c>
      <c r="E935">
        <v>235000</v>
      </c>
      <c r="F935">
        <v>4416</v>
      </c>
      <c r="G935">
        <v>1</v>
      </c>
      <c r="H935">
        <v>0</v>
      </c>
      <c r="I935">
        <v>0</v>
      </c>
      <c r="J935">
        <v>27.420000076293949</v>
      </c>
      <c r="K935">
        <v>1</v>
      </c>
      <c r="L935">
        <f>Résultats!G$32+Résultats!G$33*Données!C935+Résultats!G$34*Données!D935+Résultats!G$35*Données!E935+Résultats!G$36*Données!F935+Résultats!G$37*Données!G935+Résultats!G$38*Données!H935+Résultats!G$39*Données!I935</f>
        <v>159775.6341330625</v>
      </c>
      <c r="M935">
        <f t="shared" si="56"/>
        <v>-49775.6341330625</v>
      </c>
      <c r="Q935">
        <v>114000</v>
      </c>
      <c r="R935">
        <v>1</v>
      </c>
      <c r="S935">
        <v>18</v>
      </c>
      <c r="T935">
        <v>0</v>
      </c>
      <c r="U935">
        <f t="shared" si="57"/>
        <v>11.640438771837156</v>
      </c>
      <c r="V935">
        <f t="shared" si="58"/>
        <v>8.3518467388282449</v>
      </c>
      <c r="W935">
        <v>1</v>
      </c>
      <c r="X935">
        <v>0</v>
      </c>
      <c r="Y935">
        <v>0</v>
      </c>
      <c r="Z935">
        <f>'Résultat (Ln)'!F$30+'Résultat (Ln)'!F$31*Données!S935+'Résultat (Ln)'!F$32*Données!T935+'Résultat (Ln)'!F$33*Données!U935+'Résultat (Ln)'!F$34*Données!V935+'Résultat (Ln)'!F$35*Données!W935+'Résultat (Ln)'!F$36*Données!X935+'Résultat (Ln)'!F$37*Données!Y935</f>
        <v>78718.333337079923</v>
      </c>
      <c r="AA935">
        <f t="shared" si="59"/>
        <v>35281.666662920077</v>
      </c>
    </row>
    <row r="936" spans="1:27" x14ac:dyDescent="0.25">
      <c r="A936">
        <v>94000</v>
      </c>
      <c r="B936">
        <v>1</v>
      </c>
      <c r="C936">
        <v>28.70000076293945</v>
      </c>
      <c r="D936">
        <v>1</v>
      </c>
      <c r="E936">
        <v>118000</v>
      </c>
      <c r="F936">
        <v>1750</v>
      </c>
      <c r="G936">
        <v>1</v>
      </c>
      <c r="H936">
        <v>0</v>
      </c>
      <c r="I936">
        <v>1</v>
      </c>
      <c r="J936">
        <v>19.920000076293949</v>
      </c>
      <c r="K936">
        <v>0</v>
      </c>
      <c r="L936">
        <f>Résultats!G$32+Résultats!G$33*Données!C936+Résultats!G$34*Données!D936+Résultats!G$35*Données!E936+Résultats!G$36*Données!F936+Résultats!G$37*Données!G936+Résultats!G$38*Données!H936+Résultats!G$39*Données!I936</f>
        <v>109810.38439968</v>
      </c>
      <c r="M936">
        <f t="shared" si="56"/>
        <v>-15810.384399679999</v>
      </c>
      <c r="Q936">
        <v>110000</v>
      </c>
      <c r="R936">
        <v>1</v>
      </c>
      <c r="S936">
        <v>33</v>
      </c>
      <c r="T936">
        <v>0</v>
      </c>
      <c r="U936">
        <f t="shared" si="57"/>
        <v>12.367340793126296</v>
      </c>
      <c r="V936">
        <f t="shared" si="58"/>
        <v>8.3929895879569312</v>
      </c>
      <c r="W936">
        <v>1</v>
      </c>
      <c r="X936">
        <v>0</v>
      </c>
      <c r="Y936">
        <v>0</v>
      </c>
      <c r="Z936">
        <f>'Résultat (Ln)'!F$30+'Résultat (Ln)'!F$31*Données!S936+'Résultat (Ln)'!F$32*Données!T936+'Résultat (Ln)'!F$33*Données!U936+'Résultat (Ln)'!F$34*Données!V936+'Résultat (Ln)'!F$35*Données!W936+'Résultat (Ln)'!F$36*Données!X936+'Résultat (Ln)'!F$37*Données!Y936</f>
        <v>176123.50558560566</v>
      </c>
      <c r="AA936">
        <f t="shared" si="59"/>
        <v>-66123.505585605657</v>
      </c>
    </row>
    <row r="937" spans="1:27" x14ac:dyDescent="0.25">
      <c r="A937">
        <v>75000</v>
      </c>
      <c r="B937">
        <v>1</v>
      </c>
      <c r="C937">
        <v>20</v>
      </c>
      <c r="D937">
        <v>0</v>
      </c>
      <c r="E937">
        <v>75000</v>
      </c>
      <c r="F937">
        <v>6600</v>
      </c>
      <c r="G937">
        <v>0</v>
      </c>
      <c r="H937">
        <v>0</v>
      </c>
      <c r="I937">
        <v>1</v>
      </c>
      <c r="J937">
        <v>13</v>
      </c>
      <c r="K937">
        <v>1</v>
      </c>
      <c r="L937">
        <f>Résultats!G$32+Résultats!G$33*Données!C937+Résultats!G$34*Données!D937+Résultats!G$35*Données!E937+Résultats!G$36*Données!F937+Résultats!G$37*Données!G937+Résultats!G$38*Données!H937+Résultats!G$39*Données!I937</f>
        <v>77271.362199643641</v>
      </c>
      <c r="M937">
        <f t="shared" si="56"/>
        <v>-2271.3621996436414</v>
      </c>
      <c r="Q937">
        <v>94000</v>
      </c>
      <c r="R937">
        <v>1</v>
      </c>
      <c r="S937">
        <v>28.70000076293945</v>
      </c>
      <c r="T937">
        <v>1</v>
      </c>
      <c r="U937">
        <f t="shared" si="57"/>
        <v>11.678439903447801</v>
      </c>
      <c r="V937">
        <f t="shared" si="58"/>
        <v>7.4673710669175595</v>
      </c>
      <c r="W937">
        <v>1</v>
      </c>
      <c r="X937">
        <v>0</v>
      </c>
      <c r="Y937">
        <v>1</v>
      </c>
      <c r="Z937">
        <f>'Résultat (Ln)'!F$30+'Résultat (Ln)'!F$31*Données!S937+'Résultat (Ln)'!F$32*Données!T937+'Résultat (Ln)'!F$33*Données!U937+'Résultat (Ln)'!F$34*Données!V937+'Résultat (Ln)'!F$35*Données!W937+'Résultat (Ln)'!F$36*Données!X937+'Résultat (Ln)'!F$37*Données!Y937</f>
        <v>89497.646882352114</v>
      </c>
      <c r="AA937">
        <f t="shared" si="59"/>
        <v>4502.3531176478864</v>
      </c>
    </row>
    <row r="938" spans="1:27" x14ac:dyDescent="0.25">
      <c r="A938">
        <v>313000</v>
      </c>
      <c r="B938">
        <v>1</v>
      </c>
      <c r="C938">
        <v>39</v>
      </c>
      <c r="D938">
        <v>0</v>
      </c>
      <c r="E938">
        <v>391000</v>
      </c>
      <c r="F938">
        <v>21022</v>
      </c>
      <c r="G938">
        <v>1</v>
      </c>
      <c r="H938">
        <v>0</v>
      </c>
      <c r="I938">
        <v>0</v>
      </c>
      <c r="J938">
        <v>15</v>
      </c>
      <c r="K938">
        <v>1</v>
      </c>
      <c r="L938">
        <f>Résultats!G$32+Résultats!G$33*Données!C938+Résultats!G$34*Données!D938+Résultats!G$35*Données!E938+Résultats!G$36*Données!F938+Résultats!G$37*Données!G938+Résultats!G$38*Données!H938+Résultats!G$39*Données!I938</f>
        <v>271691.26331643877</v>
      </c>
      <c r="M938">
        <f t="shared" si="56"/>
        <v>41308.736683561234</v>
      </c>
      <c r="Q938">
        <v>75000</v>
      </c>
      <c r="R938">
        <v>1</v>
      </c>
      <c r="S938">
        <v>20</v>
      </c>
      <c r="T938">
        <v>0</v>
      </c>
      <c r="U938">
        <f t="shared" si="57"/>
        <v>11.225243392518447</v>
      </c>
      <c r="V938">
        <f t="shared" si="58"/>
        <v>8.794824928014517</v>
      </c>
      <c r="W938">
        <v>0</v>
      </c>
      <c r="X938">
        <v>0</v>
      </c>
      <c r="Y938">
        <v>1</v>
      </c>
      <c r="Z938">
        <f>'Résultat (Ln)'!F$30+'Résultat (Ln)'!F$31*Données!S938+'Résultat (Ln)'!F$32*Données!T938+'Résultat (Ln)'!F$33*Données!U938+'Résultat (Ln)'!F$34*Données!V938+'Résultat (Ln)'!F$35*Données!W938+'Résultat (Ln)'!F$36*Données!X938+'Résultat (Ln)'!F$37*Données!Y938</f>
        <v>58651.886030365684</v>
      </c>
      <c r="AA938">
        <f t="shared" si="59"/>
        <v>16348.113969634316</v>
      </c>
    </row>
    <row r="939" spans="1:27" x14ac:dyDescent="0.25">
      <c r="A939">
        <v>200000</v>
      </c>
      <c r="B939">
        <v>1</v>
      </c>
      <c r="C939">
        <v>30.79999923706055</v>
      </c>
      <c r="D939">
        <v>0</v>
      </c>
      <c r="E939">
        <v>250000</v>
      </c>
      <c r="F939">
        <v>6875</v>
      </c>
      <c r="G939">
        <v>1</v>
      </c>
      <c r="H939">
        <v>0</v>
      </c>
      <c r="I939">
        <v>0</v>
      </c>
      <c r="J939">
        <v>30.79999923706055</v>
      </c>
      <c r="K939">
        <v>1</v>
      </c>
      <c r="L939">
        <f>Résultats!G$32+Résultats!G$33*Données!C939+Résultats!G$34*Données!D939+Résultats!G$35*Données!E939+Résultats!G$36*Données!F939+Résultats!G$37*Données!G939+Résultats!G$38*Données!H939+Résultats!G$39*Données!I939</f>
        <v>169017.87658512039</v>
      </c>
      <c r="M939">
        <f t="shared" si="56"/>
        <v>30982.123414879607</v>
      </c>
      <c r="Q939">
        <v>313000</v>
      </c>
      <c r="R939">
        <v>1</v>
      </c>
      <c r="S939">
        <v>39</v>
      </c>
      <c r="T939">
        <v>0</v>
      </c>
      <c r="U939">
        <f t="shared" si="57"/>
        <v>12.876462838967504</v>
      </c>
      <c r="V939">
        <f t="shared" si="58"/>
        <v>9.9533247873833002</v>
      </c>
      <c r="W939">
        <v>1</v>
      </c>
      <c r="X939">
        <v>0</v>
      </c>
      <c r="Y939">
        <v>0</v>
      </c>
      <c r="Z939">
        <f>'Résultat (Ln)'!F$30+'Résultat (Ln)'!F$31*Données!S939+'Résultat (Ln)'!F$32*Données!T939+'Résultat (Ln)'!F$33*Données!U939+'Résultat (Ln)'!F$34*Données!V939+'Résultat (Ln)'!F$35*Données!W939+'Résultat (Ln)'!F$36*Données!X939+'Résultat (Ln)'!F$37*Données!Y939</f>
        <v>281792.2152978222</v>
      </c>
      <c r="AA939">
        <f t="shared" si="59"/>
        <v>31207.7847021778</v>
      </c>
    </row>
    <row r="940" spans="1:27" x14ac:dyDescent="0.25">
      <c r="A940">
        <v>135000</v>
      </c>
      <c r="B940">
        <v>1</v>
      </c>
      <c r="C940">
        <v>30</v>
      </c>
      <c r="D940">
        <v>0</v>
      </c>
      <c r="E940">
        <v>255000</v>
      </c>
      <c r="F940">
        <v>4666</v>
      </c>
      <c r="G940">
        <v>1</v>
      </c>
      <c r="H940">
        <v>0</v>
      </c>
      <c r="I940">
        <v>0</v>
      </c>
      <c r="J940">
        <v>30</v>
      </c>
      <c r="K940">
        <v>0</v>
      </c>
      <c r="L940">
        <f>Résultats!G$32+Résultats!G$33*Données!C940+Résultats!G$34*Données!D940+Résultats!G$35*Données!E940+Résultats!G$36*Données!F940+Résultats!G$37*Données!G940+Résultats!G$38*Données!H940+Résultats!G$39*Données!I940</f>
        <v>166153.13521060065</v>
      </c>
      <c r="M940">
        <f t="shared" si="56"/>
        <v>-31153.135210600652</v>
      </c>
      <c r="Q940">
        <v>200000</v>
      </c>
      <c r="R940">
        <v>1</v>
      </c>
      <c r="S940">
        <v>30.79999923706055</v>
      </c>
      <c r="T940">
        <v>0</v>
      </c>
      <c r="U940">
        <f t="shared" si="57"/>
        <v>12.429216196844383</v>
      </c>
      <c r="V940">
        <f t="shared" si="58"/>
        <v>8.8356469225347727</v>
      </c>
      <c r="W940">
        <v>1</v>
      </c>
      <c r="X940">
        <v>0</v>
      </c>
      <c r="Y940">
        <v>0</v>
      </c>
      <c r="Z940">
        <f>'Résultat (Ln)'!F$30+'Résultat (Ln)'!F$31*Données!S940+'Résultat (Ln)'!F$32*Données!T940+'Résultat (Ln)'!F$33*Données!U940+'Résultat (Ln)'!F$34*Données!V940+'Résultat (Ln)'!F$35*Données!W940+'Résultat (Ln)'!F$36*Données!X940+'Résultat (Ln)'!F$37*Données!Y940</f>
        <v>192482.4593909856</v>
      </c>
      <c r="AA940">
        <f t="shared" si="59"/>
        <v>7517.5406090143952</v>
      </c>
    </row>
    <row r="941" spans="1:27" x14ac:dyDescent="0.25">
      <c r="A941">
        <v>151000</v>
      </c>
      <c r="B941">
        <v>1</v>
      </c>
      <c r="C941">
        <v>37.799999237060547</v>
      </c>
      <c r="D941">
        <v>0</v>
      </c>
      <c r="E941">
        <v>168000</v>
      </c>
      <c r="F941">
        <v>5000</v>
      </c>
      <c r="G941">
        <v>0</v>
      </c>
      <c r="H941">
        <v>0</v>
      </c>
      <c r="I941">
        <v>1</v>
      </c>
      <c r="J941">
        <v>22.860000610351559</v>
      </c>
      <c r="K941">
        <v>0</v>
      </c>
      <c r="L941">
        <f>Résultats!G$32+Résultats!G$33*Données!C941+Résultats!G$34*Données!D941+Résultats!G$35*Données!E941+Résultats!G$36*Données!F941+Résultats!G$37*Données!G941+Résultats!G$38*Données!H941+Résultats!G$39*Données!I941</f>
        <v>138043.88827291771</v>
      </c>
      <c r="M941">
        <f t="shared" si="56"/>
        <v>12956.111727082287</v>
      </c>
      <c r="Q941">
        <v>135000</v>
      </c>
      <c r="R941">
        <v>1</v>
      </c>
      <c r="S941">
        <v>30</v>
      </c>
      <c r="T941">
        <v>0</v>
      </c>
      <c r="U941">
        <f t="shared" si="57"/>
        <v>12.449018824140563</v>
      </c>
      <c r="V941">
        <f t="shared" si="58"/>
        <v>8.4480574525813754</v>
      </c>
      <c r="W941">
        <v>1</v>
      </c>
      <c r="X941">
        <v>0</v>
      </c>
      <c r="Y941">
        <v>0</v>
      </c>
      <c r="Z941">
        <f>'Résultat (Ln)'!F$30+'Résultat (Ln)'!F$31*Données!S941+'Résultat (Ln)'!F$32*Données!T941+'Résultat (Ln)'!F$33*Données!U941+'Résultat (Ln)'!F$34*Données!V941+'Résultat (Ln)'!F$35*Données!W941+'Résultat (Ln)'!F$36*Données!X941+'Résultat (Ln)'!F$37*Données!Y941</f>
        <v>182757.32739893888</v>
      </c>
      <c r="AA941">
        <f t="shared" si="59"/>
        <v>-47757.327398938884</v>
      </c>
    </row>
    <row r="942" spans="1:27" x14ac:dyDescent="0.25">
      <c r="A942">
        <v>155000</v>
      </c>
      <c r="B942">
        <v>1</v>
      </c>
      <c r="C942">
        <v>31</v>
      </c>
      <c r="D942">
        <v>0</v>
      </c>
      <c r="E942">
        <v>215000</v>
      </c>
      <c r="F942">
        <v>5208</v>
      </c>
      <c r="G942">
        <v>0</v>
      </c>
      <c r="H942">
        <v>0</v>
      </c>
      <c r="I942">
        <v>0</v>
      </c>
      <c r="J942">
        <v>30</v>
      </c>
      <c r="K942">
        <v>1</v>
      </c>
      <c r="L942">
        <f>Résultats!G$32+Résultats!G$33*Données!C942+Résultats!G$34*Données!D942+Résultats!G$35*Données!E942+Résultats!G$36*Données!F942+Résultats!G$37*Données!G942+Résultats!G$38*Données!H942+Résultats!G$39*Données!I942</f>
        <v>142657.33711400459</v>
      </c>
      <c r="M942">
        <f t="shared" si="56"/>
        <v>12342.662885995407</v>
      </c>
      <c r="Q942">
        <v>151000</v>
      </c>
      <c r="R942">
        <v>1</v>
      </c>
      <c r="S942">
        <v>37.799999237060547</v>
      </c>
      <c r="T942">
        <v>0</v>
      </c>
      <c r="U942">
        <f t="shared" si="57"/>
        <v>12.031719258385396</v>
      </c>
      <c r="V942">
        <f t="shared" si="58"/>
        <v>8.5171931914162382</v>
      </c>
      <c r="W942">
        <v>0</v>
      </c>
      <c r="X942">
        <v>0</v>
      </c>
      <c r="Y942">
        <v>1</v>
      </c>
      <c r="Z942">
        <f>'Résultat (Ln)'!F$30+'Résultat (Ln)'!F$31*Données!S942+'Résultat (Ln)'!F$32*Données!T942+'Résultat (Ln)'!F$33*Données!U942+'Résultat (Ln)'!F$34*Données!V942+'Résultat (Ln)'!F$35*Données!W942+'Résultat (Ln)'!F$36*Données!X942+'Résultat (Ln)'!F$37*Données!Y942</f>
        <v>159068.44939280019</v>
      </c>
      <c r="AA942">
        <f t="shared" si="59"/>
        <v>-8068.4493928001903</v>
      </c>
    </row>
    <row r="943" spans="1:27" x14ac:dyDescent="0.25">
      <c r="A943">
        <v>285000</v>
      </c>
      <c r="B943">
        <v>1</v>
      </c>
      <c r="C943">
        <v>28</v>
      </c>
      <c r="D943">
        <v>0</v>
      </c>
      <c r="E943">
        <v>375000</v>
      </c>
      <c r="F943">
        <v>9617</v>
      </c>
      <c r="G943">
        <v>1</v>
      </c>
      <c r="H943">
        <v>0</v>
      </c>
      <c r="I943">
        <v>1</v>
      </c>
      <c r="J943">
        <v>28</v>
      </c>
      <c r="K943">
        <v>1</v>
      </c>
      <c r="L943">
        <f>Résultats!G$32+Résultats!G$33*Données!C943+Résultats!G$34*Données!D943+Résultats!G$35*Données!E943+Résultats!G$36*Données!F943+Résultats!G$37*Données!G943+Résultats!G$38*Données!H943+Résultats!G$39*Données!I943</f>
        <v>239409.62879790546</v>
      </c>
      <c r="M943">
        <f t="shared" si="56"/>
        <v>45590.371202094539</v>
      </c>
      <c r="Q943">
        <v>155000</v>
      </c>
      <c r="R943">
        <v>1</v>
      </c>
      <c r="S943">
        <v>31</v>
      </c>
      <c r="T943">
        <v>0</v>
      </c>
      <c r="U943">
        <f t="shared" si="57"/>
        <v>12.2783933071098</v>
      </c>
      <c r="V943">
        <f t="shared" si="58"/>
        <v>8.5579511838884059</v>
      </c>
      <c r="W943">
        <v>0</v>
      </c>
      <c r="X943">
        <v>0</v>
      </c>
      <c r="Y943">
        <v>0</v>
      </c>
      <c r="Z943">
        <f>'Résultat (Ln)'!F$30+'Résultat (Ln)'!F$31*Données!S943+'Résultat (Ln)'!F$32*Données!T943+'Résultat (Ln)'!F$33*Données!U943+'Résultat (Ln)'!F$34*Données!V943+'Résultat (Ln)'!F$35*Données!W943+'Résultat (Ln)'!F$36*Données!X943+'Résultat (Ln)'!F$37*Données!Y943</f>
        <v>164257.09539377465</v>
      </c>
      <c r="AA943">
        <f t="shared" si="59"/>
        <v>-9257.0953937746526</v>
      </c>
    </row>
    <row r="944" spans="1:27" x14ac:dyDescent="0.25">
      <c r="A944">
        <v>162000</v>
      </c>
      <c r="B944">
        <v>1</v>
      </c>
      <c r="C944">
        <v>35</v>
      </c>
      <c r="D944">
        <v>0</v>
      </c>
      <c r="E944">
        <v>162000</v>
      </c>
      <c r="F944">
        <v>4841</v>
      </c>
      <c r="G944">
        <v>0</v>
      </c>
      <c r="H944">
        <v>0</v>
      </c>
      <c r="I944">
        <v>0</v>
      </c>
      <c r="J944">
        <v>34</v>
      </c>
      <c r="K944">
        <v>1</v>
      </c>
      <c r="L944">
        <f>Résultats!G$32+Résultats!G$33*Données!C944+Résultats!G$34*Données!D944+Résultats!G$35*Données!E944+Résultats!G$36*Données!F944+Résultats!G$37*Données!G944+Résultats!G$38*Données!H944+Résultats!G$39*Données!I944</f>
        <v>121792.32742759428</v>
      </c>
      <c r="M944">
        <f t="shared" si="56"/>
        <v>40207.672572405718</v>
      </c>
      <c r="Q944">
        <v>285000</v>
      </c>
      <c r="R944">
        <v>1</v>
      </c>
      <c r="S944">
        <v>28</v>
      </c>
      <c r="T944">
        <v>0</v>
      </c>
      <c r="U944">
        <f t="shared" si="57"/>
        <v>12.834681304952548</v>
      </c>
      <c r="V944">
        <f t="shared" si="58"/>
        <v>9.171287644712482</v>
      </c>
      <c r="W944">
        <v>1</v>
      </c>
      <c r="X944">
        <v>0</v>
      </c>
      <c r="Y944">
        <v>1</v>
      </c>
      <c r="Z944">
        <f>'Résultat (Ln)'!F$30+'Résultat (Ln)'!F$31*Données!S944+'Résultat (Ln)'!F$32*Données!T944+'Résultat (Ln)'!F$33*Données!U944+'Résultat (Ln)'!F$34*Données!V944+'Résultat (Ln)'!F$35*Données!W944+'Résultat (Ln)'!F$36*Données!X944+'Résultat (Ln)'!F$37*Données!Y944</f>
        <v>256025.04862062261</v>
      </c>
      <c r="AA944">
        <f t="shared" si="59"/>
        <v>28974.951379377395</v>
      </c>
    </row>
    <row r="945" spans="1:27" x14ac:dyDescent="0.25">
      <c r="A945">
        <v>79000</v>
      </c>
      <c r="B945">
        <v>1</v>
      </c>
      <c r="C945">
        <v>32</v>
      </c>
      <c r="D945">
        <v>0</v>
      </c>
      <c r="E945">
        <v>83000</v>
      </c>
      <c r="F945">
        <v>3564</v>
      </c>
      <c r="G945">
        <v>1</v>
      </c>
      <c r="H945">
        <v>0</v>
      </c>
      <c r="I945">
        <v>0</v>
      </c>
      <c r="J945">
        <v>24</v>
      </c>
      <c r="K945">
        <v>0</v>
      </c>
      <c r="L945">
        <f>Résultats!G$32+Résultats!G$33*Données!C945+Résultats!G$34*Données!D945+Résultats!G$35*Données!E945+Résultats!G$36*Données!F945+Résultats!G$37*Données!G945+Résultats!G$38*Données!H945+Résultats!G$39*Données!I945</f>
        <v>85999.072080082566</v>
      </c>
      <c r="M945">
        <f t="shared" si="56"/>
        <v>-6999.0720800825657</v>
      </c>
      <c r="Q945">
        <v>162000</v>
      </c>
      <c r="R945">
        <v>1</v>
      </c>
      <c r="S945">
        <v>35</v>
      </c>
      <c r="T945">
        <v>0</v>
      </c>
      <c r="U945">
        <f t="shared" si="57"/>
        <v>11.99535161421452</v>
      </c>
      <c r="V945">
        <f t="shared" si="58"/>
        <v>8.4848765899396952</v>
      </c>
      <c r="W945">
        <v>0</v>
      </c>
      <c r="X945">
        <v>0</v>
      </c>
      <c r="Y945">
        <v>0</v>
      </c>
      <c r="Z945">
        <f>'Résultat (Ln)'!F$30+'Résultat (Ln)'!F$31*Données!S945+'Résultat (Ln)'!F$32*Données!T945+'Résultat (Ln)'!F$33*Données!U945+'Résultat (Ln)'!F$34*Données!V945+'Résultat (Ln)'!F$35*Données!W945+'Résultat (Ln)'!F$36*Données!X945+'Résultat (Ln)'!F$37*Données!Y945</f>
        <v>136755.00976344512</v>
      </c>
      <c r="AA945">
        <f t="shared" si="59"/>
        <v>25244.990236554877</v>
      </c>
    </row>
    <row r="946" spans="1:27" x14ac:dyDescent="0.25">
      <c r="A946">
        <v>135000</v>
      </c>
      <c r="B946">
        <v>1</v>
      </c>
      <c r="C946">
        <v>31.70000076293945</v>
      </c>
      <c r="D946">
        <v>0</v>
      </c>
      <c r="E946">
        <v>150000</v>
      </c>
      <c r="F946">
        <v>3480</v>
      </c>
      <c r="G946">
        <v>1</v>
      </c>
      <c r="H946">
        <v>0</v>
      </c>
      <c r="I946">
        <v>1</v>
      </c>
      <c r="J946">
        <v>24.60000038146973</v>
      </c>
      <c r="K946">
        <v>1</v>
      </c>
      <c r="L946">
        <f>Résultats!G$32+Résultats!G$33*Données!C946+Résultats!G$34*Données!D946+Résultats!G$35*Données!E946+Résultats!G$36*Données!F946+Résultats!G$37*Données!G946+Résultats!G$38*Données!H946+Résultats!G$39*Données!I946</f>
        <v>126703.02356202406</v>
      </c>
      <c r="M946">
        <f t="shared" si="56"/>
        <v>8296.9764379759436</v>
      </c>
      <c r="Q946">
        <v>79000</v>
      </c>
      <c r="R946">
        <v>1</v>
      </c>
      <c r="S946">
        <v>32</v>
      </c>
      <c r="T946">
        <v>0</v>
      </c>
      <c r="U946">
        <f t="shared" si="57"/>
        <v>11.326595886778735</v>
      </c>
      <c r="V946">
        <f t="shared" si="58"/>
        <v>8.1786387885906997</v>
      </c>
      <c r="W946">
        <v>1</v>
      </c>
      <c r="X946">
        <v>0</v>
      </c>
      <c r="Y946">
        <v>0</v>
      </c>
      <c r="Z946">
        <f>'Résultat (Ln)'!F$30+'Résultat (Ln)'!F$31*Données!S946+'Résultat (Ln)'!F$32*Données!T946+'Résultat (Ln)'!F$33*Données!U946+'Résultat (Ln)'!F$34*Données!V946+'Résultat (Ln)'!F$35*Données!W946+'Résultat (Ln)'!F$36*Données!X946+'Résultat (Ln)'!F$37*Données!Y946</f>
        <v>57326.586791168134</v>
      </c>
      <c r="AA946">
        <f t="shared" si="59"/>
        <v>21673.413208831866</v>
      </c>
    </row>
    <row r="947" spans="1:27" x14ac:dyDescent="0.25">
      <c r="A947">
        <v>110000</v>
      </c>
      <c r="B947">
        <v>1</v>
      </c>
      <c r="C947">
        <v>32.799999237060547</v>
      </c>
      <c r="D947">
        <v>0</v>
      </c>
      <c r="E947">
        <v>137000</v>
      </c>
      <c r="F947">
        <v>3958</v>
      </c>
      <c r="G947">
        <v>0</v>
      </c>
      <c r="H947">
        <v>0</v>
      </c>
      <c r="I947">
        <v>0</v>
      </c>
      <c r="J947">
        <v>30.75</v>
      </c>
      <c r="K947">
        <v>0</v>
      </c>
      <c r="L947">
        <f>Résultats!G$32+Résultats!G$33*Données!C947+Résultats!G$34*Données!D947+Résultats!G$35*Données!E947+Résultats!G$36*Données!F947+Résultats!G$37*Données!G947+Résultats!G$38*Données!H947+Résultats!G$39*Données!I947</f>
        <v>105880.35375639143</v>
      </c>
      <c r="M947">
        <f t="shared" si="56"/>
        <v>4119.6462436085712</v>
      </c>
      <c r="Q947">
        <v>135000</v>
      </c>
      <c r="R947">
        <v>1</v>
      </c>
      <c r="S947">
        <v>31.70000076293945</v>
      </c>
      <c r="T947">
        <v>0</v>
      </c>
      <c r="U947">
        <f t="shared" si="57"/>
        <v>11.918390573078392</v>
      </c>
      <c r="V947">
        <f t="shared" si="58"/>
        <v>8.1547875727685195</v>
      </c>
      <c r="W947">
        <v>1</v>
      </c>
      <c r="X947">
        <v>0</v>
      </c>
      <c r="Y947">
        <v>1</v>
      </c>
      <c r="Z947">
        <f>'Résultat (Ln)'!F$30+'Résultat (Ln)'!F$31*Données!S947+'Résultat (Ln)'!F$32*Données!T947+'Résultat (Ln)'!F$33*Données!U947+'Résultat (Ln)'!F$34*Données!V947+'Résultat (Ln)'!F$35*Données!W947+'Résultat (Ln)'!F$36*Données!X947+'Résultat (Ln)'!F$37*Données!Y947</f>
        <v>133815.74667755701</v>
      </c>
      <c r="AA947">
        <f t="shared" si="59"/>
        <v>1184.2533224429935</v>
      </c>
    </row>
    <row r="948" spans="1:27" x14ac:dyDescent="0.25">
      <c r="A948">
        <v>170000</v>
      </c>
      <c r="B948">
        <v>1</v>
      </c>
      <c r="C948">
        <v>43.099998474121087</v>
      </c>
      <c r="D948">
        <v>0</v>
      </c>
      <c r="E948">
        <v>253000</v>
      </c>
      <c r="F948">
        <v>9166</v>
      </c>
      <c r="G948">
        <v>1</v>
      </c>
      <c r="H948">
        <v>1</v>
      </c>
      <c r="I948">
        <v>1</v>
      </c>
      <c r="J948">
        <v>18.5</v>
      </c>
      <c r="K948">
        <v>1</v>
      </c>
      <c r="L948">
        <f>Résultats!G$32+Résultats!G$33*Données!C948+Résultats!G$34*Données!D948+Résultats!G$35*Données!E948+Résultats!G$36*Données!F948+Résultats!G$37*Données!G948+Résultats!G$38*Données!H948+Résultats!G$39*Données!I948</f>
        <v>197287.03241065843</v>
      </c>
      <c r="M948">
        <f t="shared" si="56"/>
        <v>-27287.03241065843</v>
      </c>
      <c r="Q948">
        <v>110000</v>
      </c>
      <c r="R948">
        <v>1</v>
      </c>
      <c r="S948">
        <v>32.799999237060547</v>
      </c>
      <c r="T948">
        <v>0</v>
      </c>
      <c r="U948">
        <f t="shared" si="57"/>
        <v>11.827736204810263</v>
      </c>
      <c r="V948">
        <f t="shared" si="58"/>
        <v>8.2834941261625108</v>
      </c>
      <c r="W948">
        <v>0</v>
      </c>
      <c r="X948">
        <v>0</v>
      </c>
      <c r="Y948">
        <v>0</v>
      </c>
      <c r="Z948">
        <f>'Résultat (Ln)'!F$30+'Résultat (Ln)'!F$31*Données!S948+'Résultat (Ln)'!F$32*Données!T948+'Résultat (Ln)'!F$33*Données!U948+'Résultat (Ln)'!F$34*Données!V948+'Résultat (Ln)'!F$35*Données!W948+'Résultat (Ln)'!F$36*Données!X948+'Résultat (Ln)'!F$37*Données!Y948</f>
        <v>110450.95908243963</v>
      </c>
      <c r="AA948">
        <f t="shared" si="59"/>
        <v>-450.95908243962913</v>
      </c>
    </row>
    <row r="949" spans="1:27" x14ac:dyDescent="0.25">
      <c r="A949">
        <v>113000</v>
      </c>
      <c r="B949">
        <v>1</v>
      </c>
      <c r="C949">
        <v>30</v>
      </c>
      <c r="D949">
        <v>0</v>
      </c>
      <c r="E949">
        <v>125000</v>
      </c>
      <c r="F949">
        <v>2014</v>
      </c>
      <c r="G949">
        <v>1</v>
      </c>
      <c r="H949">
        <v>0</v>
      </c>
      <c r="I949">
        <v>1</v>
      </c>
      <c r="J949">
        <v>25</v>
      </c>
      <c r="K949">
        <v>1</v>
      </c>
      <c r="L949">
        <f>Résultats!G$32+Résultats!G$33*Données!C949+Résultats!G$34*Données!D949+Résultats!G$35*Données!E949+Résultats!G$36*Données!F949+Résultats!G$37*Données!G949+Résultats!G$38*Données!H949+Résultats!G$39*Données!I949</f>
        <v>110235.65504614443</v>
      </c>
      <c r="M949">
        <f t="shared" si="56"/>
        <v>2764.3449538555724</v>
      </c>
      <c r="Q949">
        <v>170000</v>
      </c>
      <c r="R949">
        <v>1</v>
      </c>
      <c r="S949">
        <v>43.099998474121087</v>
      </c>
      <c r="T949">
        <v>0</v>
      </c>
      <c r="U949">
        <f t="shared" si="57"/>
        <v>12.441144767709657</v>
      </c>
      <c r="V949">
        <f t="shared" si="58"/>
        <v>9.1232562650690685</v>
      </c>
      <c r="W949">
        <v>1</v>
      </c>
      <c r="X949">
        <v>1</v>
      </c>
      <c r="Y949">
        <v>1</v>
      </c>
      <c r="Z949">
        <f>'Résultat (Ln)'!F$30+'Résultat (Ln)'!F$31*Données!S949+'Résultat (Ln)'!F$32*Données!T949+'Résultat (Ln)'!F$33*Données!U949+'Résultat (Ln)'!F$34*Données!V949+'Résultat (Ln)'!F$35*Données!W949+'Résultat (Ln)'!F$36*Données!X949+'Résultat (Ln)'!F$37*Données!Y949</f>
        <v>230767.87619304901</v>
      </c>
      <c r="AA949">
        <f t="shared" si="59"/>
        <v>-60767.876193049015</v>
      </c>
    </row>
    <row r="950" spans="1:27" x14ac:dyDescent="0.25">
      <c r="A950">
        <v>93000</v>
      </c>
      <c r="B950">
        <v>1</v>
      </c>
      <c r="C950">
        <v>41.299999237060547</v>
      </c>
      <c r="D950">
        <v>1</v>
      </c>
      <c r="E950">
        <v>85000</v>
      </c>
      <c r="F950">
        <v>1800</v>
      </c>
      <c r="G950">
        <v>1</v>
      </c>
      <c r="H950">
        <v>0</v>
      </c>
      <c r="I950">
        <v>0</v>
      </c>
      <c r="J950">
        <v>20.360000610351559</v>
      </c>
      <c r="K950">
        <v>1</v>
      </c>
      <c r="L950">
        <f>Résultats!G$32+Résultats!G$33*Données!C950+Résultats!G$34*Données!D950+Résultats!G$35*Données!E950+Résultats!G$36*Données!F950+Résultats!G$37*Données!G950+Résultats!G$38*Données!H950+Résultats!G$39*Données!I950</f>
        <v>99045.604068954039</v>
      </c>
      <c r="M950">
        <f t="shared" si="56"/>
        <v>-6045.6040689540387</v>
      </c>
      <c r="Q950">
        <v>113000</v>
      </c>
      <c r="R950">
        <v>1</v>
      </c>
      <c r="S950">
        <v>30</v>
      </c>
      <c r="T950">
        <v>0</v>
      </c>
      <c r="U950">
        <f t="shared" si="57"/>
        <v>11.736069016284437</v>
      </c>
      <c r="V950">
        <f t="shared" si="58"/>
        <v>7.6078780732785072</v>
      </c>
      <c r="W950">
        <v>1</v>
      </c>
      <c r="X950">
        <v>0</v>
      </c>
      <c r="Y950">
        <v>1</v>
      </c>
      <c r="Z950">
        <f>'Résultat (Ln)'!F$30+'Résultat (Ln)'!F$31*Données!S950+'Résultat (Ln)'!F$32*Données!T950+'Résultat (Ln)'!F$33*Données!U950+'Résultat (Ln)'!F$34*Données!V950+'Résultat (Ln)'!F$35*Données!W950+'Résultat (Ln)'!F$36*Données!X950+'Résultat (Ln)'!F$37*Données!Y950</f>
        <v>96855.703003526942</v>
      </c>
      <c r="AA950">
        <f t="shared" si="59"/>
        <v>16144.296996473058</v>
      </c>
    </row>
    <row r="951" spans="1:27" x14ac:dyDescent="0.25">
      <c r="A951">
        <v>97000</v>
      </c>
      <c r="B951">
        <v>1</v>
      </c>
      <c r="C951">
        <v>34</v>
      </c>
      <c r="D951">
        <v>0</v>
      </c>
      <c r="E951">
        <v>121000</v>
      </c>
      <c r="F951">
        <v>2695</v>
      </c>
      <c r="G951">
        <v>0</v>
      </c>
      <c r="H951">
        <v>0</v>
      </c>
      <c r="I951">
        <v>1</v>
      </c>
      <c r="J951">
        <v>23</v>
      </c>
      <c r="K951">
        <v>0</v>
      </c>
      <c r="L951">
        <f>Résultats!G$32+Résultats!G$33*Données!C951+Résultats!G$34*Données!D951+Résultats!G$35*Données!E951+Résultats!G$36*Données!F951+Résultats!G$37*Données!G951+Résultats!G$38*Données!H951+Résultats!G$39*Données!I951</f>
        <v>107265.53820295594</v>
      </c>
      <c r="M951">
        <f t="shared" si="56"/>
        <v>-10265.538202955941</v>
      </c>
      <c r="Q951">
        <v>93000</v>
      </c>
      <c r="R951">
        <v>1</v>
      </c>
      <c r="S951">
        <v>41.299999237060547</v>
      </c>
      <c r="T951">
        <v>1</v>
      </c>
      <c r="U951">
        <f t="shared" si="57"/>
        <v>11.350406535472453</v>
      </c>
      <c r="V951">
        <f t="shared" si="58"/>
        <v>7.4955419438842563</v>
      </c>
      <c r="W951">
        <v>1</v>
      </c>
      <c r="X951">
        <v>0</v>
      </c>
      <c r="Y951">
        <v>0</v>
      </c>
      <c r="Z951">
        <f>'Résultat (Ln)'!F$30+'Résultat (Ln)'!F$31*Données!S951+'Résultat (Ln)'!F$32*Données!T951+'Résultat (Ln)'!F$33*Données!U951+'Résultat (Ln)'!F$34*Données!V951+'Résultat (Ln)'!F$35*Données!W951+'Résultat (Ln)'!F$36*Données!X951+'Résultat (Ln)'!F$37*Données!Y951</f>
        <v>56434.78221923508</v>
      </c>
      <c r="AA951">
        <f t="shared" si="59"/>
        <v>36565.21778076492</v>
      </c>
    </row>
    <row r="952" spans="1:27" x14ac:dyDescent="0.25">
      <c r="A952">
        <v>91000</v>
      </c>
      <c r="B952">
        <v>1</v>
      </c>
      <c r="C952">
        <v>46.099998474121087</v>
      </c>
      <c r="D952">
        <v>0</v>
      </c>
      <c r="E952">
        <v>114000</v>
      </c>
      <c r="F952">
        <v>3353</v>
      </c>
      <c r="G952">
        <v>0</v>
      </c>
      <c r="H952">
        <v>0</v>
      </c>
      <c r="I952">
        <v>1</v>
      </c>
      <c r="J952">
        <v>37.150001525878913</v>
      </c>
      <c r="K952">
        <v>0</v>
      </c>
      <c r="L952">
        <f>Résultats!G$32+Résultats!G$33*Données!C952+Résultats!G$34*Données!D952+Résultats!G$35*Données!E952+Résultats!G$36*Données!F952+Résultats!G$37*Données!G952+Résultats!G$38*Données!H952+Résultats!G$39*Données!I952</f>
        <v>119170.83924350761</v>
      </c>
      <c r="M952">
        <f t="shared" si="56"/>
        <v>-28170.839243507609</v>
      </c>
      <c r="Q952">
        <v>97000</v>
      </c>
      <c r="R952">
        <v>1</v>
      </c>
      <c r="S952">
        <v>34</v>
      </c>
      <c r="T952">
        <v>0</v>
      </c>
      <c r="U952">
        <f t="shared" si="57"/>
        <v>11.703545824578878</v>
      </c>
      <c r="V952">
        <f t="shared" si="58"/>
        <v>7.8991534833430972</v>
      </c>
      <c r="W952">
        <v>0</v>
      </c>
      <c r="X952">
        <v>0</v>
      </c>
      <c r="Y952">
        <v>1</v>
      </c>
      <c r="Z952">
        <f>'Résultat (Ln)'!F$30+'Résultat (Ln)'!F$31*Données!S952+'Résultat (Ln)'!F$32*Données!T952+'Résultat (Ln)'!F$33*Données!U952+'Résultat (Ln)'!F$34*Données!V952+'Résultat (Ln)'!F$35*Données!W952+'Résultat (Ln)'!F$36*Données!X952+'Résultat (Ln)'!F$37*Données!Y952</f>
        <v>101912.54388474615</v>
      </c>
      <c r="AA952">
        <f t="shared" si="59"/>
        <v>-4912.5438847461483</v>
      </c>
    </row>
    <row r="953" spans="1:27" x14ac:dyDescent="0.25">
      <c r="A953">
        <v>181000</v>
      </c>
      <c r="B953">
        <v>1</v>
      </c>
      <c r="C953">
        <v>47</v>
      </c>
      <c r="D953">
        <v>0</v>
      </c>
      <c r="E953">
        <v>278000</v>
      </c>
      <c r="F953">
        <v>2770</v>
      </c>
      <c r="G953">
        <v>1</v>
      </c>
      <c r="H953">
        <v>0</v>
      </c>
      <c r="I953">
        <v>0</v>
      </c>
      <c r="J953">
        <v>47</v>
      </c>
      <c r="K953">
        <v>1</v>
      </c>
      <c r="L953">
        <f>Résultats!G$32+Résultats!G$33*Données!C953+Résultats!G$34*Données!D953+Résultats!G$35*Données!E953+Résultats!G$36*Données!F953+Résultats!G$37*Données!G953+Résultats!G$38*Données!H953+Résultats!G$39*Données!I953</f>
        <v>192746.41198959935</v>
      </c>
      <c r="M953">
        <f t="shared" si="56"/>
        <v>-11746.41198959935</v>
      </c>
      <c r="Q953">
        <v>91000</v>
      </c>
      <c r="R953">
        <v>1</v>
      </c>
      <c r="S953">
        <v>46.099998474121087</v>
      </c>
      <c r="T953">
        <v>0</v>
      </c>
      <c r="U953">
        <f t="shared" si="57"/>
        <v>11.643953727376633</v>
      </c>
      <c r="V953">
        <f t="shared" si="58"/>
        <v>8.1176107464662284</v>
      </c>
      <c r="W953">
        <v>0</v>
      </c>
      <c r="X953">
        <v>0</v>
      </c>
      <c r="Y953">
        <v>1</v>
      </c>
      <c r="Z953">
        <f>'Résultat (Ln)'!F$30+'Résultat (Ln)'!F$31*Données!S953+'Résultat (Ln)'!F$32*Données!T953+'Résultat (Ln)'!F$33*Données!U953+'Résultat (Ln)'!F$34*Données!V953+'Résultat (Ln)'!F$35*Données!W953+'Résultat (Ln)'!F$36*Données!X953+'Résultat (Ln)'!F$37*Données!Y953</f>
        <v>116438.03629427325</v>
      </c>
      <c r="AA953">
        <f t="shared" si="59"/>
        <v>-25438.036294273246</v>
      </c>
    </row>
    <row r="954" spans="1:27" x14ac:dyDescent="0.25">
      <c r="A954">
        <v>95000</v>
      </c>
      <c r="B954">
        <v>1</v>
      </c>
      <c r="C954">
        <v>36</v>
      </c>
      <c r="D954">
        <v>0</v>
      </c>
      <c r="E954">
        <v>125000</v>
      </c>
      <c r="F954">
        <v>3650</v>
      </c>
      <c r="G954">
        <v>0</v>
      </c>
      <c r="H954">
        <v>1</v>
      </c>
      <c r="I954">
        <v>0</v>
      </c>
      <c r="J954">
        <v>27</v>
      </c>
      <c r="K954">
        <v>0</v>
      </c>
      <c r="L954">
        <f>Résultats!G$32+Résultats!G$33*Données!C954+Résultats!G$34*Données!D954+Résultats!G$35*Données!E954+Résultats!G$36*Données!F954+Résultats!G$37*Données!G954+Résultats!G$38*Données!H954+Résultats!G$39*Données!I954</f>
        <v>101730.54563403252</v>
      </c>
      <c r="M954">
        <f t="shared" si="56"/>
        <v>-6730.5456340325181</v>
      </c>
      <c r="Q954">
        <v>181000</v>
      </c>
      <c r="R954">
        <v>1</v>
      </c>
      <c r="S954">
        <v>47</v>
      </c>
      <c r="T954">
        <v>0</v>
      </c>
      <c r="U954">
        <f t="shared" si="57"/>
        <v>12.535376392672774</v>
      </c>
      <c r="V954">
        <f t="shared" si="58"/>
        <v>7.9266025991813844</v>
      </c>
      <c r="W954">
        <v>1</v>
      </c>
      <c r="X954">
        <v>0</v>
      </c>
      <c r="Y954">
        <v>0</v>
      </c>
      <c r="Z954">
        <f>'Résultat (Ln)'!F$30+'Résultat (Ln)'!F$31*Données!S954+'Résultat (Ln)'!F$32*Données!T954+'Résultat (Ln)'!F$33*Données!U954+'Résultat (Ln)'!F$34*Données!V954+'Résultat (Ln)'!F$35*Données!W954+'Résultat (Ln)'!F$36*Données!X954+'Résultat (Ln)'!F$37*Données!Y954</f>
        <v>198164.55753491269</v>
      </c>
      <c r="AA954">
        <f t="shared" si="59"/>
        <v>-17164.557534912688</v>
      </c>
    </row>
    <row r="955" spans="1:27" x14ac:dyDescent="0.25">
      <c r="A955">
        <v>142000</v>
      </c>
      <c r="B955">
        <v>1</v>
      </c>
      <c r="C955">
        <v>24.29999923706055</v>
      </c>
      <c r="D955">
        <v>0</v>
      </c>
      <c r="E955">
        <v>242000</v>
      </c>
      <c r="F955">
        <v>8572</v>
      </c>
      <c r="G955">
        <v>0</v>
      </c>
      <c r="H955">
        <v>0</v>
      </c>
      <c r="I955">
        <v>1</v>
      </c>
      <c r="J955">
        <v>15.5</v>
      </c>
      <c r="K955">
        <v>1</v>
      </c>
      <c r="L955">
        <f>Résultats!G$32+Résultats!G$33*Données!C955+Résultats!G$34*Données!D955+Résultats!G$35*Données!E955+Résultats!G$36*Données!F955+Résultats!G$37*Données!G955+Résultats!G$38*Données!H955+Résultats!G$39*Données!I955</f>
        <v>164013.15650708199</v>
      </c>
      <c r="M955">
        <f t="shared" si="56"/>
        <v>-22013.156507081992</v>
      </c>
      <c r="Q955">
        <v>95000</v>
      </c>
      <c r="R955">
        <v>1</v>
      </c>
      <c r="S955">
        <v>36</v>
      </c>
      <c r="T955">
        <v>0</v>
      </c>
      <c r="U955">
        <f t="shared" si="57"/>
        <v>11.736069016284437</v>
      </c>
      <c r="V955">
        <f t="shared" si="58"/>
        <v>8.2024824465765374</v>
      </c>
      <c r="W955">
        <v>0</v>
      </c>
      <c r="X955">
        <v>1</v>
      </c>
      <c r="Y955">
        <v>0</v>
      </c>
      <c r="Z955">
        <f>'Résultat (Ln)'!F$30+'Résultat (Ln)'!F$31*Données!S955+'Résultat (Ln)'!F$32*Données!T955+'Résultat (Ln)'!F$33*Données!U955+'Résultat (Ln)'!F$34*Données!V955+'Résultat (Ln)'!F$35*Données!W955+'Résultat (Ln)'!F$36*Données!X955+'Résultat (Ln)'!F$37*Données!Y955</f>
        <v>102085.59906457675</v>
      </c>
      <c r="AA955">
        <f t="shared" si="59"/>
        <v>-7085.5990645767451</v>
      </c>
    </row>
    <row r="956" spans="1:27" x14ac:dyDescent="0.25">
      <c r="A956">
        <v>115000</v>
      </c>
      <c r="B956">
        <v>1</v>
      </c>
      <c r="C956">
        <v>33</v>
      </c>
      <c r="D956">
        <v>0</v>
      </c>
      <c r="E956">
        <v>220000</v>
      </c>
      <c r="F956">
        <v>4116</v>
      </c>
      <c r="G956">
        <v>1</v>
      </c>
      <c r="H956">
        <v>0</v>
      </c>
      <c r="I956">
        <v>0</v>
      </c>
      <c r="J956">
        <v>24</v>
      </c>
      <c r="K956">
        <v>1</v>
      </c>
      <c r="L956">
        <f>Résultats!G$32+Résultats!G$33*Données!C956+Résultats!G$34*Données!D956+Résultats!G$35*Données!E956+Résultats!G$36*Données!F956+Résultats!G$37*Données!G956+Résultats!G$38*Données!H956+Résultats!G$39*Données!I956</f>
        <v>152189.99889324646</v>
      </c>
      <c r="M956">
        <f t="shared" si="56"/>
        <v>-37189.998893246462</v>
      </c>
      <c r="Q956">
        <v>142000</v>
      </c>
      <c r="R956">
        <v>1</v>
      </c>
      <c r="S956">
        <v>24.29999923706055</v>
      </c>
      <c r="T956">
        <v>0</v>
      </c>
      <c r="U956">
        <f t="shared" si="57"/>
        <v>12.396693005138824</v>
      </c>
      <c r="V956">
        <f t="shared" si="58"/>
        <v>9.0562563565934671</v>
      </c>
      <c r="W956">
        <v>0</v>
      </c>
      <c r="X956">
        <v>0</v>
      </c>
      <c r="Y956">
        <v>1</v>
      </c>
      <c r="Z956">
        <f>'Résultat (Ln)'!F$30+'Résultat (Ln)'!F$31*Données!S956+'Résultat (Ln)'!F$32*Données!T956+'Résultat (Ln)'!F$33*Données!U956+'Résultat (Ln)'!F$34*Données!V956+'Résultat (Ln)'!F$35*Données!W956+'Résultat (Ln)'!F$36*Données!X956+'Résultat (Ln)'!F$37*Données!Y956</f>
        <v>196812.91768599441</v>
      </c>
      <c r="AA956">
        <f t="shared" si="59"/>
        <v>-54812.917685994413</v>
      </c>
    </row>
    <row r="957" spans="1:27" x14ac:dyDescent="0.25">
      <c r="A957">
        <v>396000</v>
      </c>
      <c r="B957">
        <v>1</v>
      </c>
      <c r="C957">
        <v>30</v>
      </c>
      <c r="D957">
        <v>0</v>
      </c>
      <c r="E957">
        <v>495000</v>
      </c>
      <c r="F957">
        <v>12500</v>
      </c>
      <c r="G957">
        <v>1</v>
      </c>
      <c r="H957">
        <v>0</v>
      </c>
      <c r="I957">
        <v>1</v>
      </c>
      <c r="J957">
        <v>30</v>
      </c>
      <c r="K957">
        <v>1</v>
      </c>
      <c r="L957">
        <f>Résultats!G$32+Résultats!G$33*Données!C957+Résultats!G$34*Données!D957+Résultats!G$35*Données!E957+Résultats!G$36*Données!F957+Résultats!G$37*Données!G957+Résultats!G$38*Données!H957+Résultats!G$39*Données!I957</f>
        <v>303328.00277232938</v>
      </c>
      <c r="M957">
        <f t="shared" si="56"/>
        <v>92671.997227670625</v>
      </c>
      <c r="Q957">
        <v>115000</v>
      </c>
      <c r="R957">
        <v>1</v>
      </c>
      <c r="S957">
        <v>33</v>
      </c>
      <c r="T957">
        <v>0</v>
      </c>
      <c r="U957">
        <f t="shared" si="57"/>
        <v>12.301382825334498</v>
      </c>
      <c r="V957">
        <f t="shared" si="58"/>
        <v>8.3226370969539403</v>
      </c>
      <c r="W957">
        <v>1</v>
      </c>
      <c r="X957">
        <v>0</v>
      </c>
      <c r="Y957">
        <v>0</v>
      </c>
      <c r="Z957">
        <f>'Résultat (Ln)'!F$30+'Résultat (Ln)'!F$31*Données!S957+'Résultat (Ln)'!F$32*Données!T957+'Résultat (Ln)'!F$33*Données!U957+'Résultat (Ln)'!F$34*Données!V957+'Résultat (Ln)'!F$35*Données!W957+'Résultat (Ln)'!F$36*Données!X957+'Résultat (Ln)'!F$37*Données!Y957</f>
        <v>167080.01247889549</v>
      </c>
      <c r="AA957">
        <f t="shared" si="59"/>
        <v>-52080.012478895485</v>
      </c>
    </row>
    <row r="958" spans="1:27" x14ac:dyDescent="0.25">
      <c r="A958">
        <v>105000</v>
      </c>
      <c r="B958">
        <v>1</v>
      </c>
      <c r="C958">
        <v>29</v>
      </c>
      <c r="D958">
        <v>0</v>
      </c>
      <c r="E958">
        <v>165000</v>
      </c>
      <c r="F958">
        <v>2875</v>
      </c>
      <c r="G958">
        <v>1</v>
      </c>
      <c r="H958">
        <v>0</v>
      </c>
      <c r="I958">
        <v>0</v>
      </c>
      <c r="J958">
        <v>23</v>
      </c>
      <c r="K958">
        <v>1</v>
      </c>
      <c r="L958">
        <f>Résultats!G$32+Résultats!G$33*Données!C958+Résultats!G$34*Données!D958+Résultats!G$35*Données!E958+Résultats!G$36*Données!F958+Résultats!G$37*Données!G958+Résultats!G$38*Données!H958+Résultats!G$39*Données!I958</f>
        <v>119508.09347887845</v>
      </c>
      <c r="M958">
        <f t="shared" si="56"/>
        <v>-14508.093478878451</v>
      </c>
      <c r="Q958">
        <v>396000</v>
      </c>
      <c r="R958">
        <v>1</v>
      </c>
      <c r="S958">
        <v>30</v>
      </c>
      <c r="T958">
        <v>0</v>
      </c>
      <c r="U958">
        <f t="shared" si="57"/>
        <v>13.112313041550827</v>
      </c>
      <c r="V958">
        <f t="shared" si="58"/>
        <v>9.4334839232903924</v>
      </c>
      <c r="W958">
        <v>1</v>
      </c>
      <c r="X958">
        <v>0</v>
      </c>
      <c r="Y958">
        <v>1</v>
      </c>
      <c r="Z958">
        <f>'Résultat (Ln)'!F$30+'Résultat (Ln)'!F$31*Données!S958+'Résultat (Ln)'!F$32*Données!T958+'Résultat (Ln)'!F$33*Données!U958+'Résultat (Ln)'!F$34*Données!V958+'Résultat (Ln)'!F$35*Données!W958+'Résultat (Ln)'!F$36*Données!X958+'Résultat (Ln)'!F$37*Données!Y958</f>
        <v>295583.52433521638</v>
      </c>
      <c r="AA958">
        <f t="shared" si="59"/>
        <v>100416.47566478362</v>
      </c>
    </row>
    <row r="959" spans="1:27" x14ac:dyDescent="0.25">
      <c r="A959">
        <v>130000</v>
      </c>
      <c r="B959">
        <v>1</v>
      </c>
      <c r="C959">
        <v>36</v>
      </c>
      <c r="D959">
        <v>0</v>
      </c>
      <c r="E959">
        <v>206000</v>
      </c>
      <c r="F959">
        <v>4483</v>
      </c>
      <c r="G959">
        <v>1</v>
      </c>
      <c r="H959">
        <v>0</v>
      </c>
      <c r="I959">
        <v>0</v>
      </c>
      <c r="J959">
        <v>31</v>
      </c>
      <c r="K959">
        <v>1</v>
      </c>
      <c r="L959">
        <f>Résultats!G$32+Résultats!G$33*Données!C959+Résultats!G$34*Données!D959+Résultats!G$35*Données!E959+Résultats!G$36*Données!F959+Résultats!G$37*Données!G959+Résultats!G$38*Données!H959+Résultats!G$39*Données!I959</f>
        <v>149809.83223241536</v>
      </c>
      <c r="M959">
        <f t="shared" si="56"/>
        <v>-19809.832232415356</v>
      </c>
      <c r="Q959">
        <v>105000</v>
      </c>
      <c r="R959">
        <v>1</v>
      </c>
      <c r="S959">
        <v>29</v>
      </c>
      <c r="T959">
        <v>0</v>
      </c>
      <c r="U959">
        <f t="shared" si="57"/>
        <v>12.013700752882718</v>
      </c>
      <c r="V959">
        <f t="shared" si="58"/>
        <v>7.9638079532314512</v>
      </c>
      <c r="W959">
        <v>1</v>
      </c>
      <c r="X959">
        <v>0</v>
      </c>
      <c r="Y959">
        <v>0</v>
      </c>
      <c r="Z959">
        <f>'Résultat (Ln)'!F$30+'Résultat (Ln)'!F$31*Données!S959+'Résultat (Ln)'!F$32*Données!T959+'Résultat (Ln)'!F$33*Données!U959+'Résultat (Ln)'!F$34*Données!V959+'Résultat (Ln)'!F$35*Données!W959+'Résultat (Ln)'!F$36*Données!X959+'Résultat (Ln)'!F$37*Données!Y959</f>
        <v>121289.95805961576</v>
      </c>
      <c r="AA959">
        <f t="shared" si="59"/>
        <v>-16289.958059615761</v>
      </c>
    </row>
    <row r="960" spans="1:27" x14ac:dyDescent="0.25">
      <c r="A960">
        <v>132000</v>
      </c>
      <c r="B960">
        <v>1</v>
      </c>
      <c r="C960">
        <v>37</v>
      </c>
      <c r="D960">
        <v>0</v>
      </c>
      <c r="E960">
        <v>155000</v>
      </c>
      <c r="F960">
        <v>5000</v>
      </c>
      <c r="G960">
        <v>0</v>
      </c>
      <c r="H960">
        <v>0</v>
      </c>
      <c r="I960">
        <v>1</v>
      </c>
      <c r="J960">
        <v>26</v>
      </c>
      <c r="K960">
        <v>0</v>
      </c>
      <c r="L960">
        <f>Résultats!G$32+Résultats!G$33*Données!C960+Résultats!G$34*Données!D960+Résultats!G$35*Données!E960+Résultats!G$36*Données!F960+Résultats!G$37*Données!G960+Résultats!G$38*Données!H960+Résultats!G$39*Données!I960</f>
        <v>131054.5603532454</v>
      </c>
      <c r="M960">
        <f t="shared" si="56"/>
        <v>945.43964675460302</v>
      </c>
      <c r="Q960">
        <v>130000</v>
      </c>
      <c r="R960">
        <v>1</v>
      </c>
      <c r="S960">
        <v>36</v>
      </c>
      <c r="T960">
        <v>0</v>
      </c>
      <c r="U960">
        <f t="shared" si="57"/>
        <v>12.235631447771718</v>
      </c>
      <c r="V960">
        <f t="shared" si="58"/>
        <v>8.4080477441554393</v>
      </c>
      <c r="W960">
        <v>1</v>
      </c>
      <c r="X960">
        <v>0</v>
      </c>
      <c r="Y960">
        <v>0</v>
      </c>
      <c r="Z960">
        <f>'Résultat (Ln)'!F$30+'Résultat (Ln)'!F$31*Données!S960+'Résultat (Ln)'!F$32*Données!T960+'Résultat (Ln)'!F$33*Données!U960+'Résultat (Ln)'!F$34*Données!V960+'Résultat (Ln)'!F$35*Données!W960+'Résultat (Ln)'!F$36*Données!X960+'Résultat (Ln)'!F$37*Données!Y960</f>
        <v>166093.28855009103</v>
      </c>
      <c r="AA960">
        <f t="shared" si="59"/>
        <v>-36093.288550091034</v>
      </c>
    </row>
    <row r="961" spans="1:27" x14ac:dyDescent="0.25">
      <c r="A961">
        <v>143000</v>
      </c>
      <c r="B961">
        <v>1</v>
      </c>
      <c r="C961">
        <v>35</v>
      </c>
      <c r="D961">
        <v>0</v>
      </c>
      <c r="E961">
        <v>212000</v>
      </c>
      <c r="F961">
        <v>5225</v>
      </c>
      <c r="G961">
        <v>1</v>
      </c>
      <c r="H961">
        <v>0</v>
      </c>
      <c r="I961">
        <v>0</v>
      </c>
      <c r="J961">
        <v>29</v>
      </c>
      <c r="K961">
        <v>1</v>
      </c>
      <c r="L961">
        <f>Résultats!G$32+Résultats!G$33*Données!C961+Résultats!G$34*Données!D961+Résultats!G$35*Données!E961+Résultats!G$36*Données!F961+Résultats!G$37*Données!G961+Résultats!G$38*Données!H961+Résultats!G$39*Données!I961</f>
        <v>152900.71969072416</v>
      </c>
      <c r="M961">
        <f t="shared" si="56"/>
        <v>-9900.7196907241596</v>
      </c>
      <c r="Q961">
        <v>132000</v>
      </c>
      <c r="R961">
        <v>1</v>
      </c>
      <c r="S961">
        <v>37</v>
      </c>
      <c r="T961">
        <v>0</v>
      </c>
      <c r="U961">
        <f t="shared" si="57"/>
        <v>11.951180395901384</v>
      </c>
      <c r="V961">
        <f t="shared" si="58"/>
        <v>8.5171931914162382</v>
      </c>
      <c r="W961">
        <v>0</v>
      </c>
      <c r="X961">
        <v>0</v>
      </c>
      <c r="Y961">
        <v>1</v>
      </c>
      <c r="Z961">
        <f>'Résultat (Ln)'!F$30+'Résultat (Ln)'!F$31*Données!S961+'Résultat (Ln)'!F$32*Données!T961+'Résultat (Ln)'!F$33*Données!U961+'Résultat (Ln)'!F$34*Données!V961+'Résultat (Ln)'!F$35*Données!W961+'Résultat (Ln)'!F$36*Données!X961+'Résultat (Ln)'!F$37*Données!Y961</f>
        <v>149457.40856930587</v>
      </c>
      <c r="AA961">
        <f t="shared" si="59"/>
        <v>-17457.408569305873</v>
      </c>
    </row>
    <row r="962" spans="1:27" x14ac:dyDescent="0.25">
      <c r="A962">
        <v>144000</v>
      </c>
      <c r="B962">
        <v>1</v>
      </c>
      <c r="C962">
        <v>32</v>
      </c>
      <c r="D962">
        <v>0</v>
      </c>
      <c r="E962">
        <v>160000</v>
      </c>
      <c r="F962">
        <v>3880</v>
      </c>
      <c r="G962">
        <v>0</v>
      </c>
      <c r="H962">
        <v>1</v>
      </c>
      <c r="I962">
        <v>0</v>
      </c>
      <c r="J962">
        <v>23</v>
      </c>
      <c r="K962">
        <v>0</v>
      </c>
      <c r="L962">
        <f>Résultats!G$32+Résultats!G$33*Données!C962+Résultats!G$34*Données!D962+Résultats!G$35*Données!E962+Résultats!G$36*Données!F962+Résultats!G$37*Données!G962+Résultats!G$38*Données!H962+Résultats!G$39*Données!I962</f>
        <v>113924.91961522713</v>
      </c>
      <c r="M962">
        <f t="shared" si="56"/>
        <v>30075.080384772868</v>
      </c>
      <c r="Q962">
        <v>143000</v>
      </c>
      <c r="R962">
        <v>1</v>
      </c>
      <c r="S962">
        <v>35</v>
      </c>
      <c r="T962">
        <v>0</v>
      </c>
      <c r="U962">
        <f t="shared" si="57"/>
        <v>12.26434155365415</v>
      </c>
      <c r="V962">
        <f t="shared" si="58"/>
        <v>8.5612100768330119</v>
      </c>
      <c r="W962">
        <v>1</v>
      </c>
      <c r="X962">
        <v>0</v>
      </c>
      <c r="Y962">
        <v>0</v>
      </c>
      <c r="Z962">
        <f>'Résultat (Ln)'!F$30+'Résultat (Ln)'!F$31*Données!S962+'Résultat (Ln)'!F$32*Données!T962+'Résultat (Ln)'!F$33*Données!U962+'Résultat (Ln)'!F$34*Données!V962+'Résultat (Ln)'!F$35*Données!W962+'Résultat (Ln)'!F$36*Données!X962+'Résultat (Ln)'!F$37*Données!Y962</f>
        <v>172244.40270142874</v>
      </c>
      <c r="AA962">
        <f t="shared" si="59"/>
        <v>-29244.402701428742</v>
      </c>
    </row>
    <row r="963" spans="1:27" x14ac:dyDescent="0.25">
      <c r="A963">
        <v>96000</v>
      </c>
      <c r="B963">
        <v>1</v>
      </c>
      <c r="C963">
        <v>32.099998474121087</v>
      </c>
      <c r="D963">
        <v>0</v>
      </c>
      <c r="E963">
        <v>120000</v>
      </c>
      <c r="F963">
        <v>1625</v>
      </c>
      <c r="G963">
        <v>1</v>
      </c>
      <c r="H963">
        <v>0</v>
      </c>
      <c r="I963">
        <v>1</v>
      </c>
      <c r="J963">
        <v>29.620000839233398</v>
      </c>
      <c r="K963">
        <v>1</v>
      </c>
      <c r="L963">
        <f>Résultats!G$32+Résultats!G$33*Données!C963+Résultats!G$34*Données!D963+Résultats!G$35*Données!E963+Résultats!G$36*Données!F963+Résultats!G$37*Données!G963+Résultats!G$38*Données!H963+Résultats!G$39*Données!I963</f>
        <v>109559.29546091764</v>
      </c>
      <c r="M963">
        <f t="shared" ref="M963:M1026" si="60">A963-L963</f>
        <v>-13559.295460917638</v>
      </c>
      <c r="Q963">
        <v>144000</v>
      </c>
      <c r="R963">
        <v>1</v>
      </c>
      <c r="S963">
        <v>32</v>
      </c>
      <c r="T963">
        <v>0</v>
      </c>
      <c r="U963">
        <f t="shared" si="57"/>
        <v>11.982929094215963</v>
      </c>
      <c r="V963">
        <f t="shared" si="58"/>
        <v>8.2635904326173186</v>
      </c>
      <c r="W963">
        <v>0</v>
      </c>
      <c r="X963">
        <v>1</v>
      </c>
      <c r="Y963">
        <v>0</v>
      </c>
      <c r="Z963">
        <f>'Résultat (Ln)'!F$30+'Résultat (Ln)'!F$31*Données!S963+'Résultat (Ln)'!F$32*Données!T963+'Résultat (Ln)'!F$33*Données!U963+'Résultat (Ln)'!F$34*Données!V963+'Résultat (Ln)'!F$35*Données!W963+'Résultat (Ln)'!F$36*Données!X963+'Résultat (Ln)'!F$37*Données!Y963</f>
        <v>125373.56297912872</v>
      </c>
      <c r="AA963">
        <f t="shared" si="59"/>
        <v>18626.437020871279</v>
      </c>
    </row>
    <row r="964" spans="1:27" x14ac:dyDescent="0.25">
      <c r="A964">
        <v>140000</v>
      </c>
      <c r="B964">
        <v>1</v>
      </c>
      <c r="C964">
        <v>38</v>
      </c>
      <c r="D964">
        <v>0</v>
      </c>
      <c r="E964">
        <v>178000</v>
      </c>
      <c r="F964">
        <v>4000</v>
      </c>
      <c r="G964">
        <v>0</v>
      </c>
      <c r="H964">
        <v>0</v>
      </c>
      <c r="I964">
        <v>0</v>
      </c>
      <c r="J964">
        <v>24</v>
      </c>
      <c r="K964">
        <v>1</v>
      </c>
      <c r="L964">
        <f>Résultats!G$32+Résultats!G$33*Données!C964+Résultats!G$34*Données!D964+Résultats!G$35*Données!E964+Résultats!G$36*Données!F964+Résultats!G$37*Données!G964+Résultats!G$38*Données!H964+Résultats!G$39*Données!I964</f>
        <v>131079.91168910876</v>
      </c>
      <c r="M964">
        <f t="shared" si="60"/>
        <v>8920.0883108912385</v>
      </c>
      <c r="Q964">
        <v>96000</v>
      </c>
      <c r="R964">
        <v>1</v>
      </c>
      <c r="S964">
        <v>32.099998474121087</v>
      </c>
      <c r="T964">
        <v>0</v>
      </c>
      <c r="U964">
        <f t="shared" ref="U964:U1027" si="61">LN(E963)</f>
        <v>11.695247021764184</v>
      </c>
      <c r="V964">
        <f t="shared" ref="V964:V1027" si="62">LN(F963)</f>
        <v>7.3932630947638378</v>
      </c>
      <c r="W964">
        <v>1</v>
      </c>
      <c r="X964">
        <v>0</v>
      </c>
      <c r="Y964">
        <v>1</v>
      </c>
      <c r="Z964">
        <f>'Résultat (Ln)'!F$30+'Résultat (Ln)'!F$31*Données!S964+'Résultat (Ln)'!F$32*Données!T964+'Résultat (Ln)'!F$33*Données!U964+'Résultat (Ln)'!F$34*Données!V964+'Résultat (Ln)'!F$35*Données!W964+'Résultat (Ln)'!F$36*Données!X964+'Résultat (Ln)'!F$37*Données!Y964</f>
        <v>89027.003114142499</v>
      </c>
      <c r="AA964">
        <f t="shared" ref="AA964:AA1027" si="63">Q964-Z964</f>
        <v>6972.9968858575012</v>
      </c>
    </row>
    <row r="965" spans="1:27" x14ac:dyDescent="0.25">
      <c r="A965">
        <v>159000</v>
      </c>
      <c r="B965">
        <v>1</v>
      </c>
      <c r="C965">
        <v>47</v>
      </c>
      <c r="D965">
        <v>0</v>
      </c>
      <c r="E965">
        <v>212000</v>
      </c>
      <c r="F965">
        <v>3017</v>
      </c>
      <c r="G965">
        <v>0</v>
      </c>
      <c r="H965">
        <v>0</v>
      </c>
      <c r="I965">
        <v>0</v>
      </c>
      <c r="J965">
        <v>32</v>
      </c>
      <c r="K965">
        <v>1</v>
      </c>
      <c r="L965">
        <f>Résultats!G$32+Résultats!G$33*Données!C965+Résultats!G$34*Données!D965+Résultats!G$35*Données!E965+Résultats!G$36*Données!F965+Résultats!G$37*Données!G965+Résultats!G$38*Données!H965+Résultats!G$39*Données!I965</f>
        <v>155389.51125549947</v>
      </c>
      <c r="M965">
        <f t="shared" si="60"/>
        <v>3610.4887445005297</v>
      </c>
      <c r="Q965">
        <v>140000</v>
      </c>
      <c r="R965">
        <v>1</v>
      </c>
      <c r="S965">
        <v>38</v>
      </c>
      <c r="T965">
        <v>0</v>
      </c>
      <c r="U965">
        <f t="shared" si="61"/>
        <v>12.089538829274222</v>
      </c>
      <c r="V965">
        <f t="shared" si="62"/>
        <v>8.2940496401020276</v>
      </c>
      <c r="W965">
        <v>0</v>
      </c>
      <c r="X965">
        <v>0</v>
      </c>
      <c r="Y965">
        <v>0</v>
      </c>
      <c r="Z965">
        <f>'Résultat (Ln)'!F$30+'Résultat (Ln)'!F$31*Données!S965+'Résultat (Ln)'!F$32*Données!T965+'Résultat (Ln)'!F$33*Données!U965+'Résultat (Ln)'!F$34*Données!V965+'Résultat (Ln)'!F$35*Données!W965+'Résultat (Ln)'!F$36*Données!X965+'Résultat (Ln)'!F$37*Données!Y965</f>
        <v>145165.69142521368</v>
      </c>
      <c r="AA965">
        <f t="shared" si="63"/>
        <v>-5165.6914252136776</v>
      </c>
    </row>
    <row r="966" spans="1:27" x14ac:dyDescent="0.25">
      <c r="A966">
        <v>183000</v>
      </c>
      <c r="B966">
        <v>1</v>
      </c>
      <c r="C966">
        <v>38.200000762939453</v>
      </c>
      <c r="D966">
        <v>1</v>
      </c>
      <c r="E966">
        <v>229000</v>
      </c>
      <c r="F966">
        <v>7600</v>
      </c>
      <c r="G966">
        <v>1</v>
      </c>
      <c r="H966">
        <v>0</v>
      </c>
      <c r="I966">
        <v>0</v>
      </c>
      <c r="J966">
        <v>23.85000038146973</v>
      </c>
      <c r="K966">
        <v>1</v>
      </c>
      <c r="L966">
        <f>Résultats!G$32+Résultats!G$33*Données!C966+Résultats!G$34*Données!D966+Résultats!G$35*Données!E966+Résultats!G$36*Données!F966+Résultats!G$37*Données!G966+Résultats!G$38*Données!H966+Résultats!G$39*Données!I966</f>
        <v>173965.16505666202</v>
      </c>
      <c r="M966">
        <f t="shared" si="60"/>
        <v>9034.8349433379772</v>
      </c>
      <c r="Q966">
        <v>159000</v>
      </c>
      <c r="R966">
        <v>1</v>
      </c>
      <c r="S966">
        <v>47</v>
      </c>
      <c r="T966">
        <v>0</v>
      </c>
      <c r="U966">
        <f t="shared" si="61"/>
        <v>12.26434155365415</v>
      </c>
      <c r="V966">
        <f t="shared" si="62"/>
        <v>8.0120182391590617</v>
      </c>
      <c r="W966">
        <v>0</v>
      </c>
      <c r="X966">
        <v>0</v>
      </c>
      <c r="Y966">
        <v>0</v>
      </c>
      <c r="Z966">
        <f>'Résultat (Ln)'!F$30+'Résultat (Ln)'!F$31*Données!S966+'Résultat (Ln)'!F$32*Données!T966+'Résultat (Ln)'!F$33*Données!U966+'Résultat (Ln)'!F$34*Données!V966+'Résultat (Ln)'!F$35*Données!W966+'Résultat (Ln)'!F$36*Données!X966+'Résultat (Ln)'!F$37*Données!Y966</f>
        <v>166992.34293951679</v>
      </c>
      <c r="AA966">
        <f t="shared" si="63"/>
        <v>-7992.3429395167914</v>
      </c>
    </row>
    <row r="967" spans="1:27" x14ac:dyDescent="0.25">
      <c r="A967">
        <v>166000</v>
      </c>
      <c r="B967">
        <v>1</v>
      </c>
      <c r="C967">
        <v>32.299999237060547</v>
      </c>
      <c r="D967">
        <v>0</v>
      </c>
      <c r="E967">
        <v>222000</v>
      </c>
      <c r="F967">
        <v>3292</v>
      </c>
      <c r="G967">
        <v>1</v>
      </c>
      <c r="H967">
        <v>0</v>
      </c>
      <c r="I967">
        <v>0</v>
      </c>
      <c r="J967">
        <v>26.620000839233398</v>
      </c>
      <c r="K967">
        <v>1</v>
      </c>
      <c r="L967">
        <f>Résultats!G$32+Résultats!G$33*Données!C967+Résultats!G$34*Données!D967+Résultats!G$35*Données!E967+Résultats!G$36*Données!F967+Résultats!G$37*Données!G967+Résultats!G$38*Données!H967+Résultats!G$39*Données!I967</f>
        <v>150723.09849946052</v>
      </c>
      <c r="M967">
        <f t="shared" si="60"/>
        <v>15276.901500539476</v>
      </c>
      <c r="Q967">
        <v>183000</v>
      </c>
      <c r="R967">
        <v>1</v>
      </c>
      <c r="S967">
        <v>38.200000762939453</v>
      </c>
      <c r="T967">
        <v>1</v>
      </c>
      <c r="U967">
        <f t="shared" si="61"/>
        <v>12.341477282536376</v>
      </c>
      <c r="V967">
        <f t="shared" si="62"/>
        <v>8.9359035262744229</v>
      </c>
      <c r="W967">
        <v>1</v>
      </c>
      <c r="X967">
        <v>0</v>
      </c>
      <c r="Y967">
        <v>0</v>
      </c>
      <c r="Z967">
        <f>'Résultat (Ln)'!F$30+'Résultat (Ln)'!F$31*Données!S967+'Résultat (Ln)'!F$32*Données!T967+'Résultat (Ln)'!F$33*Données!U967+'Résultat (Ln)'!F$34*Données!V967+'Résultat (Ln)'!F$35*Données!W967+'Résultat (Ln)'!F$36*Données!X967+'Résultat (Ln)'!F$37*Données!Y967</f>
        <v>199280.92975669974</v>
      </c>
      <c r="AA967">
        <f t="shared" si="63"/>
        <v>-16280.929756699741</v>
      </c>
    </row>
    <row r="968" spans="1:27" x14ac:dyDescent="0.25">
      <c r="A968">
        <v>120000</v>
      </c>
      <c r="B968">
        <v>1</v>
      </c>
      <c r="C968">
        <v>31</v>
      </c>
      <c r="D968">
        <v>0</v>
      </c>
      <c r="E968">
        <v>160000</v>
      </c>
      <c r="F968">
        <v>7485</v>
      </c>
      <c r="G968">
        <v>1</v>
      </c>
      <c r="H968">
        <v>0</v>
      </c>
      <c r="I968">
        <v>0</v>
      </c>
      <c r="J968">
        <v>19</v>
      </c>
      <c r="K968">
        <v>1</v>
      </c>
      <c r="L968">
        <f>Résultats!G$32+Résultats!G$33*Données!C968+Résultats!G$34*Données!D968+Résultats!G$35*Données!E968+Résultats!G$36*Données!F968+Résultats!G$37*Données!G968+Résultats!G$38*Données!H968+Résultats!G$39*Données!I968</f>
        <v>128403.86764988514</v>
      </c>
      <c r="M968">
        <f t="shared" si="60"/>
        <v>-8403.8676498851419</v>
      </c>
      <c r="Q968">
        <v>166000</v>
      </c>
      <c r="R968">
        <v>1</v>
      </c>
      <c r="S968">
        <v>32.299999237060547</v>
      </c>
      <c r="T968">
        <v>0</v>
      </c>
      <c r="U968">
        <f t="shared" si="61"/>
        <v>12.310432660854417</v>
      </c>
      <c r="V968">
        <f t="shared" si="62"/>
        <v>8.0992505617969606</v>
      </c>
      <c r="W968">
        <v>1</v>
      </c>
      <c r="X968">
        <v>0</v>
      </c>
      <c r="Y968">
        <v>0</v>
      </c>
      <c r="Z968">
        <f>'Résultat (Ln)'!F$30+'Résultat (Ln)'!F$31*Données!S968+'Résultat (Ln)'!F$32*Données!T968+'Résultat (Ln)'!F$33*Données!U968+'Résultat (Ln)'!F$34*Données!V968+'Résultat (Ln)'!F$35*Données!W968+'Résultat (Ln)'!F$36*Données!X968+'Résultat (Ln)'!F$37*Données!Y968</f>
        <v>160929.63261441395</v>
      </c>
      <c r="AA968">
        <f t="shared" si="63"/>
        <v>5070.3673855860543</v>
      </c>
    </row>
    <row r="969" spans="1:27" x14ac:dyDescent="0.25">
      <c r="A969">
        <v>111000</v>
      </c>
      <c r="B969">
        <v>1</v>
      </c>
      <c r="C969">
        <v>35</v>
      </c>
      <c r="D969">
        <v>0</v>
      </c>
      <c r="E969">
        <v>129000</v>
      </c>
      <c r="F969">
        <v>3382</v>
      </c>
      <c r="G969">
        <v>0</v>
      </c>
      <c r="H969">
        <v>0</v>
      </c>
      <c r="I969">
        <v>0</v>
      </c>
      <c r="J969">
        <v>28</v>
      </c>
      <c r="K969">
        <v>1</v>
      </c>
      <c r="L969">
        <f>Résultats!G$32+Résultats!G$33*Données!C969+Résultats!G$34*Données!D969+Résultats!G$35*Données!E969+Résultats!G$36*Données!F969+Résultats!G$37*Données!G969+Résultats!G$38*Données!H969+Résultats!G$39*Données!I969</f>
        <v>103555.63779476007</v>
      </c>
      <c r="M969">
        <f t="shared" si="60"/>
        <v>7444.3622052399296</v>
      </c>
      <c r="Q969">
        <v>120000</v>
      </c>
      <c r="R969">
        <v>1</v>
      </c>
      <c r="S969">
        <v>31</v>
      </c>
      <c r="T969">
        <v>0</v>
      </c>
      <c r="U969">
        <f t="shared" si="61"/>
        <v>11.982929094215963</v>
      </c>
      <c r="V969">
        <f t="shared" si="62"/>
        <v>8.9206562968537284</v>
      </c>
      <c r="W969">
        <v>1</v>
      </c>
      <c r="X969">
        <v>0</v>
      </c>
      <c r="Y969">
        <v>0</v>
      </c>
      <c r="Z969">
        <f>'Résultat (Ln)'!F$30+'Résultat (Ln)'!F$31*Données!S969+'Résultat (Ln)'!F$32*Données!T969+'Résultat (Ln)'!F$33*Données!U969+'Résultat (Ln)'!F$34*Données!V969+'Résultat (Ln)'!F$35*Données!W969+'Résultat (Ln)'!F$36*Données!X969+'Résultat (Ln)'!F$37*Données!Y969</f>
        <v>147271.02508439258</v>
      </c>
      <c r="AA969">
        <f t="shared" si="63"/>
        <v>-27271.025084392575</v>
      </c>
    </row>
    <row r="970" spans="1:27" x14ac:dyDescent="0.25">
      <c r="A970">
        <v>128000</v>
      </c>
      <c r="B970">
        <v>1</v>
      </c>
      <c r="C970">
        <v>37</v>
      </c>
      <c r="D970">
        <v>0</v>
      </c>
      <c r="E970">
        <v>142000</v>
      </c>
      <c r="F970">
        <v>2631</v>
      </c>
      <c r="G970">
        <v>1</v>
      </c>
      <c r="H970">
        <v>1</v>
      </c>
      <c r="I970">
        <v>0</v>
      </c>
      <c r="J970">
        <v>22</v>
      </c>
      <c r="K970">
        <v>1</v>
      </c>
      <c r="L970">
        <f>Résultats!G$32+Résultats!G$33*Données!C970+Résultats!G$34*Données!D970+Résultats!G$35*Données!E970+Résultats!G$36*Données!F970+Résultats!G$37*Données!G970+Résultats!G$38*Données!H970+Résultats!G$39*Données!I970</f>
        <v>115859.43473592824</v>
      </c>
      <c r="M970">
        <f t="shared" si="60"/>
        <v>12140.56526407176</v>
      </c>
      <c r="Q970">
        <v>111000</v>
      </c>
      <c r="R970">
        <v>1</v>
      </c>
      <c r="S970">
        <v>35</v>
      </c>
      <c r="T970">
        <v>0</v>
      </c>
      <c r="U970">
        <f t="shared" si="61"/>
        <v>11.76756768334381</v>
      </c>
      <c r="V970">
        <f t="shared" si="62"/>
        <v>8.1262225294585253</v>
      </c>
      <c r="W970">
        <v>0</v>
      </c>
      <c r="X970">
        <v>0</v>
      </c>
      <c r="Y970">
        <v>0</v>
      </c>
      <c r="Z970">
        <f>'Résultat (Ln)'!F$30+'Résultat (Ln)'!F$31*Données!S970+'Résultat (Ln)'!F$32*Données!T970+'Résultat (Ln)'!F$33*Données!U970+'Résultat (Ln)'!F$34*Données!V970+'Résultat (Ln)'!F$35*Données!W970+'Résultat (Ln)'!F$36*Données!X970+'Résultat (Ln)'!F$37*Données!Y970</f>
        <v>102278.84478283959</v>
      </c>
      <c r="AA970">
        <f t="shared" si="63"/>
        <v>8721.1552171604126</v>
      </c>
    </row>
    <row r="971" spans="1:27" x14ac:dyDescent="0.25">
      <c r="A971">
        <v>169000</v>
      </c>
      <c r="B971">
        <v>1</v>
      </c>
      <c r="C971">
        <v>33</v>
      </c>
      <c r="D971">
        <v>0</v>
      </c>
      <c r="E971">
        <v>188000</v>
      </c>
      <c r="F971">
        <v>3895</v>
      </c>
      <c r="G971">
        <v>1</v>
      </c>
      <c r="H971">
        <v>0</v>
      </c>
      <c r="I971">
        <v>0</v>
      </c>
      <c r="J971">
        <v>24</v>
      </c>
      <c r="K971">
        <v>1</v>
      </c>
      <c r="L971">
        <f>Résultats!G$32+Résultats!G$33*Données!C971+Résultats!G$34*Données!D971+Résultats!G$35*Données!E971+Résultats!G$36*Données!F971+Résultats!G$37*Données!G971+Résultats!G$38*Données!H971+Résultats!G$39*Données!I971</f>
        <v>136819.24328789057</v>
      </c>
      <c r="M971">
        <f t="shared" si="60"/>
        <v>32180.756712109433</v>
      </c>
      <c r="Q971">
        <v>128000</v>
      </c>
      <c r="R971">
        <v>1</v>
      </c>
      <c r="S971">
        <v>37</v>
      </c>
      <c r="T971">
        <v>0</v>
      </c>
      <c r="U971">
        <f t="shared" si="61"/>
        <v>11.863582336583399</v>
      </c>
      <c r="V971">
        <f t="shared" si="62"/>
        <v>7.875119281040293</v>
      </c>
      <c r="W971">
        <v>1</v>
      </c>
      <c r="X971">
        <v>1</v>
      </c>
      <c r="Y971">
        <v>0</v>
      </c>
      <c r="Z971">
        <f>'Résultat (Ln)'!F$30+'Résultat (Ln)'!F$31*Données!S971+'Résultat (Ln)'!F$32*Données!T971+'Résultat (Ln)'!F$33*Données!U971+'Résultat (Ln)'!F$34*Données!V971+'Résultat (Ln)'!F$35*Données!W971+'Résultat (Ln)'!F$36*Données!X971+'Résultat (Ln)'!F$37*Données!Y971</f>
        <v>112309.37395112088</v>
      </c>
      <c r="AA971">
        <f t="shared" si="63"/>
        <v>15690.626048879116</v>
      </c>
    </row>
    <row r="972" spans="1:27" x14ac:dyDescent="0.25">
      <c r="A972">
        <v>212000</v>
      </c>
      <c r="B972">
        <v>1</v>
      </c>
      <c r="C972">
        <v>37</v>
      </c>
      <c r="D972">
        <v>0</v>
      </c>
      <c r="E972">
        <v>235000</v>
      </c>
      <c r="F972">
        <v>7252</v>
      </c>
      <c r="G972">
        <v>0</v>
      </c>
      <c r="H972">
        <v>0</v>
      </c>
      <c r="I972">
        <v>0</v>
      </c>
      <c r="J972">
        <v>26</v>
      </c>
      <c r="K972">
        <v>1</v>
      </c>
      <c r="L972">
        <f>Résultats!G$32+Résultats!G$33*Données!C972+Résultats!G$34*Données!D972+Résultats!G$35*Données!E972+Résultats!G$36*Données!F972+Résultats!G$37*Données!G972+Résultats!G$38*Données!H972+Résultats!G$39*Données!I972</f>
        <v>162849.2621377683</v>
      </c>
      <c r="M972">
        <f t="shared" si="60"/>
        <v>49150.737862231705</v>
      </c>
      <c r="Q972">
        <v>169000</v>
      </c>
      <c r="R972">
        <v>1</v>
      </c>
      <c r="S972">
        <v>33</v>
      </c>
      <c r="T972">
        <v>0</v>
      </c>
      <c r="U972">
        <f t="shared" si="61"/>
        <v>12.144197241812087</v>
      </c>
      <c r="V972">
        <f t="shared" si="62"/>
        <v>8.2674489583048487</v>
      </c>
      <c r="W972">
        <v>1</v>
      </c>
      <c r="X972">
        <v>0</v>
      </c>
      <c r="Y972">
        <v>0</v>
      </c>
      <c r="Z972">
        <f>'Résultat (Ln)'!F$30+'Résultat (Ln)'!F$31*Données!S972+'Résultat (Ln)'!F$32*Données!T972+'Résultat (Ln)'!F$33*Données!U972+'Résultat (Ln)'!F$34*Données!V972+'Résultat (Ln)'!F$35*Données!W972+'Résultat (Ln)'!F$36*Données!X972+'Résultat (Ln)'!F$37*Données!Y972</f>
        <v>148682.61971900071</v>
      </c>
      <c r="AA972">
        <f t="shared" si="63"/>
        <v>20317.380280999292</v>
      </c>
    </row>
    <row r="973" spans="1:27" x14ac:dyDescent="0.25">
      <c r="A973">
        <v>130000</v>
      </c>
      <c r="B973">
        <v>1</v>
      </c>
      <c r="C973">
        <v>38</v>
      </c>
      <c r="D973">
        <v>0</v>
      </c>
      <c r="E973">
        <v>142000</v>
      </c>
      <c r="F973">
        <v>3908</v>
      </c>
      <c r="G973">
        <v>1</v>
      </c>
      <c r="H973">
        <v>0</v>
      </c>
      <c r="I973">
        <v>0</v>
      </c>
      <c r="J973">
        <v>31</v>
      </c>
      <c r="K973">
        <v>1</v>
      </c>
      <c r="L973">
        <f>Résultats!G$32+Résultats!G$33*Données!C973+Résultats!G$34*Données!D973+Résultats!G$35*Données!E973+Résultats!G$36*Données!F973+Résultats!G$37*Données!G973+Résultats!G$38*Données!H973+Résultats!G$39*Données!I973</f>
        <v>121107.93606029353</v>
      </c>
      <c r="M973">
        <f t="shared" si="60"/>
        <v>8892.063939706466</v>
      </c>
      <c r="Q973">
        <v>212000</v>
      </c>
      <c r="R973">
        <v>1</v>
      </c>
      <c r="S973">
        <v>37</v>
      </c>
      <c r="T973">
        <v>0</v>
      </c>
      <c r="U973">
        <f t="shared" si="61"/>
        <v>12.367340793126296</v>
      </c>
      <c r="V973">
        <f t="shared" si="62"/>
        <v>8.8890325718747416</v>
      </c>
      <c r="W973">
        <v>0</v>
      </c>
      <c r="X973">
        <v>0</v>
      </c>
      <c r="Y973">
        <v>0</v>
      </c>
      <c r="Z973">
        <f>'Résultat (Ln)'!F$30+'Résultat (Ln)'!F$31*Données!S973+'Résultat (Ln)'!F$32*Données!T973+'Résultat (Ln)'!F$33*Données!U973+'Résultat (Ln)'!F$34*Données!V973+'Résultat (Ln)'!F$35*Données!W973+'Résultat (Ln)'!F$36*Données!X973+'Résultat (Ln)'!F$37*Données!Y973</f>
        <v>190409.5573878187</v>
      </c>
      <c r="AA973">
        <f t="shared" si="63"/>
        <v>21590.442612181301</v>
      </c>
    </row>
    <row r="974" spans="1:27" x14ac:dyDescent="0.25">
      <c r="A974">
        <v>73000</v>
      </c>
      <c r="B974">
        <v>1</v>
      </c>
      <c r="C974">
        <v>35</v>
      </c>
      <c r="D974">
        <v>0</v>
      </c>
      <c r="E974">
        <v>91000</v>
      </c>
      <c r="F974">
        <v>2527</v>
      </c>
      <c r="G974">
        <v>0</v>
      </c>
      <c r="H974">
        <v>0</v>
      </c>
      <c r="I974">
        <v>1</v>
      </c>
      <c r="J974">
        <v>35</v>
      </c>
      <c r="K974">
        <v>0</v>
      </c>
      <c r="L974">
        <f>Résultats!G$32+Résultats!G$33*Données!C974+Résultats!G$34*Données!D974+Résultats!G$35*Données!E974+Résultats!G$36*Données!F974+Résultats!G$37*Données!G974+Résultats!G$38*Données!H974+Résultats!G$39*Données!I974</f>
        <v>94080.062244448112</v>
      </c>
      <c r="M974">
        <f t="shared" si="60"/>
        <v>-21080.062244448112</v>
      </c>
      <c r="Q974">
        <v>130000</v>
      </c>
      <c r="R974">
        <v>1</v>
      </c>
      <c r="S974">
        <v>38</v>
      </c>
      <c r="T974">
        <v>0</v>
      </c>
      <c r="U974">
        <f t="shared" si="61"/>
        <v>11.863582336583399</v>
      </c>
      <c r="V974">
        <f t="shared" si="62"/>
        <v>8.270781013162674</v>
      </c>
      <c r="W974">
        <v>1</v>
      </c>
      <c r="X974">
        <v>0</v>
      </c>
      <c r="Y974">
        <v>0</v>
      </c>
      <c r="Z974">
        <f>'Résultat (Ln)'!F$30+'Résultat (Ln)'!F$31*Données!S974+'Résultat (Ln)'!F$32*Données!T974+'Résultat (Ln)'!F$33*Données!U974+'Résultat (Ln)'!F$34*Données!V974+'Résultat (Ln)'!F$35*Données!W974+'Résultat (Ln)'!F$36*Données!X974+'Résultat (Ln)'!F$37*Données!Y974</f>
        <v>124805.60098386691</v>
      </c>
      <c r="AA974">
        <f t="shared" si="63"/>
        <v>5194.3990161330876</v>
      </c>
    </row>
    <row r="975" spans="1:27" x14ac:dyDescent="0.25">
      <c r="A975">
        <v>69000</v>
      </c>
      <c r="B975">
        <v>1</v>
      </c>
      <c r="C975">
        <v>38.900001525878913</v>
      </c>
      <c r="D975">
        <v>0</v>
      </c>
      <c r="E975">
        <v>107000</v>
      </c>
      <c r="F975">
        <v>2000</v>
      </c>
      <c r="G975">
        <v>0</v>
      </c>
      <c r="H975">
        <v>0</v>
      </c>
      <c r="I975">
        <v>1</v>
      </c>
      <c r="J975">
        <v>38.860000610351563</v>
      </c>
      <c r="K975">
        <v>1</v>
      </c>
      <c r="L975">
        <f>Résultats!G$32+Résultats!G$33*Données!C975+Résultats!G$34*Données!D975+Résultats!G$35*Données!E975+Résultats!G$36*Données!F975+Résultats!G$37*Données!G975+Résultats!G$38*Données!H975+Résultats!G$39*Données!I975</f>
        <v>105009.91683274778</v>
      </c>
      <c r="M975">
        <f t="shared" si="60"/>
        <v>-36009.916832747782</v>
      </c>
      <c r="Q975">
        <v>73000</v>
      </c>
      <c r="R975">
        <v>1</v>
      </c>
      <c r="S975">
        <v>35</v>
      </c>
      <c r="T975">
        <v>0</v>
      </c>
      <c r="U975">
        <f t="shared" si="61"/>
        <v>11.418614785498987</v>
      </c>
      <c r="V975">
        <f t="shared" si="62"/>
        <v>7.834788107388194</v>
      </c>
      <c r="W975">
        <v>0</v>
      </c>
      <c r="X975">
        <v>0</v>
      </c>
      <c r="Y975">
        <v>1</v>
      </c>
      <c r="Z975">
        <f>'Résultat (Ln)'!F$30+'Résultat (Ln)'!F$31*Données!S975+'Résultat (Ln)'!F$32*Données!T975+'Résultat (Ln)'!F$33*Données!U975+'Résultat (Ln)'!F$34*Données!V975+'Résultat (Ln)'!F$35*Données!W975+'Résultat (Ln)'!F$36*Données!X975+'Résultat (Ln)'!F$37*Données!Y975</f>
        <v>70786.062735607877</v>
      </c>
      <c r="AA975">
        <f t="shared" si="63"/>
        <v>2213.9372643921233</v>
      </c>
    </row>
    <row r="976" spans="1:27" x14ac:dyDescent="0.25">
      <c r="A976">
        <v>149000</v>
      </c>
      <c r="B976">
        <v>1</v>
      </c>
      <c r="C976">
        <v>37</v>
      </c>
      <c r="D976">
        <v>0</v>
      </c>
      <c r="E976">
        <v>160000</v>
      </c>
      <c r="F976">
        <v>1829</v>
      </c>
      <c r="G976">
        <v>0</v>
      </c>
      <c r="H976">
        <v>0</v>
      </c>
      <c r="I976">
        <v>1</v>
      </c>
      <c r="J976">
        <v>34</v>
      </c>
      <c r="K976">
        <v>1</v>
      </c>
      <c r="L976">
        <f>Résultats!G$32+Résultats!G$33*Données!C976+Résultats!G$34*Données!D976+Résultats!G$35*Données!E976+Résultats!G$36*Données!F976+Résultats!G$37*Données!G976+Résultats!G$38*Données!H976+Résultats!G$39*Données!I976</f>
        <v>127244.60295979679</v>
      </c>
      <c r="M976">
        <f t="shared" si="60"/>
        <v>21755.397040203214</v>
      </c>
      <c r="Q976">
        <v>69000</v>
      </c>
      <c r="R976">
        <v>1</v>
      </c>
      <c r="S976">
        <v>38.900001525878913</v>
      </c>
      <c r="T976">
        <v>0</v>
      </c>
      <c r="U976">
        <f t="shared" si="61"/>
        <v>11.580584113444043</v>
      </c>
      <c r="V976">
        <f t="shared" si="62"/>
        <v>7.6009024595420822</v>
      </c>
      <c r="W976">
        <v>0</v>
      </c>
      <c r="X976">
        <v>0</v>
      </c>
      <c r="Y976">
        <v>1</v>
      </c>
      <c r="Z976">
        <f>'Résultat (Ln)'!F$30+'Résultat (Ln)'!F$31*Données!S976+'Résultat (Ln)'!F$32*Données!T976+'Résultat (Ln)'!F$33*Données!U976+'Résultat (Ln)'!F$34*Données!V976+'Résultat (Ln)'!F$35*Données!W976+'Résultat (Ln)'!F$36*Données!X976+'Résultat (Ln)'!F$37*Données!Y976</f>
        <v>86354.909790208476</v>
      </c>
      <c r="AA976">
        <f t="shared" si="63"/>
        <v>-17354.909790208476</v>
      </c>
    </row>
    <row r="977" spans="1:27" x14ac:dyDescent="0.25">
      <c r="A977">
        <v>100000</v>
      </c>
      <c r="B977">
        <v>1</v>
      </c>
      <c r="C977">
        <v>36</v>
      </c>
      <c r="D977">
        <v>0</v>
      </c>
      <c r="E977">
        <v>125000</v>
      </c>
      <c r="F977">
        <v>2925</v>
      </c>
      <c r="G977">
        <v>0</v>
      </c>
      <c r="H977">
        <v>0</v>
      </c>
      <c r="I977">
        <v>0</v>
      </c>
      <c r="J977">
        <v>31</v>
      </c>
      <c r="K977">
        <v>0</v>
      </c>
      <c r="L977">
        <f>Résultats!G$32+Résultats!G$33*Données!C977+Résultats!G$34*Données!D977+Résultats!G$35*Données!E977+Résultats!G$36*Données!F977+Résultats!G$37*Données!G977+Résultats!G$38*Données!H977+Résultats!G$39*Données!I977</f>
        <v>101950.92627303692</v>
      </c>
      <c r="M977">
        <f t="shared" si="60"/>
        <v>-1950.9262730369228</v>
      </c>
      <c r="Q977">
        <v>149000</v>
      </c>
      <c r="R977">
        <v>1</v>
      </c>
      <c r="S977">
        <v>37</v>
      </c>
      <c r="T977">
        <v>0</v>
      </c>
      <c r="U977">
        <f t="shared" si="61"/>
        <v>11.982929094215963</v>
      </c>
      <c r="V977">
        <f t="shared" si="62"/>
        <v>7.511524648390866</v>
      </c>
      <c r="W977">
        <v>0</v>
      </c>
      <c r="X977">
        <v>0</v>
      </c>
      <c r="Y977">
        <v>1</v>
      </c>
      <c r="Z977">
        <f>'Résultat (Ln)'!F$30+'Résultat (Ln)'!F$31*Données!S977+'Résultat (Ln)'!F$32*Données!T977+'Résultat (Ln)'!F$33*Données!U977+'Résultat (Ln)'!F$34*Données!V977+'Résultat (Ln)'!F$35*Données!W977+'Résultat (Ln)'!F$36*Données!X977+'Résultat (Ln)'!F$37*Données!Y977</f>
        <v>124655.95660099451</v>
      </c>
      <c r="AA977">
        <f t="shared" si="63"/>
        <v>24344.043399005488</v>
      </c>
    </row>
    <row r="978" spans="1:27" x14ac:dyDescent="0.25">
      <c r="A978">
        <v>135000</v>
      </c>
      <c r="B978">
        <v>1</v>
      </c>
      <c r="C978">
        <v>29</v>
      </c>
      <c r="D978">
        <v>0</v>
      </c>
      <c r="E978">
        <v>150000</v>
      </c>
      <c r="F978">
        <v>3762</v>
      </c>
      <c r="G978">
        <v>0</v>
      </c>
      <c r="H978">
        <v>0</v>
      </c>
      <c r="I978">
        <v>0</v>
      </c>
      <c r="J978">
        <v>25</v>
      </c>
      <c r="K978">
        <v>0</v>
      </c>
      <c r="L978">
        <f>Résultats!G$32+Résultats!G$33*Données!C978+Résultats!G$34*Données!D978+Résultats!G$35*Données!E978+Résultats!G$36*Données!F978+Résultats!G$37*Données!G978+Résultats!G$38*Données!H978+Résultats!G$39*Données!I978</f>
        <v>107205.99336116592</v>
      </c>
      <c r="M978">
        <f t="shared" si="60"/>
        <v>27794.006638834078</v>
      </c>
      <c r="Q978">
        <v>100000</v>
      </c>
      <c r="R978">
        <v>1</v>
      </c>
      <c r="S978">
        <v>36</v>
      </c>
      <c r="T978">
        <v>0</v>
      </c>
      <c r="U978">
        <f t="shared" si="61"/>
        <v>11.736069016284437</v>
      </c>
      <c r="V978">
        <f t="shared" si="62"/>
        <v>7.9810497596659573</v>
      </c>
      <c r="W978">
        <v>0</v>
      </c>
      <c r="X978">
        <v>0</v>
      </c>
      <c r="Y978">
        <v>0</v>
      </c>
      <c r="Z978">
        <f>'Résultat (Ln)'!F$30+'Résultat (Ln)'!F$31*Données!S978+'Résultat (Ln)'!F$32*Données!T978+'Résultat (Ln)'!F$33*Données!U978+'Résultat (Ln)'!F$34*Données!V978+'Résultat (Ln)'!F$35*Données!W978+'Résultat (Ln)'!F$36*Données!X978+'Résultat (Ln)'!F$37*Données!Y978</f>
        <v>96052.88286262672</v>
      </c>
      <c r="AA978">
        <f t="shared" si="63"/>
        <v>3947.1171373732795</v>
      </c>
    </row>
    <row r="979" spans="1:27" x14ac:dyDescent="0.25">
      <c r="A979">
        <v>104000</v>
      </c>
      <c r="B979">
        <v>1</v>
      </c>
      <c r="C979">
        <v>44</v>
      </c>
      <c r="D979">
        <v>1</v>
      </c>
      <c r="E979">
        <v>115000</v>
      </c>
      <c r="F979">
        <v>2400</v>
      </c>
      <c r="G979">
        <v>0</v>
      </c>
      <c r="H979">
        <v>0</v>
      </c>
      <c r="I979">
        <v>0</v>
      </c>
      <c r="J979">
        <v>27</v>
      </c>
      <c r="K979">
        <v>0</v>
      </c>
      <c r="L979">
        <f>Résultats!G$32+Résultats!G$33*Données!C979+Résultats!G$34*Données!D979+Résultats!G$35*Données!E979+Résultats!G$36*Données!F979+Résultats!G$37*Données!G979+Résultats!G$38*Données!H979+Résultats!G$39*Données!I979</f>
        <v>110301.66696752131</v>
      </c>
      <c r="M979">
        <f t="shared" si="60"/>
        <v>-6301.6669675213052</v>
      </c>
      <c r="Q979">
        <v>135000</v>
      </c>
      <c r="R979">
        <v>1</v>
      </c>
      <c r="S979">
        <v>29</v>
      </c>
      <c r="T979">
        <v>0</v>
      </c>
      <c r="U979">
        <f t="shared" si="61"/>
        <v>11.918390573078392</v>
      </c>
      <c r="V979">
        <f t="shared" si="62"/>
        <v>8.2327060098609763</v>
      </c>
      <c r="W979">
        <v>0</v>
      </c>
      <c r="X979">
        <v>0</v>
      </c>
      <c r="Y979">
        <v>0</v>
      </c>
      <c r="Z979">
        <f>'Résultat (Ln)'!F$30+'Résultat (Ln)'!F$31*Données!S979+'Résultat (Ln)'!F$32*Données!T979+'Résultat (Ln)'!F$33*Données!U979+'Résultat (Ln)'!F$34*Données!V979+'Résultat (Ln)'!F$35*Données!W979+'Résultat (Ln)'!F$36*Données!X979+'Résultat (Ln)'!F$37*Données!Y979</f>
        <v>114100.5576921106</v>
      </c>
      <c r="AA979">
        <f t="shared" si="63"/>
        <v>20899.442307889403</v>
      </c>
    </row>
    <row r="980" spans="1:27" x14ac:dyDescent="0.25">
      <c r="A980">
        <v>110000</v>
      </c>
      <c r="B980">
        <v>1</v>
      </c>
      <c r="C980">
        <v>36</v>
      </c>
      <c r="D980">
        <v>1</v>
      </c>
      <c r="E980">
        <v>116000</v>
      </c>
      <c r="F980">
        <v>2431</v>
      </c>
      <c r="G980">
        <v>1</v>
      </c>
      <c r="H980">
        <v>0</v>
      </c>
      <c r="I980">
        <v>1</v>
      </c>
      <c r="J980">
        <v>26</v>
      </c>
      <c r="K980">
        <v>1</v>
      </c>
      <c r="L980">
        <f>Résultats!G$32+Résultats!G$33*Données!C980+Résultats!G$34*Données!D980+Résultats!G$35*Données!E980+Résultats!G$36*Données!F980+Résultats!G$37*Données!G980+Résultats!G$38*Données!H980+Résultats!G$39*Données!I980</f>
        <v>118581.40394960798</v>
      </c>
      <c r="M980">
        <f t="shared" si="60"/>
        <v>-8581.4039496079786</v>
      </c>
      <c r="Q980">
        <v>104000</v>
      </c>
      <c r="R980">
        <v>1</v>
      </c>
      <c r="S980">
        <v>44</v>
      </c>
      <c r="T980">
        <v>1</v>
      </c>
      <c r="U980">
        <f t="shared" si="61"/>
        <v>11.652687407345388</v>
      </c>
      <c r="V980">
        <f t="shared" si="62"/>
        <v>7.7832240163360371</v>
      </c>
      <c r="W980">
        <v>0</v>
      </c>
      <c r="X980">
        <v>0</v>
      </c>
      <c r="Y980">
        <v>0</v>
      </c>
      <c r="Z980">
        <f>'Résultat (Ln)'!F$30+'Résultat (Ln)'!F$31*Données!S980+'Résultat (Ln)'!F$32*Données!T980+'Résultat (Ln)'!F$33*Données!U980+'Résultat (Ln)'!F$34*Données!V980+'Résultat (Ln)'!F$35*Données!W980+'Résultat (Ln)'!F$36*Données!X980+'Résultat (Ln)'!F$37*Données!Y980</f>
        <v>95691.703994428273</v>
      </c>
      <c r="AA980">
        <f t="shared" si="63"/>
        <v>8308.2960055717267</v>
      </c>
    </row>
    <row r="981" spans="1:27" x14ac:dyDescent="0.25">
      <c r="A981">
        <v>480000</v>
      </c>
      <c r="B981">
        <v>1</v>
      </c>
      <c r="C981">
        <v>26.29999923706055</v>
      </c>
      <c r="D981">
        <v>0</v>
      </c>
      <c r="E981">
        <v>600000</v>
      </c>
      <c r="F981">
        <v>20233</v>
      </c>
      <c r="G981">
        <v>0</v>
      </c>
      <c r="H981">
        <v>0</v>
      </c>
      <c r="I981">
        <v>1</v>
      </c>
      <c r="J981">
        <v>26.10000038146973</v>
      </c>
      <c r="K981">
        <v>1</v>
      </c>
      <c r="L981">
        <f>Résultats!G$32+Résultats!G$33*Données!C981+Résultats!G$34*Données!D981+Résultats!G$35*Données!E981+Résultats!G$36*Données!F981+Résultats!G$37*Données!G981+Résultats!G$38*Données!H981+Résultats!G$39*Données!I981</f>
        <v>356076.30592219409</v>
      </c>
      <c r="M981">
        <f t="shared" si="60"/>
        <v>123923.69407780591</v>
      </c>
      <c r="Q981">
        <v>110000</v>
      </c>
      <c r="R981">
        <v>1</v>
      </c>
      <c r="S981">
        <v>36</v>
      </c>
      <c r="T981">
        <v>1</v>
      </c>
      <c r="U981">
        <f t="shared" si="61"/>
        <v>11.661345470088502</v>
      </c>
      <c r="V981">
        <f t="shared" si="62"/>
        <v>7.7960579743161231</v>
      </c>
      <c r="W981">
        <v>1</v>
      </c>
      <c r="X981">
        <v>0</v>
      </c>
      <c r="Y981">
        <v>1</v>
      </c>
      <c r="Z981">
        <f>'Résultat (Ln)'!F$30+'Résultat (Ln)'!F$31*Données!S981+'Résultat (Ln)'!F$32*Données!T981+'Résultat (Ln)'!F$33*Données!U981+'Résultat (Ln)'!F$34*Données!V981+'Résultat (Ln)'!F$35*Données!W981+'Résultat (Ln)'!F$36*Données!X981+'Résultat (Ln)'!F$37*Données!Y981</f>
        <v>105804.38248936889</v>
      </c>
      <c r="AA981">
        <f t="shared" si="63"/>
        <v>4195.617510631113</v>
      </c>
    </row>
    <row r="982" spans="1:27" x14ac:dyDescent="0.25">
      <c r="A982">
        <v>150000</v>
      </c>
      <c r="B982">
        <v>1</v>
      </c>
      <c r="C982">
        <v>21</v>
      </c>
      <c r="D982">
        <v>0</v>
      </c>
      <c r="E982">
        <v>190000</v>
      </c>
      <c r="F982">
        <v>26000</v>
      </c>
      <c r="G982">
        <v>0</v>
      </c>
      <c r="H982">
        <v>0</v>
      </c>
      <c r="I982">
        <v>1</v>
      </c>
      <c r="J982">
        <v>6</v>
      </c>
      <c r="K982">
        <v>1</v>
      </c>
      <c r="L982">
        <f>Résultats!G$32+Résultats!G$33*Données!C982+Résultats!G$34*Données!D982+Résultats!G$35*Données!E982+Résultats!G$36*Données!F982+Résultats!G$37*Données!G982+Résultats!G$38*Données!H982+Résultats!G$39*Données!I982</f>
        <v>169712.73337177557</v>
      </c>
      <c r="M982">
        <f t="shared" si="60"/>
        <v>-19712.733371775568</v>
      </c>
      <c r="Q982">
        <v>480000</v>
      </c>
      <c r="R982">
        <v>1</v>
      </c>
      <c r="S982">
        <v>26.29999923706055</v>
      </c>
      <c r="T982">
        <v>0</v>
      </c>
      <c r="U982">
        <f t="shared" si="61"/>
        <v>13.304684934198283</v>
      </c>
      <c r="V982">
        <f t="shared" si="62"/>
        <v>9.9150702137791953</v>
      </c>
      <c r="W982">
        <v>0</v>
      </c>
      <c r="X982">
        <v>0</v>
      </c>
      <c r="Y982">
        <v>1</v>
      </c>
      <c r="Z982">
        <f>'Résultat (Ln)'!F$30+'Résultat (Ln)'!F$31*Données!S982+'Résultat (Ln)'!F$32*Données!T982+'Résultat (Ln)'!F$33*Données!U982+'Résultat (Ln)'!F$34*Données!V982+'Résultat (Ln)'!F$35*Données!W982+'Résultat (Ln)'!F$36*Données!X982+'Résultat (Ln)'!F$37*Données!Y982</f>
        <v>320675.82429987798</v>
      </c>
      <c r="AA982">
        <f t="shared" si="63"/>
        <v>159324.17570012202</v>
      </c>
    </row>
    <row r="983" spans="1:27" x14ac:dyDescent="0.25">
      <c r="A983">
        <v>185000</v>
      </c>
      <c r="B983">
        <v>1</v>
      </c>
      <c r="C983">
        <v>32</v>
      </c>
      <c r="D983">
        <v>0</v>
      </c>
      <c r="E983">
        <v>210000</v>
      </c>
      <c r="F983">
        <v>7667</v>
      </c>
      <c r="G983">
        <v>1</v>
      </c>
      <c r="H983">
        <v>0</v>
      </c>
      <c r="I983">
        <v>0</v>
      </c>
      <c r="J983">
        <v>25</v>
      </c>
      <c r="K983">
        <v>1</v>
      </c>
      <c r="L983">
        <f>Résultats!G$32+Résultats!G$33*Données!C983+Résultats!G$34*Données!D983+Résultats!G$35*Données!E983+Résultats!G$36*Données!F983+Résultats!G$37*Données!G983+Résultats!G$38*Données!H983+Résultats!G$39*Données!I983</f>
        <v>153252.87876320141</v>
      </c>
      <c r="M983">
        <f t="shared" si="60"/>
        <v>31747.121236798586</v>
      </c>
      <c r="Q983">
        <v>150000</v>
      </c>
      <c r="R983">
        <v>1</v>
      </c>
      <c r="S983">
        <v>21</v>
      </c>
      <c r="T983">
        <v>0</v>
      </c>
      <c r="U983">
        <f t="shared" si="61"/>
        <v>12.154779351142624</v>
      </c>
      <c r="V983">
        <f t="shared" si="62"/>
        <v>10.165851817003619</v>
      </c>
      <c r="W983">
        <v>0</v>
      </c>
      <c r="X983">
        <v>0</v>
      </c>
      <c r="Y983">
        <v>1</v>
      </c>
      <c r="Z983">
        <f>'Résultat (Ln)'!F$30+'Résultat (Ln)'!F$31*Données!S983+'Résultat (Ln)'!F$32*Données!T983+'Résultat (Ln)'!F$33*Données!U983+'Résultat (Ln)'!F$34*Données!V983+'Résultat (Ln)'!F$35*Données!W983+'Résultat (Ln)'!F$36*Données!X983+'Résultat (Ln)'!F$37*Données!Y983</f>
        <v>197967.59672796226</v>
      </c>
      <c r="AA983">
        <f t="shared" si="63"/>
        <v>-47967.596727962256</v>
      </c>
    </row>
    <row r="984" spans="1:27" x14ac:dyDescent="0.25">
      <c r="A984">
        <v>160000</v>
      </c>
      <c r="B984">
        <v>1</v>
      </c>
      <c r="C984">
        <v>24</v>
      </c>
      <c r="D984">
        <v>0</v>
      </c>
      <c r="E984">
        <v>178000</v>
      </c>
      <c r="F984">
        <v>4912</v>
      </c>
      <c r="G984">
        <v>1</v>
      </c>
      <c r="H984">
        <v>0</v>
      </c>
      <c r="I984">
        <v>0</v>
      </c>
      <c r="J984">
        <v>17</v>
      </c>
      <c r="K984">
        <v>1</v>
      </c>
      <c r="L984">
        <f>Résultats!G$32+Résultats!G$33*Données!C984+Résultats!G$34*Données!D984+Résultats!G$35*Données!E984+Résultats!G$36*Données!F984+Résultats!G$37*Données!G984+Résultats!G$38*Données!H984+Résultats!G$39*Données!I984</f>
        <v>123782.40694007844</v>
      </c>
      <c r="M984">
        <f t="shared" si="60"/>
        <v>36217.593059921564</v>
      </c>
      <c r="Q984">
        <v>185000</v>
      </c>
      <c r="R984">
        <v>1</v>
      </c>
      <c r="S984">
        <v>32</v>
      </c>
      <c r="T984">
        <v>0</v>
      </c>
      <c r="U984">
        <f t="shared" si="61"/>
        <v>12.254862809699606</v>
      </c>
      <c r="V984">
        <f t="shared" si="62"/>
        <v>8.9446806835588948</v>
      </c>
      <c r="W984">
        <v>1</v>
      </c>
      <c r="X984">
        <v>0</v>
      </c>
      <c r="Y984">
        <v>0</v>
      </c>
      <c r="Z984">
        <f>'Résultat (Ln)'!F$30+'Résultat (Ln)'!F$31*Données!S984+'Résultat (Ln)'!F$32*Données!T984+'Résultat (Ln)'!F$33*Données!U984+'Résultat (Ln)'!F$34*Données!V984+'Résultat (Ln)'!F$35*Données!W984+'Résultat (Ln)'!F$36*Données!X984+'Résultat (Ln)'!F$37*Données!Y984</f>
        <v>178316.93767890095</v>
      </c>
      <c r="AA984">
        <f t="shared" si="63"/>
        <v>6683.0623210990452</v>
      </c>
    </row>
    <row r="985" spans="1:27" x14ac:dyDescent="0.25">
      <c r="A985">
        <v>240000</v>
      </c>
      <c r="B985">
        <v>1</v>
      </c>
      <c r="C985">
        <v>28.5</v>
      </c>
      <c r="D985">
        <v>0</v>
      </c>
      <c r="E985">
        <v>294000</v>
      </c>
      <c r="F985">
        <v>4600</v>
      </c>
      <c r="G985">
        <v>1</v>
      </c>
      <c r="H985">
        <v>0</v>
      </c>
      <c r="I985">
        <v>1</v>
      </c>
      <c r="J985">
        <v>28.5</v>
      </c>
      <c r="K985">
        <v>1</v>
      </c>
      <c r="L985">
        <f>Résultats!G$32+Résultats!G$33*Données!C985+Résultats!G$34*Données!D985+Résultats!G$35*Données!E985+Résultats!G$36*Données!F985+Résultats!G$37*Données!G985+Résultats!G$38*Données!H985+Résultats!G$39*Données!I985</f>
        <v>192438.87001098518</v>
      </c>
      <c r="M985">
        <f t="shared" si="60"/>
        <v>47561.129989014822</v>
      </c>
      <c r="Q985">
        <v>160000</v>
      </c>
      <c r="R985">
        <v>1</v>
      </c>
      <c r="S985">
        <v>24</v>
      </c>
      <c r="T985">
        <v>0</v>
      </c>
      <c r="U985">
        <f t="shared" si="61"/>
        <v>12.089538829274222</v>
      </c>
      <c r="V985">
        <f t="shared" si="62"/>
        <v>8.4994364698269784</v>
      </c>
      <c r="W985">
        <v>1</v>
      </c>
      <c r="X985">
        <v>0</v>
      </c>
      <c r="Y985">
        <v>0</v>
      </c>
      <c r="Z985">
        <f>'Résultat (Ln)'!F$30+'Résultat (Ln)'!F$31*Données!S985+'Résultat (Ln)'!F$32*Données!T985+'Résultat (Ln)'!F$33*Données!U985+'Résultat (Ln)'!F$34*Données!V985+'Résultat (Ln)'!F$35*Données!W985+'Résultat (Ln)'!F$36*Données!X985+'Résultat (Ln)'!F$37*Données!Y985</f>
        <v>138331.3852032081</v>
      </c>
      <c r="AA985">
        <f t="shared" si="63"/>
        <v>21668.614796791895</v>
      </c>
    </row>
    <row r="986" spans="1:27" x14ac:dyDescent="0.25">
      <c r="A986">
        <v>120000</v>
      </c>
      <c r="B986">
        <v>1</v>
      </c>
      <c r="C986">
        <v>36</v>
      </c>
      <c r="D986">
        <v>0</v>
      </c>
      <c r="E986">
        <v>255000</v>
      </c>
      <c r="F986">
        <v>4072</v>
      </c>
      <c r="G986">
        <v>1</v>
      </c>
      <c r="H986">
        <v>0</v>
      </c>
      <c r="I986">
        <v>0</v>
      </c>
      <c r="J986">
        <v>27</v>
      </c>
      <c r="K986">
        <v>1</v>
      </c>
      <c r="L986">
        <f>Résultats!G$32+Résultats!G$33*Données!C986+Résultats!G$34*Données!D986+Résultats!G$35*Données!E986+Résultats!G$36*Données!F986+Résultats!G$37*Données!G986+Résultats!G$38*Données!H986+Résultats!G$39*Données!I986</f>
        <v>171894.1117900481</v>
      </c>
      <c r="M986">
        <f t="shared" si="60"/>
        <v>-51894.111790048104</v>
      </c>
      <c r="Q986">
        <v>240000</v>
      </c>
      <c r="R986">
        <v>1</v>
      </c>
      <c r="S986">
        <v>28.5</v>
      </c>
      <c r="T986">
        <v>0</v>
      </c>
      <c r="U986">
        <f t="shared" si="61"/>
        <v>12.591335046320818</v>
      </c>
      <c r="V986">
        <f t="shared" si="62"/>
        <v>8.4338115824771869</v>
      </c>
      <c r="W986">
        <v>1</v>
      </c>
      <c r="X986">
        <v>0</v>
      </c>
      <c r="Y986">
        <v>1</v>
      </c>
      <c r="Z986">
        <f>'Résultat (Ln)'!F$30+'Résultat (Ln)'!F$31*Données!S986+'Résultat (Ln)'!F$32*Données!T986+'Résultat (Ln)'!F$33*Données!U986+'Résultat (Ln)'!F$34*Données!V986+'Résultat (Ln)'!F$35*Données!W986+'Résultat (Ln)'!F$36*Données!X986+'Résultat (Ln)'!F$37*Données!Y986</f>
        <v>209867.32818553044</v>
      </c>
      <c r="AA986">
        <f t="shared" si="63"/>
        <v>30132.671814469562</v>
      </c>
    </row>
    <row r="987" spans="1:27" x14ac:dyDescent="0.25">
      <c r="A987">
        <v>84000</v>
      </c>
      <c r="B987">
        <v>1</v>
      </c>
      <c r="C987">
        <v>31</v>
      </c>
      <c r="D987">
        <v>0</v>
      </c>
      <c r="E987">
        <v>120000</v>
      </c>
      <c r="F987">
        <v>2917</v>
      </c>
      <c r="G987">
        <v>0</v>
      </c>
      <c r="H987">
        <v>0</v>
      </c>
      <c r="I987">
        <v>0</v>
      </c>
      <c r="J987">
        <v>30</v>
      </c>
      <c r="K987">
        <v>0</v>
      </c>
      <c r="L987">
        <f>Résultats!G$32+Résultats!G$33*Données!C987+Résultats!G$34*Données!D987+Résultats!G$35*Données!E987+Résultats!G$36*Données!F987+Résultats!G$37*Données!G987+Résultats!G$38*Données!H987+Résultats!G$39*Données!I987</f>
        <v>93857.305735159112</v>
      </c>
      <c r="M987">
        <f t="shared" si="60"/>
        <v>-9857.3057351591124</v>
      </c>
      <c r="Q987">
        <v>120000</v>
      </c>
      <c r="R987">
        <v>1</v>
      </c>
      <c r="S987">
        <v>36</v>
      </c>
      <c r="T987">
        <v>0</v>
      </c>
      <c r="U987">
        <f t="shared" si="61"/>
        <v>12.449018824140563</v>
      </c>
      <c r="V987">
        <f t="shared" si="62"/>
        <v>8.3118895582303587</v>
      </c>
      <c r="W987">
        <v>1</v>
      </c>
      <c r="X987">
        <v>0</v>
      </c>
      <c r="Y987">
        <v>0</v>
      </c>
      <c r="Z987">
        <f>'Résultat (Ln)'!F$30+'Résultat (Ln)'!F$31*Données!S987+'Résultat (Ln)'!F$32*Données!T987+'Résultat (Ln)'!F$33*Données!U987+'Résultat (Ln)'!F$34*Données!V987+'Résultat (Ln)'!F$35*Données!W987+'Résultat (Ln)'!F$36*Données!X987+'Résultat (Ln)'!F$37*Données!Y987</f>
        <v>186270.63665364916</v>
      </c>
      <c r="AA987">
        <f t="shared" si="63"/>
        <v>-66270.636653649155</v>
      </c>
    </row>
    <row r="988" spans="1:27" x14ac:dyDescent="0.25">
      <c r="A988">
        <v>115000</v>
      </c>
      <c r="B988">
        <v>1</v>
      </c>
      <c r="C988">
        <v>29</v>
      </c>
      <c r="D988">
        <v>0</v>
      </c>
      <c r="E988">
        <v>170000</v>
      </c>
      <c r="F988">
        <v>3423</v>
      </c>
      <c r="G988">
        <v>1</v>
      </c>
      <c r="H988">
        <v>0</v>
      </c>
      <c r="I988">
        <v>0</v>
      </c>
      <c r="J988">
        <v>25</v>
      </c>
      <c r="K988">
        <v>1</v>
      </c>
      <c r="L988">
        <f>Résultats!G$32+Résultats!G$33*Données!C988+Résultats!G$34*Données!D988+Résultats!G$35*Données!E988+Résultats!G$36*Données!F988+Résultats!G$37*Données!G988+Résultats!G$38*Données!H988+Résultats!G$39*Données!I988</f>
        <v>122904.76729867574</v>
      </c>
      <c r="M988">
        <f t="shared" si="60"/>
        <v>-7904.7672986757389</v>
      </c>
      <c r="Q988">
        <v>84000</v>
      </c>
      <c r="R988">
        <v>1</v>
      </c>
      <c r="S988">
        <v>31</v>
      </c>
      <c r="T988">
        <v>0</v>
      </c>
      <c r="U988">
        <f t="shared" si="61"/>
        <v>11.695247021764184</v>
      </c>
      <c r="V988">
        <f t="shared" si="62"/>
        <v>7.9783109698677217</v>
      </c>
      <c r="W988">
        <v>0</v>
      </c>
      <c r="X988">
        <v>0</v>
      </c>
      <c r="Y988">
        <v>0</v>
      </c>
      <c r="Z988">
        <f>'Résultat (Ln)'!F$30+'Résultat (Ln)'!F$31*Données!S988+'Résultat (Ln)'!F$32*Données!T988+'Résultat (Ln)'!F$33*Données!U988+'Résultat (Ln)'!F$34*Données!V988+'Résultat (Ln)'!F$35*Données!W988+'Résultat (Ln)'!F$36*Données!X988+'Résultat (Ln)'!F$37*Données!Y988</f>
        <v>85489.929660047113</v>
      </c>
      <c r="AA988">
        <f t="shared" si="63"/>
        <v>-1489.9296600471134</v>
      </c>
    </row>
    <row r="989" spans="1:27" x14ac:dyDescent="0.25">
      <c r="A989">
        <v>111000</v>
      </c>
      <c r="B989">
        <v>1</v>
      </c>
      <c r="C989">
        <v>32.200000762939453</v>
      </c>
      <c r="D989">
        <v>0</v>
      </c>
      <c r="E989">
        <v>140000</v>
      </c>
      <c r="F989">
        <v>2927</v>
      </c>
      <c r="G989">
        <v>0</v>
      </c>
      <c r="H989">
        <v>0</v>
      </c>
      <c r="I989">
        <v>0</v>
      </c>
      <c r="J989">
        <v>21.5</v>
      </c>
      <c r="K989">
        <v>1</v>
      </c>
      <c r="L989">
        <f>Résultats!G$32+Résultats!G$33*Données!C989+Résultats!G$34*Données!D989+Résultats!G$35*Données!E989+Résultats!G$36*Données!F989+Résultats!G$37*Données!G989+Résultats!G$38*Données!H989+Résultats!G$39*Données!I989</f>
        <v>104594.15431357629</v>
      </c>
      <c r="M989">
        <f t="shared" si="60"/>
        <v>6405.8456864237087</v>
      </c>
      <c r="Q989">
        <v>115000</v>
      </c>
      <c r="R989">
        <v>1</v>
      </c>
      <c r="S989">
        <v>29</v>
      </c>
      <c r="T989">
        <v>0</v>
      </c>
      <c r="U989">
        <f t="shared" si="61"/>
        <v>12.043553716032399</v>
      </c>
      <c r="V989">
        <f t="shared" si="62"/>
        <v>8.1382726385301858</v>
      </c>
      <c r="W989">
        <v>1</v>
      </c>
      <c r="X989">
        <v>0</v>
      </c>
      <c r="Y989">
        <v>0</v>
      </c>
      <c r="Z989">
        <f>'Résultat (Ln)'!F$30+'Résultat (Ln)'!F$31*Données!S989+'Résultat (Ln)'!F$32*Données!T989+'Résultat (Ln)'!F$33*Données!U989+'Résultat (Ln)'!F$34*Données!V989+'Résultat (Ln)'!F$35*Données!W989+'Résultat (Ln)'!F$36*Données!X989+'Résultat (Ln)'!F$37*Données!Y989</f>
        <v>129383.0637820323</v>
      </c>
      <c r="AA989">
        <f t="shared" si="63"/>
        <v>-14383.063782032303</v>
      </c>
    </row>
    <row r="990" spans="1:27" x14ac:dyDescent="0.25">
      <c r="A990">
        <v>43000</v>
      </c>
      <c r="B990">
        <v>1</v>
      </c>
      <c r="C990">
        <v>37</v>
      </c>
      <c r="D990">
        <v>0</v>
      </c>
      <c r="E990">
        <v>288000</v>
      </c>
      <c r="F990">
        <v>4960</v>
      </c>
      <c r="G990">
        <v>1</v>
      </c>
      <c r="H990">
        <v>0</v>
      </c>
      <c r="I990">
        <v>1</v>
      </c>
      <c r="J990">
        <v>31</v>
      </c>
      <c r="K990">
        <v>1</v>
      </c>
      <c r="L990">
        <f>Résultats!G$32+Résultats!G$33*Données!C990+Résultats!G$34*Données!D990+Résultats!G$35*Données!E990+Résultats!G$36*Données!F990+Résultats!G$37*Données!G990+Résultats!G$38*Données!H990+Résultats!G$39*Données!I990</f>
        <v>200098.45207312226</v>
      </c>
      <c r="M990">
        <f t="shared" si="60"/>
        <v>-157098.45207312226</v>
      </c>
      <c r="Q990">
        <v>111000</v>
      </c>
      <c r="R990">
        <v>1</v>
      </c>
      <c r="S990">
        <v>32.200000762939453</v>
      </c>
      <c r="T990">
        <v>0</v>
      </c>
      <c r="U990">
        <f t="shared" si="61"/>
        <v>11.849397701591441</v>
      </c>
      <c r="V990">
        <f t="shared" si="62"/>
        <v>7.9817332866918855</v>
      </c>
      <c r="W990">
        <v>0</v>
      </c>
      <c r="X990">
        <v>0</v>
      </c>
      <c r="Y990">
        <v>0</v>
      </c>
      <c r="Z990">
        <f>'Résultat (Ln)'!F$30+'Résultat (Ln)'!F$31*Données!S990+'Résultat (Ln)'!F$32*Données!T990+'Résultat (Ln)'!F$33*Données!U990+'Résultat (Ln)'!F$34*Données!V990+'Résultat (Ln)'!F$35*Données!W990+'Résultat (Ln)'!F$36*Données!X990+'Résultat (Ln)'!F$37*Données!Y990</f>
        <v>103576.63077783724</v>
      </c>
      <c r="AA990">
        <f t="shared" si="63"/>
        <v>7423.3692221627571</v>
      </c>
    </row>
    <row r="991" spans="1:27" x14ac:dyDescent="0.25">
      <c r="A991">
        <v>56000</v>
      </c>
      <c r="B991">
        <v>1</v>
      </c>
      <c r="C991">
        <v>35</v>
      </c>
      <c r="D991">
        <v>0</v>
      </c>
      <c r="E991">
        <v>75000</v>
      </c>
      <c r="F991">
        <v>2507</v>
      </c>
      <c r="G991">
        <v>0</v>
      </c>
      <c r="H991">
        <v>0</v>
      </c>
      <c r="I991">
        <v>0</v>
      </c>
      <c r="J991">
        <v>29</v>
      </c>
      <c r="K991">
        <v>0</v>
      </c>
      <c r="L991">
        <f>Résultats!G$32+Résultats!G$33*Données!C991+Résultats!G$34*Données!D991+Résultats!G$35*Données!E991+Résultats!G$36*Données!F991+Résultats!G$37*Données!G991+Résultats!G$38*Données!H991+Résultats!G$39*Données!I991</f>
        <v>76644.597341402259</v>
      </c>
      <c r="M991">
        <f t="shared" si="60"/>
        <v>-20644.597341402259</v>
      </c>
      <c r="Q991">
        <v>43000</v>
      </c>
      <c r="R991">
        <v>1</v>
      </c>
      <c r="S991">
        <v>37</v>
      </c>
      <c r="T991">
        <v>0</v>
      </c>
      <c r="U991">
        <f t="shared" si="61"/>
        <v>12.570715759118084</v>
      </c>
      <c r="V991">
        <f t="shared" si="62"/>
        <v>8.5091610197189738</v>
      </c>
      <c r="W991">
        <v>1</v>
      </c>
      <c r="X991">
        <v>0</v>
      </c>
      <c r="Y991">
        <v>1</v>
      </c>
      <c r="Z991">
        <f>'Résultat (Ln)'!F$30+'Résultat (Ln)'!F$31*Données!S991+'Résultat (Ln)'!F$32*Données!T991+'Résultat (Ln)'!F$33*Données!U991+'Résultat (Ln)'!F$34*Données!V991+'Résultat (Ln)'!F$35*Données!W991+'Résultat (Ln)'!F$36*Données!X991+'Résultat (Ln)'!F$37*Données!Y991</f>
        <v>220157.61496667637</v>
      </c>
      <c r="AA991">
        <f t="shared" si="63"/>
        <v>-177157.61496667637</v>
      </c>
    </row>
    <row r="992" spans="1:27" x14ac:dyDescent="0.25">
      <c r="A992">
        <v>131000</v>
      </c>
      <c r="B992">
        <v>1</v>
      </c>
      <c r="C992">
        <v>31</v>
      </c>
      <c r="D992">
        <v>0</v>
      </c>
      <c r="E992">
        <v>146000</v>
      </c>
      <c r="F992">
        <v>2500</v>
      </c>
      <c r="G992">
        <v>1</v>
      </c>
      <c r="H992">
        <v>0</v>
      </c>
      <c r="I992">
        <v>0</v>
      </c>
      <c r="J992">
        <v>24</v>
      </c>
      <c r="K992">
        <v>1</v>
      </c>
      <c r="L992">
        <f>Résultats!G$32+Résultats!G$33*Données!C992+Résultats!G$34*Données!D992+Résultats!G$35*Données!E992+Résultats!G$36*Données!F992+Résultats!G$37*Données!G992+Résultats!G$38*Données!H992+Résultats!G$39*Données!I992</f>
        <v>112206.6518701757</v>
      </c>
      <c r="M992">
        <f t="shared" si="60"/>
        <v>18793.348129824299</v>
      </c>
      <c r="Q992">
        <v>56000</v>
      </c>
      <c r="R992">
        <v>1</v>
      </c>
      <c r="S992">
        <v>35</v>
      </c>
      <c r="T992">
        <v>0</v>
      </c>
      <c r="U992">
        <f t="shared" si="61"/>
        <v>11.225243392518447</v>
      </c>
      <c r="V992">
        <f t="shared" si="62"/>
        <v>7.8268420981582931</v>
      </c>
      <c r="W992">
        <v>0</v>
      </c>
      <c r="X992">
        <v>0</v>
      </c>
      <c r="Y992">
        <v>0</v>
      </c>
      <c r="Z992">
        <f>'Résultat (Ln)'!F$30+'Résultat (Ln)'!F$31*Données!S992+'Résultat (Ln)'!F$32*Données!T992+'Résultat (Ln)'!F$33*Données!U992+'Résultat (Ln)'!F$34*Données!V992+'Résultat (Ln)'!F$35*Données!W992+'Résultat (Ln)'!F$36*Données!X992+'Résultat (Ln)'!F$37*Données!Y992</f>
        <v>35747.723692312255</v>
      </c>
      <c r="AA992">
        <f t="shared" si="63"/>
        <v>20252.276307687745</v>
      </c>
    </row>
    <row r="993" spans="1:27" x14ac:dyDescent="0.25">
      <c r="A993">
        <v>144000</v>
      </c>
      <c r="B993">
        <v>1</v>
      </c>
      <c r="C993">
        <v>31</v>
      </c>
      <c r="D993">
        <v>0</v>
      </c>
      <c r="E993">
        <v>210000</v>
      </c>
      <c r="F993">
        <v>5746</v>
      </c>
      <c r="G993">
        <v>1</v>
      </c>
      <c r="H993">
        <v>0</v>
      </c>
      <c r="I993">
        <v>0</v>
      </c>
      <c r="J993">
        <v>25</v>
      </c>
      <c r="K993">
        <v>1</v>
      </c>
      <c r="L993">
        <f>Résultats!G$32+Résultats!G$33*Données!C993+Résultats!G$34*Données!D993+Résultats!G$35*Données!E993+Résultats!G$36*Données!F993+Résultats!G$37*Données!G993+Résultats!G$38*Données!H993+Résultats!G$39*Données!I993</f>
        <v>148381.71885446677</v>
      </c>
      <c r="M993">
        <f t="shared" si="60"/>
        <v>-4381.7188544667733</v>
      </c>
      <c r="Q993">
        <v>131000</v>
      </c>
      <c r="R993">
        <v>1</v>
      </c>
      <c r="S993">
        <v>31</v>
      </c>
      <c r="T993">
        <v>0</v>
      </c>
      <c r="U993">
        <f t="shared" si="61"/>
        <v>11.891361900690473</v>
      </c>
      <c r="V993">
        <f t="shared" si="62"/>
        <v>7.8240460108562919</v>
      </c>
      <c r="W993">
        <v>1</v>
      </c>
      <c r="X993">
        <v>0</v>
      </c>
      <c r="Y993">
        <v>0</v>
      </c>
      <c r="Z993">
        <f>'Résultat (Ln)'!F$30+'Résultat (Ln)'!F$31*Données!S993+'Résultat (Ln)'!F$32*Données!T993+'Résultat (Ln)'!F$33*Données!U993+'Résultat (Ln)'!F$34*Données!V993+'Résultat (Ln)'!F$35*Données!W993+'Résultat (Ln)'!F$36*Données!X993+'Résultat (Ln)'!F$37*Données!Y993</f>
        <v>106700.12295782509</v>
      </c>
      <c r="AA993">
        <f t="shared" si="63"/>
        <v>24299.877042174907</v>
      </c>
    </row>
    <row r="994" spans="1:27" x14ac:dyDescent="0.25">
      <c r="A994">
        <v>65000</v>
      </c>
      <c r="B994">
        <v>1</v>
      </c>
      <c r="C994">
        <v>39.200000762939453</v>
      </c>
      <c r="D994">
        <v>0</v>
      </c>
      <c r="E994">
        <v>68000</v>
      </c>
      <c r="F994">
        <v>2918</v>
      </c>
      <c r="G994">
        <v>0</v>
      </c>
      <c r="H994">
        <v>0</v>
      </c>
      <c r="I994">
        <v>0</v>
      </c>
      <c r="J994">
        <v>20.60000038146973</v>
      </c>
      <c r="K994">
        <v>0</v>
      </c>
      <c r="L994">
        <f>Résultats!G$32+Résultats!G$33*Données!C994+Résultats!G$34*Données!D994+Résultats!G$35*Données!E994+Résultats!G$36*Données!F994+Résultats!G$37*Données!G994+Résultats!G$38*Données!H994+Résultats!G$39*Données!I994</f>
        <v>78996.771536679982</v>
      </c>
      <c r="M994">
        <f t="shared" si="60"/>
        <v>-13996.771536679982</v>
      </c>
      <c r="Q994">
        <v>144000</v>
      </c>
      <c r="R994">
        <v>1</v>
      </c>
      <c r="S994">
        <v>31</v>
      </c>
      <c r="T994">
        <v>0</v>
      </c>
      <c r="U994">
        <f t="shared" si="61"/>
        <v>12.254862809699606</v>
      </c>
      <c r="V994">
        <f t="shared" si="62"/>
        <v>8.656259239539235</v>
      </c>
      <c r="W994">
        <v>1</v>
      </c>
      <c r="X994">
        <v>0</v>
      </c>
      <c r="Y994">
        <v>0</v>
      </c>
      <c r="Z994">
        <f>'Résultat (Ln)'!F$30+'Résultat (Ln)'!F$31*Données!S994+'Résultat (Ln)'!F$32*Données!T994+'Résultat (Ln)'!F$33*Données!U994+'Résultat (Ln)'!F$34*Données!V994+'Résultat (Ln)'!F$35*Données!W994+'Résultat (Ln)'!F$36*Données!X994+'Résultat (Ln)'!F$37*Données!Y994</f>
        <v>169005.88862753549</v>
      </c>
      <c r="AA994">
        <f t="shared" si="63"/>
        <v>-25005.888627535489</v>
      </c>
    </row>
    <row r="995" spans="1:27" x14ac:dyDescent="0.25">
      <c r="A995">
        <v>180000</v>
      </c>
      <c r="B995">
        <v>1</v>
      </c>
      <c r="C995">
        <v>30</v>
      </c>
      <c r="D995">
        <v>1</v>
      </c>
      <c r="E995">
        <v>189899.9938964844</v>
      </c>
      <c r="F995">
        <v>3146</v>
      </c>
      <c r="G995">
        <v>0</v>
      </c>
      <c r="H995">
        <v>0</v>
      </c>
      <c r="I995">
        <v>0</v>
      </c>
      <c r="J995">
        <v>19.10000038146973</v>
      </c>
      <c r="K995">
        <v>1</v>
      </c>
      <c r="L995">
        <f>Résultats!G$32+Résultats!G$33*Données!C995+Résultats!G$34*Données!D995+Résultats!G$35*Données!E995+Résultats!G$36*Données!F995+Résultats!G$37*Données!G995+Résultats!G$38*Données!H995+Résultats!G$39*Données!I995</f>
        <v>130640.66800824959</v>
      </c>
      <c r="M995">
        <f t="shared" si="60"/>
        <v>49359.331991750412</v>
      </c>
      <c r="Q995">
        <v>65000</v>
      </c>
      <c r="R995">
        <v>1</v>
      </c>
      <c r="S995">
        <v>39.200000762939453</v>
      </c>
      <c r="T995">
        <v>0</v>
      </c>
      <c r="U995">
        <f t="shared" si="61"/>
        <v>11.127262984158243</v>
      </c>
      <c r="V995">
        <f t="shared" si="62"/>
        <v>7.9786537290827306</v>
      </c>
      <c r="W995">
        <v>0</v>
      </c>
      <c r="X995">
        <v>0</v>
      </c>
      <c r="Y995">
        <v>0</v>
      </c>
      <c r="Z995">
        <f>'Résultat (Ln)'!F$30+'Résultat (Ln)'!F$31*Données!S995+'Résultat (Ln)'!F$32*Données!T995+'Résultat (Ln)'!F$33*Données!U995+'Résultat (Ln)'!F$34*Données!V995+'Résultat (Ln)'!F$35*Données!W995+'Résultat (Ln)'!F$36*Données!X995+'Résultat (Ln)'!F$37*Données!Y995</f>
        <v>34634.908885456563</v>
      </c>
      <c r="AA995">
        <f t="shared" si="63"/>
        <v>30365.091114543437</v>
      </c>
    </row>
    <row r="996" spans="1:27" x14ac:dyDescent="0.25">
      <c r="A996">
        <v>289000</v>
      </c>
      <c r="B996">
        <v>1</v>
      </c>
      <c r="C996">
        <v>36</v>
      </c>
      <c r="D996">
        <v>0</v>
      </c>
      <c r="E996">
        <v>445000</v>
      </c>
      <c r="F996">
        <v>4916</v>
      </c>
      <c r="G996">
        <v>1</v>
      </c>
      <c r="H996">
        <v>0</v>
      </c>
      <c r="I996">
        <v>0</v>
      </c>
      <c r="J996">
        <v>34</v>
      </c>
      <c r="K996">
        <v>1</v>
      </c>
      <c r="L996">
        <f>Résultats!G$32+Résultats!G$33*Données!C996+Résultats!G$34*Données!D996+Résultats!G$35*Données!E996+Résultats!G$36*Données!F996+Résultats!G$37*Données!G996+Résultats!G$38*Données!H996+Résultats!G$39*Données!I996</f>
        <v>262250.72537454381</v>
      </c>
      <c r="M996">
        <f t="shared" si="60"/>
        <v>26749.274625456193</v>
      </c>
      <c r="Q996">
        <v>180000</v>
      </c>
      <c r="R996">
        <v>1</v>
      </c>
      <c r="S996">
        <v>30</v>
      </c>
      <c r="T996">
        <v>1</v>
      </c>
      <c r="U996">
        <f t="shared" si="61"/>
        <v>12.154252864659695</v>
      </c>
      <c r="V996">
        <f t="shared" si="62"/>
        <v>8.053887083618223</v>
      </c>
      <c r="W996">
        <v>0</v>
      </c>
      <c r="X996">
        <v>0</v>
      </c>
      <c r="Y996">
        <v>0</v>
      </c>
      <c r="Z996">
        <f>'Résultat (Ln)'!F$30+'Résultat (Ln)'!F$31*Données!S996+'Résultat (Ln)'!F$32*Données!T996+'Résultat (Ln)'!F$33*Données!U996+'Résultat (Ln)'!F$34*Données!V996+'Résultat (Ln)'!F$35*Données!W996+'Résultat (Ln)'!F$36*Données!X996+'Résultat (Ln)'!F$37*Données!Y996</f>
        <v>139939.68402516848</v>
      </c>
      <c r="AA996">
        <f t="shared" si="63"/>
        <v>40060.315974831523</v>
      </c>
    </row>
    <row r="997" spans="1:27" x14ac:dyDescent="0.25">
      <c r="A997">
        <v>235000</v>
      </c>
      <c r="B997">
        <v>1</v>
      </c>
      <c r="C997">
        <v>20</v>
      </c>
      <c r="D997">
        <v>0</v>
      </c>
      <c r="E997">
        <v>275000</v>
      </c>
      <c r="F997">
        <v>5000</v>
      </c>
      <c r="G997">
        <v>1</v>
      </c>
      <c r="H997">
        <v>0</v>
      </c>
      <c r="I997">
        <v>1</v>
      </c>
      <c r="J997">
        <v>19</v>
      </c>
      <c r="K997">
        <v>1</v>
      </c>
      <c r="L997">
        <f>Résultats!G$32+Résultats!G$33*Données!C997+Résultats!G$34*Données!D997+Résultats!G$35*Données!E997+Résultats!G$36*Données!F997+Résultats!G$37*Données!G997+Résultats!G$38*Données!H997+Résultats!G$39*Données!I997</f>
        <v>174578.17463000698</v>
      </c>
      <c r="M997">
        <f t="shared" si="60"/>
        <v>60421.825369993021</v>
      </c>
      <c r="Q997">
        <v>289000</v>
      </c>
      <c r="R997">
        <v>1</v>
      </c>
      <c r="S997">
        <v>36</v>
      </c>
      <c r="T997">
        <v>0</v>
      </c>
      <c r="U997">
        <f t="shared" si="61"/>
        <v>13.005829561148378</v>
      </c>
      <c r="V997">
        <f t="shared" si="62"/>
        <v>8.5002504706859252</v>
      </c>
      <c r="W997">
        <v>1</v>
      </c>
      <c r="X997">
        <v>0</v>
      </c>
      <c r="Y997">
        <v>0</v>
      </c>
      <c r="Z997">
        <f>'Résultat (Ln)'!F$30+'Résultat (Ln)'!F$31*Données!S997+'Résultat (Ln)'!F$32*Données!T997+'Résultat (Ln)'!F$33*Données!U997+'Résultat (Ln)'!F$34*Données!V997+'Résultat (Ln)'!F$35*Données!W997+'Résultat (Ln)'!F$36*Données!X997+'Résultat (Ln)'!F$37*Données!Y997</f>
        <v>251241.01011621515</v>
      </c>
      <c r="AA997">
        <f t="shared" si="63"/>
        <v>37758.989883784845</v>
      </c>
    </row>
    <row r="998" spans="1:27" x14ac:dyDescent="0.25">
      <c r="A998">
        <v>91000</v>
      </c>
      <c r="B998">
        <v>1</v>
      </c>
      <c r="C998">
        <v>35</v>
      </c>
      <c r="D998">
        <v>0</v>
      </c>
      <c r="E998">
        <v>130000</v>
      </c>
      <c r="F998">
        <v>3200</v>
      </c>
      <c r="G998">
        <v>1</v>
      </c>
      <c r="H998">
        <v>0</v>
      </c>
      <c r="I998">
        <v>0</v>
      </c>
      <c r="J998">
        <v>26</v>
      </c>
      <c r="K998">
        <v>1</v>
      </c>
      <c r="L998">
        <f>Résultats!G$32+Résultats!G$33*Données!C998+Résultats!G$34*Données!D998+Résultats!G$35*Données!E998+Résultats!G$36*Données!F998+Résultats!G$37*Données!G998+Résultats!G$38*Données!H998+Résultats!G$39*Données!I998</f>
        <v>110686.53224391378</v>
      </c>
      <c r="M998">
        <f t="shared" si="60"/>
        <v>-19686.532243913782</v>
      </c>
      <c r="Q998">
        <v>235000</v>
      </c>
      <c r="R998">
        <v>1</v>
      </c>
      <c r="S998">
        <v>20</v>
      </c>
      <c r="T998">
        <v>0</v>
      </c>
      <c r="U998">
        <f t="shared" si="61"/>
        <v>12.524526376648708</v>
      </c>
      <c r="V998">
        <f t="shared" si="62"/>
        <v>8.5171931914162382</v>
      </c>
      <c r="W998">
        <v>1</v>
      </c>
      <c r="X998">
        <v>0</v>
      </c>
      <c r="Y998">
        <v>1</v>
      </c>
      <c r="Z998">
        <f>'Résultat (Ln)'!F$30+'Résultat (Ln)'!F$31*Données!S998+'Résultat (Ln)'!F$32*Données!T998+'Résultat (Ln)'!F$33*Données!U998+'Résultat (Ln)'!F$34*Données!V998+'Résultat (Ln)'!F$35*Données!W998+'Résultat (Ln)'!F$36*Données!X998+'Résultat (Ln)'!F$37*Données!Y998</f>
        <v>194656.89009423682</v>
      </c>
      <c r="AA998">
        <f t="shared" si="63"/>
        <v>40343.10990576318</v>
      </c>
    </row>
    <row r="999" spans="1:27" x14ac:dyDescent="0.25">
      <c r="A999">
        <v>242000</v>
      </c>
      <c r="B999">
        <v>1</v>
      </c>
      <c r="C999">
        <v>19.39999961853027</v>
      </c>
      <c r="D999">
        <v>0</v>
      </c>
      <c r="E999">
        <v>305000</v>
      </c>
      <c r="F999">
        <v>7250</v>
      </c>
      <c r="G999">
        <v>1</v>
      </c>
      <c r="H999">
        <v>0</v>
      </c>
      <c r="I999">
        <v>1</v>
      </c>
      <c r="J999">
        <v>19.260000228881839</v>
      </c>
      <c r="K999">
        <v>1</v>
      </c>
      <c r="L999">
        <f>Résultats!G$32+Résultats!G$33*Données!C999+Résultats!G$34*Données!D999+Résultats!G$35*Données!E999+Résultats!G$36*Données!F999+Résultats!G$37*Données!G999+Résultats!G$38*Données!H999+Résultats!G$39*Données!I999</f>
        <v>192257.59159748256</v>
      </c>
      <c r="M999">
        <f t="shared" si="60"/>
        <v>49742.408402517438</v>
      </c>
      <c r="Q999">
        <v>91000</v>
      </c>
      <c r="R999">
        <v>1</v>
      </c>
      <c r="S999">
        <v>35</v>
      </c>
      <c r="T999">
        <v>0</v>
      </c>
      <c r="U999">
        <f t="shared" si="61"/>
        <v>11.77528972943772</v>
      </c>
      <c r="V999">
        <f t="shared" si="62"/>
        <v>8.0709060887878188</v>
      </c>
      <c r="W999">
        <v>1</v>
      </c>
      <c r="X999">
        <v>0</v>
      </c>
      <c r="Y999">
        <v>0</v>
      </c>
      <c r="Z999">
        <f>'Résultat (Ln)'!F$30+'Résultat (Ln)'!F$31*Données!S999+'Résultat (Ln)'!F$32*Données!T999+'Résultat (Ln)'!F$33*Données!U999+'Résultat (Ln)'!F$34*Données!V999+'Résultat (Ln)'!F$35*Données!W999+'Résultat (Ln)'!F$36*Données!X999+'Résultat (Ln)'!F$37*Données!Y999</f>
        <v>106069.25131307151</v>
      </c>
      <c r="AA999">
        <f t="shared" si="63"/>
        <v>-15069.251313071509</v>
      </c>
    </row>
    <row r="1000" spans="1:27" x14ac:dyDescent="0.25">
      <c r="A1000">
        <v>70000</v>
      </c>
      <c r="B1000">
        <v>1</v>
      </c>
      <c r="C1000">
        <v>34</v>
      </c>
      <c r="D1000">
        <v>0</v>
      </c>
      <c r="E1000">
        <v>120000</v>
      </c>
      <c r="F1000">
        <v>2980</v>
      </c>
      <c r="G1000">
        <v>1</v>
      </c>
      <c r="H1000">
        <v>0</v>
      </c>
      <c r="I1000">
        <v>1</v>
      </c>
      <c r="J1000">
        <v>24</v>
      </c>
      <c r="K1000">
        <v>1</v>
      </c>
      <c r="L1000">
        <f>Résultats!G$32+Résultats!G$33*Données!C1000+Résultats!G$34*Données!D1000+Résultats!G$35*Données!E1000+Résultats!G$36*Données!F1000+Résultats!G$37*Données!G1000+Résultats!G$38*Données!H1000+Résultats!G$39*Données!I1000</f>
        <v>114367.47281457238</v>
      </c>
      <c r="M1000">
        <f t="shared" si="60"/>
        <v>-44367.472814572378</v>
      </c>
      <c r="Q1000">
        <v>242000</v>
      </c>
      <c r="R1000">
        <v>1</v>
      </c>
      <c r="S1000">
        <v>19.39999961853027</v>
      </c>
      <c r="T1000">
        <v>0</v>
      </c>
      <c r="U1000">
        <f t="shared" si="61"/>
        <v>12.628067055589549</v>
      </c>
      <c r="V1000">
        <f t="shared" si="62"/>
        <v>8.8887567478487206</v>
      </c>
      <c r="W1000">
        <v>1</v>
      </c>
      <c r="X1000">
        <v>0</v>
      </c>
      <c r="Y1000">
        <v>1</v>
      </c>
      <c r="Z1000">
        <f>'Résultat (Ln)'!F$30+'Résultat (Ln)'!F$31*Données!S1000+'Résultat (Ln)'!F$32*Données!T1000+'Résultat (Ln)'!F$33*Données!U1000+'Résultat (Ln)'!F$34*Données!V1000+'Résultat (Ln)'!F$35*Données!W1000+'Résultat (Ln)'!F$36*Données!X1000+'Résultat (Ln)'!F$37*Données!Y1000</f>
        <v>215443.56131609494</v>
      </c>
      <c r="AA1000">
        <f t="shared" si="63"/>
        <v>26556.438683905057</v>
      </c>
    </row>
    <row r="1001" spans="1:27" x14ac:dyDescent="0.25">
      <c r="A1001">
        <v>143000</v>
      </c>
      <c r="B1001">
        <v>1</v>
      </c>
      <c r="C1001">
        <v>45.700000762939453</v>
      </c>
      <c r="D1001">
        <v>0</v>
      </c>
      <c r="E1001">
        <v>189000</v>
      </c>
      <c r="F1001">
        <v>5128</v>
      </c>
      <c r="G1001">
        <v>1</v>
      </c>
      <c r="H1001">
        <v>0</v>
      </c>
      <c r="I1001">
        <v>0</v>
      </c>
      <c r="J1001">
        <v>28.20000076293945</v>
      </c>
      <c r="K1001">
        <v>1</v>
      </c>
      <c r="L1001">
        <f>Résultats!G$32+Résultats!G$33*Données!C1001+Résultats!G$34*Données!D1001+Résultats!G$35*Données!E1001+Résultats!G$36*Données!F1001+Résultats!G$37*Données!G1001+Résultats!G$38*Données!H1001+Résultats!G$39*Données!I1001</f>
        <v>154263.60306970126</v>
      </c>
      <c r="M1001">
        <f t="shared" si="60"/>
        <v>-11263.603069701261</v>
      </c>
      <c r="Q1001">
        <v>70000</v>
      </c>
      <c r="R1001">
        <v>1</v>
      </c>
      <c r="S1001">
        <v>34</v>
      </c>
      <c r="T1001">
        <v>0</v>
      </c>
      <c r="U1001">
        <f t="shared" si="61"/>
        <v>11.695247021764184</v>
      </c>
      <c r="V1001">
        <f t="shared" si="62"/>
        <v>7.9996785794994505</v>
      </c>
      <c r="W1001">
        <v>1</v>
      </c>
      <c r="X1001">
        <v>0</v>
      </c>
      <c r="Y1001">
        <v>1</v>
      </c>
      <c r="Z1001">
        <f>'Résultat (Ln)'!F$30+'Résultat (Ln)'!F$31*Données!S1001+'Résultat (Ln)'!F$32*Données!T1001+'Résultat (Ln)'!F$33*Données!U1001+'Résultat (Ln)'!F$34*Données!V1001+'Résultat (Ln)'!F$35*Données!W1001+'Résultat (Ln)'!F$36*Données!X1001+'Résultat (Ln)'!F$37*Données!Y1001</f>
        <v>108356.2859065557</v>
      </c>
      <c r="AA1001">
        <f t="shared" si="63"/>
        <v>-38356.285906555699</v>
      </c>
    </row>
    <row r="1002" spans="1:27" x14ac:dyDescent="0.25">
      <c r="A1002">
        <v>187000</v>
      </c>
      <c r="B1002">
        <v>1</v>
      </c>
      <c r="C1002">
        <v>16.39999961853027</v>
      </c>
      <c r="D1002">
        <v>0</v>
      </c>
      <c r="E1002">
        <v>577000</v>
      </c>
      <c r="F1002">
        <v>15312</v>
      </c>
      <c r="G1002">
        <v>1</v>
      </c>
      <c r="H1002">
        <v>0</v>
      </c>
      <c r="I1002">
        <v>0</v>
      </c>
      <c r="J1002">
        <v>14.5</v>
      </c>
      <c r="K1002">
        <v>1</v>
      </c>
      <c r="L1002">
        <f>Résultats!G$32+Résultats!G$33*Données!C1002+Résultats!G$34*Données!D1002+Résultats!G$35*Données!E1002+Résultats!G$36*Données!F1002+Résultats!G$37*Données!G1002+Résultats!G$38*Données!H1002+Résultats!G$39*Données!I1002</f>
        <v>321519.85442483658</v>
      </c>
      <c r="M1002">
        <f t="shared" si="60"/>
        <v>-134519.85442483658</v>
      </c>
      <c r="Q1002">
        <v>143000</v>
      </c>
      <c r="R1002">
        <v>1</v>
      </c>
      <c r="S1002">
        <v>45.700000762939453</v>
      </c>
      <c r="T1002">
        <v>0</v>
      </c>
      <c r="U1002">
        <f t="shared" si="61"/>
        <v>12.149502294041779</v>
      </c>
      <c r="V1002">
        <f t="shared" si="62"/>
        <v>8.5424709986005052</v>
      </c>
      <c r="W1002">
        <v>1</v>
      </c>
      <c r="X1002">
        <v>0</v>
      </c>
      <c r="Y1002">
        <v>0</v>
      </c>
      <c r="Z1002">
        <f>'Résultat (Ln)'!F$30+'Résultat (Ln)'!F$31*Données!S1002+'Résultat (Ln)'!F$32*Données!T1002+'Résultat (Ln)'!F$33*Données!U1002+'Résultat (Ln)'!F$34*Données!V1002+'Résultat (Ln)'!F$35*Données!W1002+'Résultat (Ln)'!F$36*Données!X1002+'Résultat (Ln)'!F$37*Données!Y1002</f>
        <v>172484.43022262771</v>
      </c>
      <c r="AA1002">
        <f t="shared" si="63"/>
        <v>-29484.430222627707</v>
      </c>
    </row>
    <row r="1003" spans="1:27" x14ac:dyDescent="0.25">
      <c r="A1003">
        <v>160000</v>
      </c>
      <c r="B1003">
        <v>1</v>
      </c>
      <c r="C1003">
        <v>32</v>
      </c>
      <c r="D1003">
        <v>0</v>
      </c>
      <c r="E1003">
        <v>215000</v>
      </c>
      <c r="F1003">
        <v>3958</v>
      </c>
      <c r="G1003">
        <v>1</v>
      </c>
      <c r="H1003">
        <v>0</v>
      </c>
      <c r="I1003">
        <v>1</v>
      </c>
      <c r="J1003">
        <v>22</v>
      </c>
      <c r="K1003">
        <v>1</v>
      </c>
      <c r="L1003">
        <f>Résultats!G$32+Résultats!G$33*Données!C1003+Résultats!G$34*Données!D1003+Résultats!G$35*Données!E1003+Résultats!G$36*Données!F1003+Résultats!G$37*Données!G1003+Résultats!G$38*Données!H1003+Résultats!G$39*Données!I1003</f>
        <v>158325.848623945</v>
      </c>
      <c r="M1003">
        <f t="shared" si="60"/>
        <v>1674.1513760550006</v>
      </c>
      <c r="Q1003">
        <v>187000</v>
      </c>
      <c r="R1003">
        <v>1</v>
      </c>
      <c r="S1003">
        <v>16.39999961853027</v>
      </c>
      <c r="T1003">
        <v>0</v>
      </c>
      <c r="U1003">
        <f t="shared" si="61"/>
        <v>13.265597545490236</v>
      </c>
      <c r="V1003">
        <f t="shared" si="62"/>
        <v>9.636392113692736</v>
      </c>
      <c r="W1003">
        <v>1</v>
      </c>
      <c r="X1003">
        <v>0</v>
      </c>
      <c r="Y1003">
        <v>0</v>
      </c>
      <c r="Z1003">
        <f>'Résultat (Ln)'!F$30+'Résultat (Ln)'!F$31*Données!S1003+'Résultat (Ln)'!F$32*Données!T1003+'Résultat (Ln)'!F$33*Données!U1003+'Résultat (Ln)'!F$34*Données!V1003+'Résultat (Ln)'!F$35*Données!W1003+'Résultat (Ln)'!F$36*Données!X1003+'Résultat (Ln)'!F$37*Données!Y1003</f>
        <v>286998.97606419108</v>
      </c>
      <c r="AA1003">
        <f t="shared" si="63"/>
        <v>-99998.976064191083</v>
      </c>
    </row>
    <row r="1004" spans="1:27" x14ac:dyDescent="0.25">
      <c r="A1004">
        <v>140000</v>
      </c>
      <c r="B1004">
        <v>1</v>
      </c>
      <c r="C1004">
        <v>8</v>
      </c>
      <c r="D1004">
        <v>0</v>
      </c>
      <c r="E1004">
        <v>190000</v>
      </c>
      <c r="F1004">
        <v>25000</v>
      </c>
      <c r="G1004">
        <v>1</v>
      </c>
      <c r="H1004">
        <v>0</v>
      </c>
      <c r="I1004">
        <v>0</v>
      </c>
      <c r="J1004">
        <v>7</v>
      </c>
      <c r="K1004">
        <v>1</v>
      </c>
      <c r="L1004">
        <f>Résultats!G$32+Résultats!G$33*Données!C1004+Résultats!G$34*Données!D1004+Résultats!G$35*Données!E1004+Résultats!G$36*Données!F1004+Résultats!G$37*Données!G1004+Résultats!G$38*Données!H1004+Résultats!G$39*Données!I1004</f>
        <v>149933.39270156907</v>
      </c>
      <c r="M1004">
        <f t="shared" si="60"/>
        <v>-9933.3927015690715</v>
      </c>
      <c r="Q1004">
        <v>160000</v>
      </c>
      <c r="R1004">
        <v>1</v>
      </c>
      <c r="S1004">
        <v>32</v>
      </c>
      <c r="T1004">
        <v>0</v>
      </c>
      <c r="U1004">
        <f t="shared" si="61"/>
        <v>12.2783933071098</v>
      </c>
      <c r="V1004">
        <f t="shared" si="62"/>
        <v>8.2834941261625108</v>
      </c>
      <c r="W1004">
        <v>1</v>
      </c>
      <c r="X1004">
        <v>0</v>
      </c>
      <c r="Y1004">
        <v>1</v>
      </c>
      <c r="Z1004">
        <f>'Résultat (Ln)'!F$30+'Résultat (Ln)'!F$31*Données!S1004+'Résultat (Ln)'!F$32*Données!T1004+'Résultat (Ln)'!F$33*Données!U1004+'Résultat (Ln)'!F$34*Données!V1004+'Résultat (Ln)'!F$35*Données!W1004+'Résultat (Ln)'!F$36*Données!X1004+'Résultat (Ln)'!F$37*Données!Y1004</f>
        <v>176382.73235102801</v>
      </c>
      <c r="AA1004">
        <f t="shared" si="63"/>
        <v>-16382.732351028011</v>
      </c>
    </row>
    <row r="1005" spans="1:27" x14ac:dyDescent="0.25">
      <c r="A1005">
        <v>170000</v>
      </c>
      <c r="B1005">
        <v>1</v>
      </c>
      <c r="C1005">
        <v>18</v>
      </c>
      <c r="D1005">
        <v>0</v>
      </c>
      <c r="E1005">
        <v>526799.98779296875</v>
      </c>
      <c r="F1005">
        <v>14500</v>
      </c>
      <c r="G1005">
        <v>1</v>
      </c>
      <c r="H1005">
        <v>1</v>
      </c>
      <c r="I1005">
        <v>0</v>
      </c>
      <c r="J1005">
        <v>16</v>
      </c>
      <c r="K1005">
        <v>1</v>
      </c>
      <c r="L1005">
        <f>Résultats!G$32+Résultats!G$33*Données!C1005+Résultats!G$34*Données!D1005+Résultats!G$35*Données!E1005+Résultats!G$36*Données!F1005+Résultats!G$37*Données!G1005+Résultats!G$38*Données!H1005+Résultats!G$39*Données!I1005</f>
        <v>296717.9078619582</v>
      </c>
      <c r="M1005">
        <f t="shared" si="60"/>
        <v>-126717.9078619582</v>
      </c>
      <c r="Q1005">
        <v>140000</v>
      </c>
      <c r="R1005">
        <v>1</v>
      </c>
      <c r="S1005">
        <v>8</v>
      </c>
      <c r="T1005">
        <v>0</v>
      </c>
      <c r="U1005">
        <f t="shared" si="61"/>
        <v>12.154779351142624</v>
      </c>
      <c r="V1005">
        <f t="shared" si="62"/>
        <v>10.126631103850338</v>
      </c>
      <c r="W1005">
        <v>1</v>
      </c>
      <c r="X1005">
        <v>0</v>
      </c>
      <c r="Y1005">
        <v>0</v>
      </c>
      <c r="Z1005">
        <f>'Résultat (Ln)'!F$30+'Résultat (Ln)'!F$31*Données!S1005+'Résultat (Ln)'!F$32*Données!T1005+'Résultat (Ln)'!F$33*Données!U1005+'Résultat (Ln)'!F$34*Données!V1005+'Résultat (Ln)'!F$35*Données!W1005+'Résultat (Ln)'!F$36*Données!X1005+'Résultat (Ln)'!F$37*Données!Y1005</f>
        <v>171408.18807002212</v>
      </c>
      <c r="AA1005">
        <f t="shared" si="63"/>
        <v>-31408.188070022123</v>
      </c>
    </row>
    <row r="1006" spans="1:27" x14ac:dyDescent="0.25">
      <c r="A1006">
        <v>132000</v>
      </c>
      <c r="B1006">
        <v>1</v>
      </c>
      <c r="C1006">
        <v>35</v>
      </c>
      <c r="D1006">
        <v>0</v>
      </c>
      <c r="E1006">
        <v>180000</v>
      </c>
      <c r="F1006">
        <v>4000</v>
      </c>
      <c r="G1006">
        <v>1</v>
      </c>
      <c r="H1006">
        <v>0</v>
      </c>
      <c r="I1006">
        <v>1</v>
      </c>
      <c r="J1006">
        <v>35</v>
      </c>
      <c r="K1006">
        <v>1</v>
      </c>
      <c r="L1006">
        <f>Résultats!G$32+Résultats!G$33*Données!C1006+Résultats!G$34*Données!D1006+Résultats!G$35*Données!E1006+Résultats!G$36*Données!F1006+Résultats!G$37*Données!G1006+Résultats!G$38*Données!H1006+Résultats!G$39*Données!I1006</f>
        <v>145509.88242711825</v>
      </c>
      <c r="M1006">
        <f t="shared" si="60"/>
        <v>-13509.882427118253</v>
      </c>
      <c r="Q1006">
        <v>170000</v>
      </c>
      <c r="R1006">
        <v>1</v>
      </c>
      <c r="S1006">
        <v>18</v>
      </c>
      <c r="T1006">
        <v>0</v>
      </c>
      <c r="U1006">
        <f t="shared" si="61"/>
        <v>13.174576225679221</v>
      </c>
      <c r="V1006">
        <f t="shared" si="62"/>
        <v>9.581903928408666</v>
      </c>
      <c r="W1006">
        <v>1</v>
      </c>
      <c r="X1006">
        <v>1</v>
      </c>
      <c r="Y1006">
        <v>0</v>
      </c>
      <c r="Z1006">
        <f>'Résultat (Ln)'!F$30+'Résultat (Ln)'!F$31*Données!S1006+'Résultat (Ln)'!F$32*Données!T1006+'Résultat (Ln)'!F$33*Données!U1006+'Résultat (Ln)'!F$34*Données!V1006+'Résultat (Ln)'!F$35*Données!W1006+'Résultat (Ln)'!F$36*Données!X1006+'Résultat (Ln)'!F$37*Données!Y1006</f>
        <v>277491.45671938336</v>
      </c>
      <c r="AA1006">
        <f t="shared" si="63"/>
        <v>-107491.45671938336</v>
      </c>
    </row>
    <row r="1007" spans="1:27" x14ac:dyDescent="0.25">
      <c r="A1007">
        <v>90000</v>
      </c>
      <c r="B1007">
        <v>1</v>
      </c>
      <c r="C1007">
        <v>24</v>
      </c>
      <c r="D1007">
        <v>0</v>
      </c>
      <c r="E1007">
        <v>115000</v>
      </c>
      <c r="F1007">
        <v>2083</v>
      </c>
      <c r="G1007">
        <v>1</v>
      </c>
      <c r="H1007">
        <v>0</v>
      </c>
      <c r="I1007">
        <v>1</v>
      </c>
      <c r="J1007">
        <v>23</v>
      </c>
      <c r="K1007">
        <v>1</v>
      </c>
      <c r="L1007">
        <f>Résultats!G$32+Résultats!G$33*Données!C1007+Résultats!G$34*Données!D1007+Résultats!G$35*Données!E1007+Résultats!G$36*Données!F1007+Résultats!G$37*Données!G1007+Résultats!G$38*Données!H1007+Résultats!G$39*Données!I1007</f>
        <v>98807.807412948969</v>
      </c>
      <c r="M1007">
        <f t="shared" si="60"/>
        <v>-8807.8074129489687</v>
      </c>
      <c r="Q1007">
        <v>132000</v>
      </c>
      <c r="R1007">
        <v>1</v>
      </c>
      <c r="S1007">
        <v>35</v>
      </c>
      <c r="T1007">
        <v>0</v>
      </c>
      <c r="U1007">
        <f t="shared" si="61"/>
        <v>12.100712129872347</v>
      </c>
      <c r="V1007">
        <f t="shared" si="62"/>
        <v>8.2940496401020276</v>
      </c>
      <c r="W1007">
        <v>1</v>
      </c>
      <c r="X1007">
        <v>0</v>
      </c>
      <c r="Y1007">
        <v>1</v>
      </c>
      <c r="Z1007">
        <f>'Résultat (Ln)'!F$30+'Résultat (Ln)'!F$31*Données!S1007+'Résultat (Ln)'!F$32*Données!T1007+'Résultat (Ln)'!F$33*Données!U1007+'Résultat (Ln)'!F$34*Données!V1007+'Résultat (Ln)'!F$35*Données!W1007+'Résultat (Ln)'!F$36*Données!X1007+'Résultat (Ln)'!F$37*Données!Y1007</f>
        <v>161298.25858669926</v>
      </c>
      <c r="AA1007">
        <f t="shared" si="63"/>
        <v>-29298.258586699259</v>
      </c>
    </row>
    <row r="1008" spans="1:27" x14ac:dyDescent="0.25">
      <c r="A1008">
        <v>28000</v>
      </c>
      <c r="B1008">
        <v>1</v>
      </c>
      <c r="C1008">
        <v>33</v>
      </c>
      <c r="D1008">
        <v>0</v>
      </c>
      <c r="E1008">
        <v>31000</v>
      </c>
      <c r="F1008">
        <v>3016</v>
      </c>
      <c r="G1008">
        <v>1</v>
      </c>
      <c r="H1008">
        <v>0</v>
      </c>
      <c r="I1008">
        <v>1</v>
      </c>
      <c r="J1008">
        <v>15</v>
      </c>
      <c r="K1008">
        <v>0</v>
      </c>
      <c r="L1008">
        <f>Résultats!G$32+Résultats!G$33*Données!C1008+Résultats!G$34*Données!D1008+Résultats!G$35*Données!E1008+Résultats!G$36*Données!F1008+Résultats!G$37*Données!G1008+Résultats!G$38*Données!H1008+Résultats!G$39*Données!I1008</f>
        <v>71729.721868758672</v>
      </c>
      <c r="M1008">
        <f t="shared" si="60"/>
        <v>-43729.721868758672</v>
      </c>
      <c r="Q1008">
        <v>90000</v>
      </c>
      <c r="R1008">
        <v>1</v>
      </c>
      <c r="S1008">
        <v>24</v>
      </c>
      <c r="T1008">
        <v>0</v>
      </c>
      <c r="U1008">
        <f t="shared" si="61"/>
        <v>11.652687407345388</v>
      </c>
      <c r="V1008">
        <f t="shared" si="62"/>
        <v>7.6415644412609716</v>
      </c>
      <c r="W1008">
        <v>1</v>
      </c>
      <c r="X1008">
        <v>0</v>
      </c>
      <c r="Y1008">
        <v>1</v>
      </c>
      <c r="Z1008">
        <f>'Résultat (Ln)'!F$30+'Résultat (Ln)'!F$31*Données!S1008+'Résultat (Ln)'!F$32*Données!T1008+'Résultat (Ln)'!F$33*Données!U1008+'Résultat (Ln)'!F$34*Données!V1008+'Résultat (Ln)'!F$35*Données!W1008+'Résultat (Ln)'!F$36*Données!X1008+'Résultat (Ln)'!F$37*Données!Y1008</f>
        <v>81530.079289399218</v>
      </c>
      <c r="AA1008">
        <f t="shared" si="63"/>
        <v>8469.9207106007816</v>
      </c>
    </row>
    <row r="1009" spans="1:27" x14ac:dyDescent="0.25">
      <c r="A1009">
        <v>159000</v>
      </c>
      <c r="B1009">
        <v>1</v>
      </c>
      <c r="C1009">
        <v>48</v>
      </c>
      <c r="D1009">
        <v>0</v>
      </c>
      <c r="E1009">
        <v>180000</v>
      </c>
      <c r="F1009">
        <v>2473</v>
      </c>
      <c r="G1009">
        <v>1</v>
      </c>
      <c r="H1009">
        <v>0</v>
      </c>
      <c r="I1009">
        <v>1</v>
      </c>
      <c r="J1009">
        <v>34</v>
      </c>
      <c r="K1009">
        <v>1</v>
      </c>
      <c r="L1009">
        <f>Résultats!G$32+Résultats!G$33*Données!C1009+Résultats!G$34*Données!D1009+Résultats!G$35*Données!E1009+Résultats!G$36*Données!F1009+Résultats!G$37*Données!G1009+Résultats!G$38*Données!H1009+Résultats!G$39*Données!I1009</f>
        <v>157483.59604813965</v>
      </c>
      <c r="M1009">
        <f t="shared" si="60"/>
        <v>1516.4039518603531</v>
      </c>
      <c r="Q1009">
        <v>28000</v>
      </c>
      <c r="R1009">
        <v>1</v>
      </c>
      <c r="S1009">
        <v>33</v>
      </c>
      <c r="T1009">
        <v>0</v>
      </c>
      <c r="U1009">
        <f t="shared" si="61"/>
        <v>10.341742483467284</v>
      </c>
      <c r="V1009">
        <f t="shared" si="62"/>
        <v>8.0116867291278471</v>
      </c>
      <c r="W1009">
        <v>1</v>
      </c>
      <c r="X1009">
        <v>0</v>
      </c>
      <c r="Y1009">
        <v>1</v>
      </c>
      <c r="Z1009">
        <f>'Résultat (Ln)'!F$30+'Résultat (Ln)'!F$31*Données!S1009+'Résultat (Ln)'!F$32*Données!T1009+'Résultat (Ln)'!F$33*Données!U1009+'Résultat (Ln)'!F$34*Données!V1009+'Résultat (Ln)'!F$35*Données!W1009+'Résultat (Ln)'!F$36*Données!X1009+'Résultat (Ln)'!F$37*Données!Y1009</f>
        <v>-37618.662577472198</v>
      </c>
      <c r="AA1009">
        <f t="shared" si="63"/>
        <v>65618.662577472191</v>
      </c>
    </row>
    <row r="1010" spans="1:27" x14ac:dyDescent="0.25">
      <c r="A1010">
        <v>280000</v>
      </c>
      <c r="B1010">
        <v>1</v>
      </c>
      <c r="C1010">
        <v>30</v>
      </c>
      <c r="D1010">
        <v>0</v>
      </c>
      <c r="E1010">
        <v>350000</v>
      </c>
      <c r="F1010">
        <v>4940</v>
      </c>
      <c r="G1010">
        <v>1</v>
      </c>
      <c r="H1010">
        <v>0</v>
      </c>
      <c r="I1010">
        <v>0</v>
      </c>
      <c r="J1010">
        <v>28</v>
      </c>
      <c r="K1010">
        <v>1</v>
      </c>
      <c r="L1010">
        <f>Résultats!G$32+Résultats!G$33*Données!C1010+Résultats!G$34*Données!D1010+Résultats!G$35*Données!E1010+Résultats!G$36*Données!F1010+Résultats!G$37*Données!G1010+Résultats!G$38*Données!H1010+Résultats!G$39*Données!I1010</f>
        <v>211044.64947271664</v>
      </c>
      <c r="M1010">
        <f t="shared" si="60"/>
        <v>68955.350527283357</v>
      </c>
      <c r="Q1010">
        <v>159000</v>
      </c>
      <c r="R1010">
        <v>1</v>
      </c>
      <c r="S1010">
        <v>48</v>
      </c>
      <c r="T1010">
        <v>0</v>
      </c>
      <c r="U1010">
        <f t="shared" si="61"/>
        <v>12.100712129872347</v>
      </c>
      <c r="V1010">
        <f t="shared" si="62"/>
        <v>7.8131872675214158</v>
      </c>
      <c r="W1010">
        <v>1</v>
      </c>
      <c r="X1010">
        <v>0</v>
      </c>
      <c r="Y1010">
        <v>1</v>
      </c>
      <c r="Z1010">
        <f>'Résultat (Ln)'!F$30+'Résultat (Ln)'!F$31*Données!S1010+'Résultat (Ln)'!F$32*Données!T1010+'Résultat (Ln)'!F$33*Données!U1010+'Résultat (Ln)'!F$34*Données!V1010+'Résultat (Ln)'!F$35*Données!W1010+'Résultat (Ln)'!F$36*Données!X1010+'Résultat (Ln)'!F$37*Données!Y1010</f>
        <v>163698.62468363508</v>
      </c>
      <c r="AA1010">
        <f t="shared" si="63"/>
        <v>-4698.6246836350765</v>
      </c>
    </row>
    <row r="1011" spans="1:27" x14ac:dyDescent="0.25">
      <c r="A1011">
        <v>290000</v>
      </c>
      <c r="B1011">
        <v>1</v>
      </c>
      <c r="C1011">
        <v>37</v>
      </c>
      <c r="D1011">
        <v>0</v>
      </c>
      <c r="E1011">
        <v>362000</v>
      </c>
      <c r="F1011">
        <v>5334</v>
      </c>
      <c r="G1011">
        <v>1</v>
      </c>
      <c r="H1011">
        <v>0</v>
      </c>
      <c r="I1011">
        <v>1</v>
      </c>
      <c r="J1011">
        <v>26</v>
      </c>
      <c r="K1011">
        <v>1</v>
      </c>
      <c r="L1011">
        <f>Résultats!G$32+Résultats!G$33*Données!C1011+Résultats!G$34*Données!D1011+Résultats!G$35*Données!E1011+Résultats!G$36*Données!F1011+Résultats!G$37*Données!G1011+Résultats!G$38*Données!H1011+Résultats!G$39*Données!I1011</f>
        <v>235377.72642968883</v>
      </c>
      <c r="M1011">
        <f t="shared" si="60"/>
        <v>54622.273570311168</v>
      </c>
      <c r="Q1011">
        <v>280000</v>
      </c>
      <c r="R1011">
        <v>1</v>
      </c>
      <c r="S1011">
        <v>30</v>
      </c>
      <c r="T1011">
        <v>0</v>
      </c>
      <c r="U1011">
        <f t="shared" si="61"/>
        <v>12.765688433465597</v>
      </c>
      <c r="V1011">
        <f t="shared" si="62"/>
        <v>8.5051206101819687</v>
      </c>
      <c r="W1011">
        <v>1</v>
      </c>
      <c r="X1011">
        <v>0</v>
      </c>
      <c r="Y1011">
        <v>0</v>
      </c>
      <c r="Z1011">
        <f>'Résultat (Ln)'!F$30+'Résultat (Ln)'!F$31*Données!S1011+'Résultat (Ln)'!F$32*Données!T1011+'Résultat (Ln)'!F$33*Données!U1011+'Résultat (Ln)'!F$34*Données!V1011+'Résultat (Ln)'!F$35*Données!W1011+'Résultat (Ln)'!F$36*Données!X1011+'Résultat (Ln)'!F$37*Données!Y1011</f>
        <v>218303.28702780246</v>
      </c>
      <c r="AA1011">
        <f t="shared" si="63"/>
        <v>61696.712972197536</v>
      </c>
    </row>
    <row r="1012" spans="1:27" x14ac:dyDescent="0.25">
      <c r="A1012">
        <v>165000</v>
      </c>
      <c r="B1012">
        <v>1</v>
      </c>
      <c r="C1012">
        <v>28.10000038146973</v>
      </c>
      <c r="D1012">
        <v>0</v>
      </c>
      <c r="E1012">
        <v>227000</v>
      </c>
      <c r="F1012">
        <v>4334</v>
      </c>
      <c r="G1012">
        <v>1</v>
      </c>
      <c r="H1012">
        <v>0</v>
      </c>
      <c r="I1012">
        <v>0</v>
      </c>
      <c r="J1012">
        <v>22.10000038146973</v>
      </c>
      <c r="K1012">
        <v>1</v>
      </c>
      <c r="L1012">
        <f>Résultats!G$32+Résultats!G$33*Données!C1012+Résultats!G$34*Données!D1012+Résultats!G$35*Données!E1012+Résultats!G$36*Données!F1012+Résultats!G$37*Données!G1012+Résultats!G$38*Données!H1012+Résultats!G$39*Données!I1012</f>
        <v>150252.62500019567</v>
      </c>
      <c r="M1012">
        <f t="shared" si="60"/>
        <v>14747.374999804335</v>
      </c>
      <c r="Q1012">
        <v>290000</v>
      </c>
      <c r="R1012">
        <v>1</v>
      </c>
      <c r="S1012">
        <v>37</v>
      </c>
      <c r="T1012">
        <v>0</v>
      </c>
      <c r="U1012">
        <f t="shared" si="61"/>
        <v>12.799399490807907</v>
      </c>
      <c r="V1012">
        <f t="shared" si="62"/>
        <v>8.5818567047419592</v>
      </c>
      <c r="W1012">
        <v>1</v>
      </c>
      <c r="X1012">
        <v>0</v>
      </c>
      <c r="Y1012">
        <v>1</v>
      </c>
      <c r="Z1012">
        <f>'Résultat (Ln)'!F$30+'Résultat (Ln)'!F$31*Données!S1012+'Résultat (Ln)'!F$32*Données!T1012+'Résultat (Ln)'!F$33*Données!U1012+'Résultat (Ln)'!F$34*Données!V1012+'Résultat (Ln)'!F$35*Données!W1012+'Résultat (Ln)'!F$36*Données!X1012+'Résultat (Ln)'!F$37*Données!Y1012</f>
        <v>246710.30523457855</v>
      </c>
      <c r="AA1012">
        <f t="shared" si="63"/>
        <v>43289.694765421445</v>
      </c>
    </row>
    <row r="1013" spans="1:27" x14ac:dyDescent="0.25">
      <c r="A1013">
        <v>110000</v>
      </c>
      <c r="B1013">
        <v>1</v>
      </c>
      <c r="C1013">
        <v>32</v>
      </c>
      <c r="D1013">
        <v>0</v>
      </c>
      <c r="E1013">
        <v>195000</v>
      </c>
      <c r="F1013">
        <v>4358</v>
      </c>
      <c r="G1013">
        <v>1</v>
      </c>
      <c r="H1013">
        <v>0</v>
      </c>
      <c r="I1013">
        <v>0</v>
      </c>
      <c r="J1013">
        <v>27</v>
      </c>
      <c r="K1013">
        <v>1</v>
      </c>
      <c r="L1013">
        <f>Résultats!G$32+Résultats!G$33*Données!C1013+Résultats!G$34*Données!D1013+Résultats!G$35*Données!E1013+Résultats!G$36*Données!F1013+Résultats!G$37*Données!G1013+Résultats!G$38*Données!H1013+Résultats!G$39*Données!I1013</f>
        <v>139836.44133982612</v>
      </c>
      <c r="M1013">
        <f t="shared" si="60"/>
        <v>-29836.441339826124</v>
      </c>
      <c r="Q1013">
        <v>165000</v>
      </c>
      <c r="R1013">
        <v>1</v>
      </c>
      <c r="S1013">
        <v>28.10000038146973</v>
      </c>
      <c r="T1013">
        <v>0</v>
      </c>
      <c r="U1013">
        <f t="shared" si="61"/>
        <v>12.332705296463539</v>
      </c>
      <c r="V1013">
        <f t="shared" si="62"/>
        <v>8.3742461820963037</v>
      </c>
      <c r="W1013">
        <v>1</v>
      </c>
      <c r="X1013">
        <v>0</v>
      </c>
      <c r="Y1013">
        <v>0</v>
      </c>
      <c r="Z1013">
        <f>'Résultat (Ln)'!F$30+'Résultat (Ln)'!F$31*Données!S1013+'Résultat (Ln)'!F$32*Données!T1013+'Résultat (Ln)'!F$33*Données!U1013+'Résultat (Ln)'!F$34*Données!V1013+'Résultat (Ln)'!F$35*Données!W1013+'Résultat (Ln)'!F$36*Données!X1013+'Résultat (Ln)'!F$37*Données!Y1013</f>
        <v>165897.05994068991</v>
      </c>
      <c r="AA1013">
        <f t="shared" si="63"/>
        <v>-897.05994068991276</v>
      </c>
    </row>
    <row r="1014" spans="1:27" x14ac:dyDescent="0.25">
      <c r="A1014">
        <v>151000</v>
      </c>
      <c r="B1014">
        <v>1</v>
      </c>
      <c r="C1014">
        <v>11.39999961853027</v>
      </c>
      <c r="D1014">
        <v>0</v>
      </c>
      <c r="E1014">
        <v>188000</v>
      </c>
      <c r="F1014">
        <v>15771</v>
      </c>
      <c r="G1014">
        <v>1</v>
      </c>
      <c r="H1014">
        <v>0</v>
      </c>
      <c r="I1014">
        <v>1</v>
      </c>
      <c r="J1014">
        <v>9.7799997329711914</v>
      </c>
      <c r="K1014">
        <v>1</v>
      </c>
      <c r="L1014">
        <f>Résultats!G$32+Résultats!G$33*Données!C1014+Résultats!G$34*Données!D1014+Résultats!G$35*Données!E1014+Résultats!G$36*Données!F1014+Résultats!G$37*Données!G1014+Résultats!G$38*Données!H1014+Résultats!G$39*Données!I1014</f>
        <v>144946.58227344949</v>
      </c>
      <c r="M1014">
        <f t="shared" si="60"/>
        <v>6053.4177265505132</v>
      </c>
      <c r="Q1014">
        <v>110000</v>
      </c>
      <c r="R1014">
        <v>1</v>
      </c>
      <c r="S1014">
        <v>32</v>
      </c>
      <c r="T1014">
        <v>0</v>
      </c>
      <c r="U1014">
        <f t="shared" si="61"/>
        <v>12.180754837545884</v>
      </c>
      <c r="V1014">
        <f t="shared" si="62"/>
        <v>8.3797685155045656</v>
      </c>
      <c r="W1014">
        <v>1</v>
      </c>
      <c r="X1014">
        <v>0</v>
      </c>
      <c r="Y1014">
        <v>0</v>
      </c>
      <c r="Z1014">
        <f>'Résultat (Ln)'!F$30+'Résultat (Ln)'!F$31*Données!S1014+'Résultat (Ln)'!F$32*Données!T1014+'Résultat (Ln)'!F$33*Données!U1014+'Résultat (Ln)'!F$34*Données!V1014+'Résultat (Ln)'!F$35*Données!W1014+'Résultat (Ln)'!F$36*Données!X1014+'Résultat (Ln)'!F$37*Données!Y1014</f>
        <v>154529.48196787963</v>
      </c>
      <c r="AA1014">
        <f t="shared" si="63"/>
        <v>-44529.481967879634</v>
      </c>
    </row>
    <row r="1015" spans="1:27" x14ac:dyDescent="0.25">
      <c r="A1015">
        <v>136000</v>
      </c>
      <c r="B1015">
        <v>1</v>
      </c>
      <c r="C1015">
        <v>29</v>
      </c>
      <c r="D1015">
        <v>0</v>
      </c>
      <c r="E1015">
        <v>170000</v>
      </c>
      <c r="F1015">
        <v>5400</v>
      </c>
      <c r="G1015">
        <v>1</v>
      </c>
      <c r="H1015">
        <v>9</v>
      </c>
      <c r="I1015">
        <v>1</v>
      </c>
      <c r="J1015">
        <v>28</v>
      </c>
      <c r="K1015">
        <v>1</v>
      </c>
      <c r="L1015">
        <f>Résultats!G$32+Résultats!G$33*Données!C1015+Résultats!G$34*Données!D1015+Résultats!G$35*Données!E1015+Résultats!G$36*Données!F1015+Résultats!G$37*Données!G1015+Résultats!G$38*Données!H1015+Résultats!G$39*Données!I1015</f>
        <v>122033.7414651475</v>
      </c>
      <c r="M1015">
        <f t="shared" si="60"/>
        <v>13966.258534852503</v>
      </c>
      <c r="Q1015">
        <v>151000</v>
      </c>
      <c r="R1015">
        <v>1</v>
      </c>
      <c r="S1015">
        <v>11.39999961853027</v>
      </c>
      <c r="T1015">
        <v>0</v>
      </c>
      <c r="U1015">
        <f t="shared" si="61"/>
        <v>12.144197241812087</v>
      </c>
      <c r="V1015">
        <f t="shared" si="62"/>
        <v>9.6659280894875579</v>
      </c>
      <c r="W1015">
        <v>1</v>
      </c>
      <c r="X1015">
        <v>0</v>
      </c>
      <c r="Y1015">
        <v>1</v>
      </c>
      <c r="Z1015">
        <f>'Résultat (Ln)'!F$30+'Résultat (Ln)'!F$31*Données!S1015+'Résultat (Ln)'!F$32*Données!T1015+'Résultat (Ln)'!F$33*Données!U1015+'Résultat (Ln)'!F$34*Données!V1015+'Résultat (Ln)'!F$35*Données!W1015+'Résultat (Ln)'!F$36*Données!X1015+'Résultat (Ln)'!F$37*Données!Y1015</f>
        <v>175594.92129597763</v>
      </c>
      <c r="AA1015">
        <f t="shared" si="63"/>
        <v>-24594.921295977634</v>
      </c>
    </row>
    <row r="1016" spans="1:27" x14ac:dyDescent="0.25">
      <c r="A1016">
        <v>111000</v>
      </c>
      <c r="B1016">
        <v>1</v>
      </c>
      <c r="C1016">
        <v>41</v>
      </c>
      <c r="D1016">
        <v>0</v>
      </c>
      <c r="E1016">
        <v>123000</v>
      </c>
      <c r="F1016">
        <v>3399</v>
      </c>
      <c r="G1016">
        <v>1</v>
      </c>
      <c r="H1016">
        <v>0</v>
      </c>
      <c r="I1016">
        <v>0</v>
      </c>
      <c r="J1016">
        <v>24</v>
      </c>
      <c r="K1016">
        <v>1</v>
      </c>
      <c r="L1016">
        <f>Résultats!G$32+Résultats!G$33*Données!C1016+Résultats!G$34*Données!D1016+Résultats!G$35*Données!E1016+Résultats!G$36*Données!F1016+Résultats!G$37*Données!G1016+Résultats!G$38*Données!H1016+Résultats!G$39*Données!I1016</f>
        <v>114695.50132369724</v>
      </c>
      <c r="M1016">
        <f t="shared" si="60"/>
        <v>-3695.5013236972445</v>
      </c>
      <c r="Q1016">
        <v>136000</v>
      </c>
      <c r="R1016">
        <v>1</v>
      </c>
      <c r="S1016">
        <v>29</v>
      </c>
      <c r="T1016">
        <v>0</v>
      </c>
      <c r="U1016">
        <f t="shared" si="61"/>
        <v>12.043553716032399</v>
      </c>
      <c r="V1016">
        <f t="shared" si="62"/>
        <v>8.5941542325523663</v>
      </c>
      <c r="W1016">
        <v>1</v>
      </c>
      <c r="X1016">
        <v>9</v>
      </c>
      <c r="Y1016">
        <v>1</v>
      </c>
      <c r="Z1016">
        <f>'Résultat (Ln)'!F$30+'Résultat (Ln)'!F$31*Données!S1016+'Résultat (Ln)'!F$32*Données!T1016+'Résultat (Ln)'!F$33*Données!U1016+'Résultat (Ln)'!F$34*Données!V1016+'Résultat (Ln)'!F$35*Données!W1016+'Résultat (Ln)'!F$36*Données!X1016+'Résultat (Ln)'!F$37*Données!Y1016</f>
        <v>154657.70381407338</v>
      </c>
      <c r="AA1016">
        <f t="shared" si="63"/>
        <v>-18657.703814073378</v>
      </c>
    </row>
    <row r="1017" spans="1:27" x14ac:dyDescent="0.25">
      <c r="A1017">
        <v>65000</v>
      </c>
      <c r="B1017">
        <v>1</v>
      </c>
      <c r="C1017">
        <v>33</v>
      </c>
      <c r="D1017">
        <v>0</v>
      </c>
      <c r="E1017">
        <v>219500</v>
      </c>
      <c r="F1017">
        <v>1000</v>
      </c>
      <c r="G1017">
        <v>1</v>
      </c>
      <c r="H1017">
        <v>1</v>
      </c>
      <c r="I1017">
        <v>0</v>
      </c>
      <c r="J1017">
        <v>30.89999961853027</v>
      </c>
      <c r="K1017">
        <v>1</v>
      </c>
      <c r="L1017">
        <f>Résultats!G$32+Résultats!G$33*Données!C1017+Résultats!G$34*Données!D1017+Résultats!G$35*Données!E1017+Résultats!G$36*Données!F1017+Résultats!G$37*Données!G1017+Résultats!G$38*Données!H1017+Résultats!G$39*Données!I1017</f>
        <v>144293.10034803764</v>
      </c>
      <c r="M1017">
        <f t="shared" si="60"/>
        <v>-79293.100348037638</v>
      </c>
      <c r="Q1017">
        <v>111000</v>
      </c>
      <c r="R1017">
        <v>1</v>
      </c>
      <c r="S1017">
        <v>41</v>
      </c>
      <c r="T1017">
        <v>0</v>
      </c>
      <c r="U1017">
        <f t="shared" si="61"/>
        <v>11.719939634354555</v>
      </c>
      <c r="V1017">
        <f t="shared" si="62"/>
        <v>8.1312365496961156</v>
      </c>
      <c r="W1017">
        <v>1</v>
      </c>
      <c r="X1017">
        <v>0</v>
      </c>
      <c r="Y1017">
        <v>0</v>
      </c>
      <c r="Z1017">
        <f>'Résultat (Ln)'!F$30+'Résultat (Ln)'!F$31*Données!S1017+'Résultat (Ln)'!F$32*Données!T1017+'Résultat (Ln)'!F$33*Données!U1017+'Résultat (Ln)'!F$34*Données!V1017+'Résultat (Ln)'!F$35*Données!W1017+'Résultat (Ln)'!F$36*Données!X1017+'Résultat (Ln)'!F$37*Données!Y1017</f>
        <v>109160.22794906773</v>
      </c>
      <c r="AA1017">
        <f t="shared" si="63"/>
        <v>1839.772050932268</v>
      </c>
    </row>
    <row r="1018" spans="1:27" x14ac:dyDescent="0.25">
      <c r="A1018">
        <v>348000</v>
      </c>
      <c r="B1018">
        <v>1</v>
      </c>
      <c r="C1018">
        <v>51</v>
      </c>
      <c r="D1018">
        <v>0</v>
      </c>
      <c r="E1018">
        <v>435000</v>
      </c>
      <c r="F1018">
        <v>11318</v>
      </c>
      <c r="G1018">
        <v>1</v>
      </c>
      <c r="H1018">
        <v>1</v>
      </c>
      <c r="I1018">
        <v>1</v>
      </c>
      <c r="J1018">
        <v>32</v>
      </c>
      <c r="K1018">
        <v>1</v>
      </c>
      <c r="L1018">
        <f>Résultats!G$32+Résultats!G$33*Données!C1018+Résultats!G$34*Données!D1018+Résultats!G$35*Données!E1018+Résultats!G$36*Données!F1018+Résultats!G$37*Données!G1018+Résultats!G$38*Données!H1018+Résultats!G$39*Données!I1018</f>
        <v>295517.14346794382</v>
      </c>
      <c r="M1018">
        <f t="shared" si="60"/>
        <v>52482.856532056176</v>
      </c>
      <c r="Q1018">
        <v>65000</v>
      </c>
      <c r="R1018">
        <v>1</v>
      </c>
      <c r="S1018">
        <v>33</v>
      </c>
      <c r="T1018">
        <v>0</v>
      </c>
      <c r="U1018">
        <f t="shared" si="61"/>
        <v>12.299107511497363</v>
      </c>
      <c r="V1018">
        <f t="shared" si="62"/>
        <v>6.9077552789821368</v>
      </c>
      <c r="W1018">
        <v>1</v>
      </c>
      <c r="X1018">
        <v>1</v>
      </c>
      <c r="Y1018">
        <v>0</v>
      </c>
      <c r="Z1018">
        <f>'Résultat (Ln)'!F$30+'Résultat (Ln)'!F$31*Données!S1018+'Résultat (Ln)'!F$32*Données!T1018+'Résultat (Ln)'!F$33*Données!U1018+'Résultat (Ln)'!F$34*Données!V1018+'Résultat (Ln)'!F$35*Données!W1018+'Résultat (Ln)'!F$36*Données!X1018+'Résultat (Ln)'!F$37*Données!Y1018</f>
        <v>126977.08743063788</v>
      </c>
      <c r="AA1018">
        <f t="shared" si="63"/>
        <v>-61977.087430637883</v>
      </c>
    </row>
    <row r="1019" spans="1:27" x14ac:dyDescent="0.25">
      <c r="A1019">
        <v>137000</v>
      </c>
      <c r="B1019">
        <v>1</v>
      </c>
      <c r="C1019">
        <v>34</v>
      </c>
      <c r="D1019">
        <v>0</v>
      </c>
      <c r="E1019">
        <v>152000</v>
      </c>
      <c r="F1019">
        <v>3333</v>
      </c>
      <c r="G1019">
        <v>0</v>
      </c>
      <c r="H1019">
        <v>1</v>
      </c>
      <c r="I1019">
        <v>0</v>
      </c>
      <c r="J1019">
        <v>24</v>
      </c>
      <c r="K1019">
        <v>1</v>
      </c>
      <c r="L1019">
        <f>Résultats!G$32+Résultats!G$33*Données!C1019+Résultats!G$34*Données!D1019+Résultats!G$35*Données!E1019+Résultats!G$36*Données!F1019+Résultats!G$37*Données!G1019+Résultats!G$38*Données!H1019+Résultats!G$39*Données!I1019</f>
        <v>111426.6645350132</v>
      </c>
      <c r="M1019">
        <f t="shared" si="60"/>
        <v>25573.335464986798</v>
      </c>
      <c r="Q1019">
        <v>348000</v>
      </c>
      <c r="R1019">
        <v>1</v>
      </c>
      <c r="S1019">
        <v>51</v>
      </c>
      <c r="T1019">
        <v>0</v>
      </c>
      <c r="U1019">
        <f t="shared" si="61"/>
        <v>12.983101310070822</v>
      </c>
      <c r="V1019">
        <f t="shared" si="62"/>
        <v>9.3341496577024685</v>
      </c>
      <c r="W1019">
        <v>1</v>
      </c>
      <c r="X1019">
        <v>1</v>
      </c>
      <c r="Y1019">
        <v>1</v>
      </c>
      <c r="Z1019">
        <f>'Résultat (Ln)'!F$30+'Résultat (Ln)'!F$31*Données!S1019+'Résultat (Ln)'!F$32*Données!T1019+'Résultat (Ln)'!F$33*Données!U1019+'Résultat (Ln)'!F$34*Données!V1019+'Résultat (Ln)'!F$35*Données!W1019+'Résultat (Ln)'!F$36*Données!X1019+'Résultat (Ln)'!F$37*Données!Y1019</f>
        <v>304432.01264307933</v>
      </c>
      <c r="AA1019">
        <f t="shared" si="63"/>
        <v>43567.987356920668</v>
      </c>
    </row>
    <row r="1020" spans="1:27" x14ac:dyDescent="0.25">
      <c r="A1020">
        <v>120000</v>
      </c>
      <c r="B1020">
        <v>1</v>
      </c>
      <c r="C1020">
        <v>33.400001525878913</v>
      </c>
      <c r="D1020">
        <v>0</v>
      </c>
      <c r="E1020">
        <v>133500</v>
      </c>
      <c r="F1020">
        <v>3717</v>
      </c>
      <c r="G1020">
        <v>1</v>
      </c>
      <c r="H1020">
        <v>0</v>
      </c>
      <c r="I1020">
        <v>0</v>
      </c>
      <c r="J1020">
        <v>29.60000038146973</v>
      </c>
      <c r="K1020">
        <v>1</v>
      </c>
      <c r="L1020">
        <f>Résultats!G$32+Résultats!G$33*Données!C1020+Résultats!G$34*Données!D1020+Résultats!G$35*Données!E1020+Résultats!G$36*Données!F1020+Résultats!G$37*Données!G1020+Résultats!G$38*Données!H1020+Résultats!G$39*Données!I1020</f>
        <v>111484.83389850725</v>
      </c>
      <c r="M1020">
        <f t="shared" si="60"/>
        <v>8515.1661014927522</v>
      </c>
      <c r="Q1020">
        <v>137000</v>
      </c>
      <c r="R1020">
        <v>1</v>
      </c>
      <c r="S1020">
        <v>34</v>
      </c>
      <c r="T1020">
        <v>0</v>
      </c>
      <c r="U1020">
        <f t="shared" si="61"/>
        <v>11.931635799828413</v>
      </c>
      <c r="V1020">
        <f t="shared" si="62"/>
        <v>8.1116280783077404</v>
      </c>
      <c r="W1020">
        <v>0</v>
      </c>
      <c r="X1020">
        <v>1</v>
      </c>
      <c r="Y1020">
        <v>0</v>
      </c>
      <c r="Z1020">
        <f>'Résultat (Ln)'!F$30+'Résultat (Ln)'!F$31*Données!S1020+'Résultat (Ln)'!F$32*Données!T1020+'Résultat (Ln)'!F$33*Données!U1020+'Résultat (Ln)'!F$34*Données!V1020+'Résultat (Ln)'!F$35*Données!W1020+'Résultat (Ln)'!F$36*Données!X1020+'Résultat (Ln)'!F$37*Données!Y1020</f>
        <v>118057.32645939257</v>
      </c>
      <c r="AA1020">
        <f t="shared" si="63"/>
        <v>18942.673540607429</v>
      </c>
    </row>
    <row r="1021" spans="1:27" x14ac:dyDescent="0.25">
      <c r="A1021">
        <v>88000</v>
      </c>
      <c r="B1021">
        <v>1</v>
      </c>
      <c r="C1021">
        <v>38</v>
      </c>
      <c r="D1021">
        <v>0</v>
      </c>
      <c r="E1021">
        <v>98000</v>
      </c>
      <c r="F1021">
        <v>2058</v>
      </c>
      <c r="G1021">
        <v>1</v>
      </c>
      <c r="H1021">
        <v>0</v>
      </c>
      <c r="I1021">
        <v>1</v>
      </c>
      <c r="J1021">
        <v>24</v>
      </c>
      <c r="K1021">
        <v>1</v>
      </c>
      <c r="L1021">
        <f>Résultats!G$32+Résultats!G$33*Données!C1021+Résultats!G$34*Données!D1021+Résultats!G$35*Données!E1021+Résultats!G$36*Données!F1021+Résultats!G$37*Données!G1021+Résultats!G$38*Données!H1021+Résultats!G$39*Données!I1021</f>
        <v>106902.54246901879</v>
      </c>
      <c r="M1021">
        <f t="shared" si="60"/>
        <v>-18902.542469018794</v>
      </c>
      <c r="Q1021">
        <v>120000</v>
      </c>
      <c r="R1021">
        <v>1</v>
      </c>
      <c r="S1021">
        <v>33.400001525878913</v>
      </c>
      <c r="T1021">
        <v>0</v>
      </c>
      <c r="U1021">
        <f t="shared" si="61"/>
        <v>11.801856756822442</v>
      </c>
      <c r="V1021">
        <f t="shared" si="62"/>
        <v>8.2206721702972523</v>
      </c>
      <c r="W1021">
        <v>1</v>
      </c>
      <c r="X1021">
        <v>0</v>
      </c>
      <c r="Y1021">
        <v>0</v>
      </c>
      <c r="Z1021">
        <f>'Résultat (Ln)'!F$30+'Résultat (Ln)'!F$31*Données!S1021+'Résultat (Ln)'!F$32*Données!T1021+'Résultat (Ln)'!F$33*Données!U1021+'Résultat (Ln)'!F$34*Données!V1021+'Résultat (Ln)'!F$35*Données!W1021+'Résultat (Ln)'!F$36*Données!X1021+'Résultat (Ln)'!F$37*Données!Y1021</f>
        <v>111162.16367718614</v>
      </c>
      <c r="AA1021">
        <f t="shared" si="63"/>
        <v>8837.8363228138624</v>
      </c>
    </row>
    <row r="1022" spans="1:27" x14ac:dyDescent="0.25">
      <c r="A1022">
        <v>106000</v>
      </c>
      <c r="B1022">
        <v>1</v>
      </c>
      <c r="C1022">
        <v>35</v>
      </c>
      <c r="D1022">
        <v>0</v>
      </c>
      <c r="E1022">
        <v>115614.9978637695</v>
      </c>
      <c r="F1022">
        <v>2493</v>
      </c>
      <c r="G1022">
        <v>1</v>
      </c>
      <c r="H1022">
        <v>0</v>
      </c>
      <c r="I1022">
        <v>0</v>
      </c>
      <c r="J1022">
        <v>23</v>
      </c>
      <c r="K1022">
        <v>1</v>
      </c>
      <c r="L1022">
        <f>Résultats!G$32+Résultats!G$33*Données!C1022+Résultats!G$34*Données!D1022+Résultats!G$35*Données!E1022+Résultats!G$36*Données!F1022+Résultats!G$37*Données!G1022+Résultats!G$38*Données!H1022+Résultats!G$39*Données!I1022</f>
        <v>102599.39280894896</v>
      </c>
      <c r="M1022">
        <f t="shared" si="60"/>
        <v>3400.6071910510364</v>
      </c>
      <c r="Q1022">
        <v>88000</v>
      </c>
      <c r="R1022">
        <v>1</v>
      </c>
      <c r="S1022">
        <v>38</v>
      </c>
      <c r="T1022">
        <v>0</v>
      </c>
      <c r="U1022">
        <f t="shared" si="61"/>
        <v>11.492722757652709</v>
      </c>
      <c r="V1022">
        <f t="shared" si="62"/>
        <v>7.6294899163939949</v>
      </c>
      <c r="W1022">
        <v>1</v>
      </c>
      <c r="X1022">
        <v>0</v>
      </c>
      <c r="Y1022">
        <v>1</v>
      </c>
      <c r="Z1022">
        <f>'Résultat (Ln)'!F$30+'Résultat (Ln)'!F$31*Données!S1022+'Résultat (Ln)'!F$32*Données!T1022+'Résultat (Ln)'!F$33*Données!U1022+'Résultat (Ln)'!F$34*Données!V1022+'Résultat (Ln)'!F$35*Données!W1022+'Résultat (Ln)'!F$36*Données!X1022+'Résultat (Ln)'!F$37*Données!Y1022</f>
        <v>81152.512012762527</v>
      </c>
      <c r="AA1022">
        <f t="shared" si="63"/>
        <v>6847.4879872374731</v>
      </c>
    </row>
    <row r="1023" spans="1:27" x14ac:dyDescent="0.25">
      <c r="A1023">
        <v>75000</v>
      </c>
      <c r="B1023">
        <v>1</v>
      </c>
      <c r="C1023">
        <v>20.60000038146973</v>
      </c>
      <c r="D1023">
        <v>0</v>
      </c>
      <c r="E1023">
        <v>130000</v>
      </c>
      <c r="F1023">
        <v>2513</v>
      </c>
      <c r="G1023">
        <v>0</v>
      </c>
      <c r="H1023">
        <v>1</v>
      </c>
      <c r="I1023">
        <v>0</v>
      </c>
      <c r="J1023">
        <v>18.10000038146973</v>
      </c>
      <c r="K1023">
        <v>1</v>
      </c>
      <c r="L1023">
        <f>Résultats!G$32+Résultats!G$33*Données!C1023+Résultats!G$34*Données!D1023+Résultats!G$35*Données!E1023+Résultats!G$36*Données!F1023+Résultats!G$37*Données!G1023+Résultats!G$38*Données!H1023+Résultats!G$39*Données!I1023</f>
        <v>84172.524342301142</v>
      </c>
      <c r="M1023">
        <f t="shared" si="60"/>
        <v>-9172.5243423011416</v>
      </c>
      <c r="Q1023">
        <v>106000</v>
      </c>
      <c r="R1023">
        <v>1</v>
      </c>
      <c r="S1023">
        <v>35</v>
      </c>
      <c r="T1023">
        <v>0</v>
      </c>
      <c r="U1023">
        <f t="shared" si="61"/>
        <v>11.658020966110962</v>
      </c>
      <c r="V1023">
        <f t="shared" si="62"/>
        <v>7.8212420835235577</v>
      </c>
      <c r="W1023">
        <v>1</v>
      </c>
      <c r="X1023">
        <v>0</v>
      </c>
      <c r="Y1023">
        <v>0</v>
      </c>
      <c r="Z1023">
        <f>'Résultat (Ln)'!F$30+'Résultat (Ln)'!F$31*Données!S1023+'Résultat (Ln)'!F$32*Données!T1023+'Résultat (Ln)'!F$33*Données!U1023+'Résultat (Ln)'!F$34*Données!V1023+'Résultat (Ln)'!F$35*Données!W1023+'Résultat (Ln)'!F$36*Données!X1023+'Résultat (Ln)'!F$37*Données!Y1023</f>
        <v>86496.53482671814</v>
      </c>
      <c r="AA1023">
        <f t="shared" si="63"/>
        <v>19503.46517328186</v>
      </c>
    </row>
    <row r="1024" spans="1:27" x14ac:dyDescent="0.25">
      <c r="A1024">
        <v>103000</v>
      </c>
      <c r="B1024">
        <v>1</v>
      </c>
      <c r="C1024">
        <v>34.5</v>
      </c>
      <c r="D1024">
        <v>0</v>
      </c>
      <c r="E1024">
        <v>114000</v>
      </c>
      <c r="F1024">
        <v>4354</v>
      </c>
      <c r="G1024">
        <v>0</v>
      </c>
      <c r="H1024">
        <v>0</v>
      </c>
      <c r="I1024">
        <v>0</v>
      </c>
      <c r="J1024">
        <v>23.79999923706055</v>
      </c>
      <c r="K1024">
        <v>1</v>
      </c>
      <c r="L1024">
        <f>Résultats!G$32+Résultats!G$33*Données!C1024+Résultats!G$34*Données!D1024+Résultats!G$35*Données!E1024+Résultats!G$36*Données!F1024+Résultats!G$37*Données!G1024+Résultats!G$38*Données!H1024+Résultats!G$39*Données!I1024</f>
        <v>97860.532894626565</v>
      </c>
      <c r="M1024">
        <f t="shared" si="60"/>
        <v>5139.4671053734346</v>
      </c>
      <c r="Q1024">
        <v>75000</v>
      </c>
      <c r="R1024">
        <v>1</v>
      </c>
      <c r="S1024">
        <v>20.60000038146973</v>
      </c>
      <c r="T1024">
        <v>0</v>
      </c>
      <c r="U1024">
        <f t="shared" si="61"/>
        <v>11.77528972943772</v>
      </c>
      <c r="V1024">
        <f t="shared" si="62"/>
        <v>7.8292325375435921</v>
      </c>
      <c r="W1024">
        <v>0</v>
      </c>
      <c r="X1024">
        <v>1</v>
      </c>
      <c r="Y1024">
        <v>0</v>
      </c>
      <c r="Z1024">
        <f>'Résultat (Ln)'!F$30+'Résultat (Ln)'!F$31*Données!S1024+'Résultat (Ln)'!F$32*Données!T1024+'Résultat (Ln)'!F$33*Données!U1024+'Résultat (Ln)'!F$34*Données!V1024+'Résultat (Ln)'!F$35*Données!W1024+'Résultat (Ln)'!F$36*Données!X1024+'Résultat (Ln)'!F$37*Données!Y1024</f>
        <v>77002.365519039464</v>
      </c>
      <c r="AA1024">
        <f t="shared" si="63"/>
        <v>-2002.3655190394638</v>
      </c>
    </row>
    <row r="1025" spans="1:27" x14ac:dyDescent="0.25">
      <c r="A1025">
        <v>142000</v>
      </c>
      <c r="B1025">
        <v>1</v>
      </c>
      <c r="C1025">
        <v>33</v>
      </c>
      <c r="D1025">
        <v>0</v>
      </c>
      <c r="E1025">
        <v>217000</v>
      </c>
      <c r="F1025">
        <v>2407</v>
      </c>
      <c r="G1025">
        <v>0</v>
      </c>
      <c r="H1025">
        <v>0</v>
      </c>
      <c r="I1025">
        <v>0</v>
      </c>
      <c r="J1025">
        <v>31</v>
      </c>
      <c r="K1025">
        <v>1</v>
      </c>
      <c r="L1025">
        <f>Résultats!G$32+Résultats!G$33*Données!C1025+Résultats!G$34*Données!D1025+Résultats!G$35*Données!E1025+Résultats!G$36*Données!F1025+Résultats!G$37*Données!G1025+Résultats!G$38*Données!H1025+Résultats!G$39*Données!I1025</f>
        <v>140460.84199810325</v>
      </c>
      <c r="M1025">
        <f t="shared" si="60"/>
        <v>1539.1580018967506</v>
      </c>
      <c r="Q1025">
        <v>103000</v>
      </c>
      <c r="R1025">
        <v>1</v>
      </c>
      <c r="S1025">
        <v>34.5</v>
      </c>
      <c r="T1025">
        <v>0</v>
      </c>
      <c r="U1025">
        <f t="shared" si="61"/>
        <v>11.643953727376633</v>
      </c>
      <c r="V1025">
        <f t="shared" si="62"/>
        <v>8.3788502417944919</v>
      </c>
      <c r="W1025">
        <v>0</v>
      </c>
      <c r="X1025">
        <v>0</v>
      </c>
      <c r="Y1025">
        <v>0</v>
      </c>
      <c r="Z1025">
        <f>'Résultat (Ln)'!F$30+'Résultat (Ln)'!F$31*Données!S1025+'Résultat (Ln)'!F$32*Données!T1025+'Résultat (Ln)'!F$33*Données!U1025+'Résultat (Ln)'!F$34*Données!V1025+'Résultat (Ln)'!F$35*Données!W1025+'Résultat (Ln)'!F$36*Données!X1025+'Résultat (Ln)'!F$37*Données!Y1025</f>
        <v>95502.100771269819</v>
      </c>
      <c r="AA1025">
        <f t="shared" si="63"/>
        <v>7497.8992287301808</v>
      </c>
    </row>
    <row r="1026" spans="1:27" x14ac:dyDescent="0.25">
      <c r="A1026">
        <v>173000</v>
      </c>
      <c r="B1026">
        <v>1</v>
      </c>
      <c r="C1026">
        <v>26</v>
      </c>
      <c r="D1026">
        <v>0</v>
      </c>
      <c r="E1026">
        <v>188000</v>
      </c>
      <c r="F1026">
        <v>4000</v>
      </c>
      <c r="G1026">
        <v>1</v>
      </c>
      <c r="H1026">
        <v>0</v>
      </c>
      <c r="I1026">
        <v>0</v>
      </c>
      <c r="J1026">
        <v>21</v>
      </c>
      <c r="K1026">
        <v>0</v>
      </c>
      <c r="L1026">
        <f>Résultats!G$32+Résultats!G$33*Données!C1026+Résultats!G$34*Données!D1026+Résultats!G$35*Données!E1026+Résultats!G$36*Données!F1026+Résultats!G$37*Données!G1026+Résultats!G$38*Données!H1026+Résultats!G$39*Données!I1026</f>
        <v>128982.0183074708</v>
      </c>
      <c r="M1026">
        <f t="shared" si="60"/>
        <v>44017.981692529196</v>
      </c>
      <c r="Q1026">
        <v>142000</v>
      </c>
      <c r="R1026">
        <v>1</v>
      </c>
      <c r="S1026">
        <v>33</v>
      </c>
      <c r="T1026">
        <v>0</v>
      </c>
      <c r="U1026">
        <f t="shared" si="61"/>
        <v>12.287652632522597</v>
      </c>
      <c r="V1026">
        <f t="shared" si="62"/>
        <v>7.786136437783072</v>
      </c>
      <c r="W1026">
        <v>0</v>
      </c>
      <c r="X1026">
        <v>0</v>
      </c>
      <c r="Y1026">
        <v>0</v>
      </c>
      <c r="Z1026">
        <f>'Résultat (Ln)'!F$30+'Résultat (Ln)'!F$31*Données!S1026+'Résultat (Ln)'!F$32*Données!T1026+'Résultat (Ln)'!F$33*Données!U1026+'Résultat (Ln)'!F$34*Données!V1026+'Résultat (Ln)'!F$35*Données!W1026+'Résultat (Ln)'!F$36*Données!X1026+'Résultat (Ln)'!F$37*Données!Y1026</f>
        <v>146047.5794517468</v>
      </c>
      <c r="AA1026">
        <f t="shared" si="63"/>
        <v>-4047.5794517468021</v>
      </c>
    </row>
    <row r="1027" spans="1:27" x14ac:dyDescent="0.25">
      <c r="A1027">
        <v>112000</v>
      </c>
      <c r="B1027">
        <v>1</v>
      </c>
      <c r="C1027">
        <v>34</v>
      </c>
      <c r="D1027">
        <v>0</v>
      </c>
      <c r="E1027">
        <v>174000</v>
      </c>
      <c r="F1027">
        <v>3541</v>
      </c>
      <c r="G1027">
        <v>0</v>
      </c>
      <c r="H1027">
        <v>0</v>
      </c>
      <c r="I1027">
        <v>0</v>
      </c>
      <c r="J1027">
        <v>32</v>
      </c>
      <c r="K1027">
        <v>0</v>
      </c>
      <c r="L1027">
        <f>Résultats!G$32+Résultats!G$33*Données!C1027+Résultats!G$34*Données!D1027+Résultats!G$35*Données!E1027+Résultats!G$36*Données!F1027+Résultats!G$37*Données!G1027+Résultats!G$38*Données!H1027+Résultats!G$39*Données!I1027</f>
        <v>123727.97269706542</v>
      </c>
      <c r="M1027">
        <f t="shared" ref="M1027:M1090" si="64">A1027-L1027</f>
        <v>-11727.972697065416</v>
      </c>
      <c r="Q1027">
        <v>173000</v>
      </c>
      <c r="R1027">
        <v>1</v>
      </c>
      <c r="S1027">
        <v>26</v>
      </c>
      <c r="T1027">
        <v>0</v>
      </c>
      <c r="U1027">
        <f t="shared" si="61"/>
        <v>12.144197241812087</v>
      </c>
      <c r="V1027">
        <f t="shared" si="62"/>
        <v>8.2940496401020276</v>
      </c>
      <c r="W1027">
        <v>1</v>
      </c>
      <c r="X1027">
        <v>0</v>
      </c>
      <c r="Y1027">
        <v>0</v>
      </c>
      <c r="Z1027">
        <f>'Résultat (Ln)'!F$30+'Résultat (Ln)'!F$31*Données!S1027+'Résultat (Ln)'!F$32*Données!T1027+'Résultat (Ln)'!F$33*Données!U1027+'Résultat (Ln)'!F$34*Données!V1027+'Résultat (Ln)'!F$35*Données!W1027+'Résultat (Ln)'!F$36*Données!X1027+'Résultat (Ln)'!F$37*Données!Y1027</f>
        <v>140874.3701447919</v>
      </c>
      <c r="AA1027">
        <f t="shared" si="63"/>
        <v>32125.629855208099</v>
      </c>
    </row>
    <row r="1028" spans="1:27" x14ac:dyDescent="0.25">
      <c r="A1028">
        <v>162000</v>
      </c>
      <c r="B1028">
        <v>1</v>
      </c>
      <c r="C1028">
        <v>30</v>
      </c>
      <c r="D1028">
        <v>0</v>
      </c>
      <c r="E1028">
        <v>180000</v>
      </c>
      <c r="F1028">
        <v>3975</v>
      </c>
      <c r="G1028">
        <v>0</v>
      </c>
      <c r="H1028">
        <v>0</v>
      </c>
      <c r="I1028">
        <v>0</v>
      </c>
      <c r="J1028">
        <v>23</v>
      </c>
      <c r="K1028">
        <v>1</v>
      </c>
      <c r="L1028">
        <f>Résultats!G$32+Résultats!G$33*Données!C1028+Résultats!G$34*Données!D1028+Résultats!G$35*Données!E1028+Résultats!G$36*Données!F1028+Résultats!G$37*Données!G1028+Résultats!G$38*Données!H1028+Résultats!G$39*Données!I1028</f>
        <v>122776.01050936824</v>
      </c>
      <c r="M1028">
        <f t="shared" si="64"/>
        <v>39223.989490631764</v>
      </c>
      <c r="Q1028">
        <v>112000</v>
      </c>
      <c r="R1028">
        <v>1</v>
      </c>
      <c r="S1028">
        <v>34</v>
      </c>
      <c r="T1028">
        <v>0</v>
      </c>
      <c r="U1028">
        <f t="shared" ref="U1028:U1091" si="65">LN(E1027)</f>
        <v>12.066810578196666</v>
      </c>
      <c r="V1028">
        <f t="shared" ref="V1028:V1091" si="66">LN(F1027)</f>
        <v>8.1721644521119039</v>
      </c>
      <c r="W1028">
        <v>0</v>
      </c>
      <c r="X1028">
        <v>0</v>
      </c>
      <c r="Y1028">
        <v>0</v>
      </c>
      <c r="Z1028">
        <f>'Résultat (Ln)'!F$30+'Résultat (Ln)'!F$31*Données!S1028+'Résultat (Ln)'!F$32*Données!T1028+'Résultat (Ln)'!F$33*Données!U1028+'Résultat (Ln)'!F$34*Données!V1028+'Résultat (Ln)'!F$35*Données!W1028+'Résultat (Ln)'!F$36*Données!X1028+'Résultat (Ln)'!F$37*Données!Y1028</f>
        <v>134422.79306215193</v>
      </c>
      <c r="AA1028">
        <f t="shared" ref="AA1028:AA1091" si="67">Q1028-Z1028</f>
        <v>-22422.793062151934</v>
      </c>
    </row>
    <row r="1029" spans="1:27" x14ac:dyDescent="0.25">
      <c r="A1029">
        <v>150000</v>
      </c>
      <c r="B1029">
        <v>1</v>
      </c>
      <c r="C1029">
        <v>19</v>
      </c>
      <c r="D1029">
        <v>0</v>
      </c>
      <c r="E1029">
        <v>415000</v>
      </c>
      <c r="F1029">
        <v>10166</v>
      </c>
      <c r="G1029">
        <v>1</v>
      </c>
      <c r="H1029">
        <v>0</v>
      </c>
      <c r="I1029">
        <v>0</v>
      </c>
      <c r="J1029">
        <v>19</v>
      </c>
      <c r="K1029">
        <v>1</v>
      </c>
      <c r="L1029">
        <f>Résultats!G$32+Résultats!G$33*Données!C1029+Résultats!G$34*Données!D1029+Résultats!G$35*Données!E1029+Résultats!G$36*Données!F1029+Résultats!G$37*Données!G1029+Résultats!G$38*Données!H1029+Résultats!G$39*Données!I1029</f>
        <v>238888.11453958182</v>
      </c>
      <c r="M1029">
        <f t="shared" si="64"/>
        <v>-88888.114539581817</v>
      </c>
      <c r="Q1029">
        <v>162000</v>
      </c>
      <c r="R1029">
        <v>1</v>
      </c>
      <c r="S1029">
        <v>30</v>
      </c>
      <c r="T1029">
        <v>0</v>
      </c>
      <c r="U1029">
        <f t="shared" si="65"/>
        <v>12.100712129872347</v>
      </c>
      <c r="V1029">
        <f t="shared" si="66"/>
        <v>8.2877800270884325</v>
      </c>
      <c r="W1029">
        <v>0</v>
      </c>
      <c r="X1029">
        <v>0</v>
      </c>
      <c r="Y1029">
        <v>0</v>
      </c>
      <c r="Z1029">
        <f>'Résultat (Ln)'!F$30+'Résultat (Ln)'!F$31*Données!S1029+'Résultat (Ln)'!F$32*Données!T1029+'Résultat (Ln)'!F$33*Données!U1029+'Résultat (Ln)'!F$34*Données!V1029+'Résultat (Ln)'!F$35*Données!W1029+'Résultat (Ln)'!F$36*Données!X1029+'Résultat (Ln)'!F$37*Données!Y1029</f>
        <v>136411.25568730559</v>
      </c>
      <c r="AA1029">
        <f t="shared" si="67"/>
        <v>25588.744312694413</v>
      </c>
    </row>
    <row r="1030" spans="1:27" x14ac:dyDescent="0.25">
      <c r="A1030">
        <v>135000</v>
      </c>
      <c r="B1030">
        <v>1</v>
      </c>
      <c r="C1030">
        <v>34.299999237060547</v>
      </c>
      <c r="D1030">
        <v>0</v>
      </c>
      <c r="E1030">
        <v>150000</v>
      </c>
      <c r="F1030">
        <v>4483</v>
      </c>
      <c r="G1030">
        <v>1</v>
      </c>
      <c r="H1030">
        <v>0</v>
      </c>
      <c r="I1030">
        <v>0</v>
      </c>
      <c r="J1030">
        <v>33.299999237060547</v>
      </c>
      <c r="K1030">
        <v>1</v>
      </c>
      <c r="L1030">
        <f>Résultats!G$32+Résultats!G$33*Données!C1030+Résultats!G$34*Données!D1030+Résultats!G$35*Données!E1030+Résultats!G$36*Données!F1030+Résultats!G$37*Données!G1030+Résultats!G$38*Données!H1030+Résultats!G$39*Données!I1030</f>
        <v>121707.70866588254</v>
      </c>
      <c r="M1030">
        <f t="shared" si="64"/>
        <v>13292.291334117457</v>
      </c>
      <c r="Q1030">
        <v>150000</v>
      </c>
      <c r="R1030">
        <v>1</v>
      </c>
      <c r="S1030">
        <v>19</v>
      </c>
      <c r="T1030">
        <v>0</v>
      </c>
      <c r="U1030">
        <f t="shared" si="65"/>
        <v>12.936033799212835</v>
      </c>
      <c r="V1030">
        <f t="shared" si="66"/>
        <v>9.2268040980068484</v>
      </c>
      <c r="W1030">
        <v>1</v>
      </c>
      <c r="X1030">
        <v>0</v>
      </c>
      <c r="Y1030">
        <v>0</v>
      </c>
      <c r="Z1030">
        <f>'Résultat (Ln)'!F$30+'Résultat (Ln)'!F$31*Données!S1030+'Résultat (Ln)'!F$32*Données!T1030+'Résultat (Ln)'!F$33*Données!U1030+'Résultat (Ln)'!F$34*Données!V1030+'Résultat (Ln)'!F$35*Données!W1030+'Résultat (Ln)'!F$36*Données!X1030+'Résultat (Ln)'!F$37*Données!Y1030</f>
        <v>243361.28995264694</v>
      </c>
      <c r="AA1030">
        <f t="shared" si="67"/>
        <v>-93361.289952646941</v>
      </c>
    </row>
    <row r="1031" spans="1:27" x14ac:dyDescent="0.25">
      <c r="A1031">
        <v>150000</v>
      </c>
      <c r="B1031">
        <v>1</v>
      </c>
      <c r="C1031">
        <v>35.200000762939453</v>
      </c>
      <c r="D1031">
        <v>0</v>
      </c>
      <c r="E1031">
        <v>230000</v>
      </c>
      <c r="F1031">
        <v>4521</v>
      </c>
      <c r="G1031">
        <v>1</v>
      </c>
      <c r="H1031">
        <v>1</v>
      </c>
      <c r="I1031">
        <v>1</v>
      </c>
      <c r="J1031">
        <v>26.70000076293945</v>
      </c>
      <c r="K1031">
        <v>1</v>
      </c>
      <c r="L1031">
        <f>Résultats!G$32+Résultats!G$33*Données!C1031+Résultats!G$34*Données!D1031+Résultats!G$35*Données!E1031+Résultats!G$36*Données!F1031+Résultats!G$37*Données!G1031+Résultats!G$38*Données!H1031+Résultats!G$39*Données!I1031</f>
        <v>168471.59155132013</v>
      </c>
      <c r="M1031">
        <f t="shared" si="64"/>
        <v>-18471.591551320133</v>
      </c>
      <c r="Q1031">
        <v>135000</v>
      </c>
      <c r="R1031">
        <v>1</v>
      </c>
      <c r="S1031">
        <v>34.299999237060547</v>
      </c>
      <c r="T1031">
        <v>0</v>
      </c>
      <c r="U1031">
        <f t="shared" si="65"/>
        <v>11.918390573078392</v>
      </c>
      <c r="V1031">
        <f t="shared" si="66"/>
        <v>8.4080477441554393</v>
      </c>
      <c r="W1031">
        <v>1</v>
      </c>
      <c r="X1031">
        <v>0</v>
      </c>
      <c r="Y1031">
        <v>0</v>
      </c>
      <c r="Z1031">
        <f>'Résultat (Ln)'!F$30+'Résultat (Ln)'!F$31*Données!S1031+'Résultat (Ln)'!F$32*Données!T1031+'Résultat (Ln)'!F$33*Données!U1031+'Résultat (Ln)'!F$34*Données!V1031+'Résultat (Ln)'!F$35*Données!W1031+'Résultat (Ln)'!F$36*Données!X1031+'Résultat (Ln)'!F$37*Données!Y1031</f>
        <v>130009.00272533302</v>
      </c>
      <c r="AA1031">
        <f t="shared" si="67"/>
        <v>4990.997274666981</v>
      </c>
    </row>
    <row r="1032" spans="1:27" x14ac:dyDescent="0.25">
      <c r="A1032">
        <v>168000</v>
      </c>
      <c r="B1032">
        <v>1</v>
      </c>
      <c r="C1032">
        <v>50</v>
      </c>
      <c r="D1032">
        <v>0</v>
      </c>
      <c r="E1032">
        <v>179000</v>
      </c>
      <c r="F1032">
        <v>2679</v>
      </c>
      <c r="G1032">
        <v>0</v>
      </c>
      <c r="H1032">
        <v>0</v>
      </c>
      <c r="I1032">
        <v>0</v>
      </c>
      <c r="J1032">
        <v>35.529998779296882</v>
      </c>
      <c r="K1032">
        <v>1</v>
      </c>
      <c r="L1032">
        <f>Résultats!G$32+Résultats!G$33*Données!C1032+Résultats!G$34*Données!D1032+Résultats!G$35*Données!E1032+Résultats!G$36*Données!F1032+Résultats!G$37*Données!G1032+Résultats!G$38*Données!H1032+Résultats!G$39*Données!I1032</f>
        <v>142771.09239703073</v>
      </c>
      <c r="M1032">
        <f t="shared" si="64"/>
        <v>25228.907602969266</v>
      </c>
      <c r="Q1032">
        <v>150000</v>
      </c>
      <c r="R1032">
        <v>1</v>
      </c>
      <c r="S1032">
        <v>35.200000762939453</v>
      </c>
      <c r="T1032">
        <v>0</v>
      </c>
      <c r="U1032">
        <f t="shared" si="65"/>
        <v>12.345834587905333</v>
      </c>
      <c r="V1032">
        <f t="shared" si="66"/>
        <v>8.4164884872946057</v>
      </c>
      <c r="W1032">
        <v>1</v>
      </c>
      <c r="X1032">
        <v>1</v>
      </c>
      <c r="Y1032">
        <v>1</v>
      </c>
      <c r="Z1032">
        <f>'Résultat (Ln)'!F$30+'Résultat (Ln)'!F$31*Données!S1032+'Résultat (Ln)'!F$32*Données!T1032+'Résultat (Ln)'!F$33*Données!U1032+'Résultat (Ln)'!F$34*Données!V1032+'Résultat (Ln)'!F$35*Données!W1032+'Résultat (Ln)'!F$36*Données!X1032+'Résultat (Ln)'!F$37*Données!Y1032</f>
        <v>191075.06391285328</v>
      </c>
      <c r="AA1032">
        <f t="shared" si="67"/>
        <v>-41075.063912853278</v>
      </c>
    </row>
    <row r="1033" spans="1:27" x14ac:dyDescent="0.25">
      <c r="A1033">
        <v>117000</v>
      </c>
      <c r="B1033">
        <v>1</v>
      </c>
      <c r="C1033">
        <v>32</v>
      </c>
      <c r="D1033">
        <v>0</v>
      </c>
      <c r="E1033">
        <v>175000</v>
      </c>
      <c r="F1033">
        <v>3300</v>
      </c>
      <c r="G1033">
        <v>1</v>
      </c>
      <c r="H1033">
        <v>0</v>
      </c>
      <c r="I1033">
        <v>0</v>
      </c>
      <c r="J1033">
        <v>28</v>
      </c>
      <c r="K1033">
        <v>1</v>
      </c>
      <c r="L1033">
        <f>Résultats!G$32+Résultats!G$33*Données!C1033+Résultats!G$34*Données!D1033+Résultats!G$35*Données!E1033+Résultats!G$36*Données!F1033+Résultats!G$37*Données!G1033+Résultats!G$38*Données!H1033+Résultats!G$39*Données!I1033</f>
        <v>128447.19693340406</v>
      </c>
      <c r="M1033">
        <f t="shared" si="64"/>
        <v>-11447.196933404062</v>
      </c>
      <c r="Q1033">
        <v>168000</v>
      </c>
      <c r="R1033">
        <v>1</v>
      </c>
      <c r="S1033">
        <v>50</v>
      </c>
      <c r="T1033">
        <v>0</v>
      </c>
      <c r="U1033">
        <f t="shared" si="65"/>
        <v>12.095141084822892</v>
      </c>
      <c r="V1033">
        <f t="shared" si="66"/>
        <v>7.8931988695446087</v>
      </c>
      <c r="W1033">
        <v>0</v>
      </c>
      <c r="X1033">
        <v>0</v>
      </c>
      <c r="Y1033">
        <v>0</v>
      </c>
      <c r="Z1033">
        <f>'Résultat (Ln)'!F$30+'Résultat (Ln)'!F$31*Données!S1033+'Résultat (Ln)'!F$32*Données!T1033+'Résultat (Ln)'!F$33*Données!U1033+'Résultat (Ln)'!F$34*Données!V1033+'Résultat (Ln)'!F$35*Données!W1033+'Résultat (Ln)'!F$36*Données!X1033+'Résultat (Ln)'!F$37*Données!Y1033</f>
        <v>149188.54232779931</v>
      </c>
      <c r="AA1033">
        <f t="shared" si="67"/>
        <v>18811.45767220069</v>
      </c>
    </row>
    <row r="1034" spans="1:27" x14ac:dyDescent="0.25">
      <c r="A1034">
        <v>155000</v>
      </c>
      <c r="B1034">
        <v>1</v>
      </c>
      <c r="C1034">
        <v>57</v>
      </c>
      <c r="D1034">
        <v>0</v>
      </c>
      <c r="E1034">
        <v>180000</v>
      </c>
      <c r="F1034">
        <v>10000</v>
      </c>
      <c r="G1034">
        <v>1</v>
      </c>
      <c r="H1034">
        <v>0</v>
      </c>
      <c r="I1034">
        <v>1</v>
      </c>
      <c r="J1034">
        <v>17</v>
      </c>
      <c r="K1034">
        <v>1</v>
      </c>
      <c r="L1034">
        <f>Résultats!G$32+Résultats!G$33*Données!C1034+Résultats!G$34*Données!D1034+Résultats!G$35*Données!E1034+Résultats!G$36*Données!F1034+Résultats!G$37*Données!G1034+Résultats!G$38*Données!H1034+Résultats!G$39*Données!I1034</f>
        <v>182407.35496224329</v>
      </c>
      <c r="M1034">
        <f t="shared" si="64"/>
        <v>-27407.354962243291</v>
      </c>
      <c r="Q1034">
        <v>117000</v>
      </c>
      <c r="R1034">
        <v>1</v>
      </c>
      <c r="S1034">
        <v>32</v>
      </c>
      <c r="T1034">
        <v>0</v>
      </c>
      <c r="U1034">
        <f t="shared" si="65"/>
        <v>12.072541252905651</v>
      </c>
      <c r="V1034">
        <f t="shared" si="66"/>
        <v>8.1016777474545716</v>
      </c>
      <c r="W1034">
        <v>1</v>
      </c>
      <c r="X1034">
        <v>0</v>
      </c>
      <c r="Y1034">
        <v>0</v>
      </c>
      <c r="Z1034">
        <f>'Résultat (Ln)'!F$30+'Résultat (Ln)'!F$31*Données!S1034+'Résultat (Ln)'!F$32*Données!T1034+'Résultat (Ln)'!F$33*Données!U1034+'Résultat (Ln)'!F$34*Données!V1034+'Résultat (Ln)'!F$35*Données!W1034+'Résultat (Ln)'!F$36*Données!X1034+'Résultat (Ln)'!F$37*Données!Y1034</f>
        <v>135130.18938816473</v>
      </c>
      <c r="AA1034">
        <f t="shared" si="67"/>
        <v>-18130.189388164727</v>
      </c>
    </row>
    <row r="1035" spans="1:27" x14ac:dyDescent="0.25">
      <c r="A1035">
        <v>115000</v>
      </c>
      <c r="B1035">
        <v>1</v>
      </c>
      <c r="C1035">
        <v>38.099998474121087</v>
      </c>
      <c r="D1035">
        <v>0</v>
      </c>
      <c r="E1035">
        <v>144000</v>
      </c>
      <c r="F1035">
        <v>2400</v>
      </c>
      <c r="G1035">
        <v>1</v>
      </c>
      <c r="H1035">
        <v>0</v>
      </c>
      <c r="I1035">
        <v>1</v>
      </c>
      <c r="J1035">
        <v>29.70000076293945</v>
      </c>
      <c r="K1035">
        <v>1</v>
      </c>
      <c r="L1035">
        <f>Résultats!G$32+Résultats!G$33*Données!C1035+Résultats!G$34*Données!D1035+Résultats!G$35*Données!E1035+Résultats!G$36*Données!F1035+Résultats!G$37*Données!G1035+Résultats!G$38*Données!H1035+Résultats!G$39*Données!I1035</f>
        <v>129159.98139222767</v>
      </c>
      <c r="M1035">
        <f t="shared" si="64"/>
        <v>-14159.981392227666</v>
      </c>
      <c r="Q1035">
        <v>155000</v>
      </c>
      <c r="R1035">
        <v>1</v>
      </c>
      <c r="S1035">
        <v>57</v>
      </c>
      <c r="T1035">
        <v>0</v>
      </c>
      <c r="U1035">
        <f t="shared" si="65"/>
        <v>12.100712129872347</v>
      </c>
      <c r="V1035">
        <f t="shared" si="66"/>
        <v>9.2103403719761836</v>
      </c>
      <c r="W1035">
        <v>1</v>
      </c>
      <c r="X1035">
        <v>0</v>
      </c>
      <c r="Y1035">
        <v>1</v>
      </c>
      <c r="Z1035">
        <f>'Résultat (Ln)'!F$30+'Résultat (Ln)'!F$31*Données!S1035+'Résultat (Ln)'!F$32*Données!T1035+'Résultat (Ln)'!F$33*Données!U1035+'Résultat (Ln)'!F$34*Données!V1035+'Résultat (Ln)'!F$35*Données!W1035+'Résultat (Ln)'!F$36*Données!X1035+'Résultat (Ln)'!F$37*Données!Y1035</f>
        <v>213881.26000186236</v>
      </c>
      <c r="AA1035">
        <f t="shared" si="67"/>
        <v>-58881.260001862363</v>
      </c>
    </row>
    <row r="1036" spans="1:27" x14ac:dyDescent="0.25">
      <c r="A1036">
        <v>83000</v>
      </c>
      <c r="B1036">
        <v>1</v>
      </c>
      <c r="C1036">
        <v>27.60000038146973</v>
      </c>
      <c r="D1036">
        <v>0</v>
      </c>
      <c r="E1036">
        <v>83000</v>
      </c>
      <c r="F1036">
        <v>2917</v>
      </c>
      <c r="G1036">
        <v>0</v>
      </c>
      <c r="H1036">
        <v>0</v>
      </c>
      <c r="I1036">
        <v>1</v>
      </c>
      <c r="J1036">
        <v>26</v>
      </c>
      <c r="K1036">
        <v>0</v>
      </c>
      <c r="L1036">
        <f>Résultats!G$32+Résultats!G$33*Données!C1036+Résultats!G$34*Données!D1036+Résultats!G$35*Données!E1036+Résultats!G$36*Données!F1036+Résultats!G$37*Données!G1036+Résultats!G$38*Données!H1036+Résultats!G$39*Données!I1036</f>
        <v>82600.012800423661</v>
      </c>
      <c r="M1036">
        <f t="shared" si="64"/>
        <v>399.98719957633875</v>
      </c>
      <c r="Q1036">
        <v>115000</v>
      </c>
      <c r="R1036">
        <v>1</v>
      </c>
      <c r="S1036">
        <v>38.099998474121087</v>
      </c>
      <c r="T1036">
        <v>0</v>
      </c>
      <c r="U1036">
        <f t="shared" si="65"/>
        <v>11.877568578558138</v>
      </c>
      <c r="V1036">
        <f t="shared" si="66"/>
        <v>7.7832240163360371</v>
      </c>
      <c r="W1036">
        <v>1</v>
      </c>
      <c r="X1036">
        <v>0</v>
      </c>
      <c r="Y1036">
        <v>1</v>
      </c>
      <c r="Z1036">
        <f>'Résultat (Ln)'!F$30+'Résultat (Ln)'!F$31*Données!S1036+'Résultat (Ln)'!F$32*Données!T1036+'Résultat (Ln)'!F$33*Données!U1036+'Résultat (Ln)'!F$34*Données!V1036+'Résultat (Ln)'!F$35*Données!W1036+'Résultat (Ln)'!F$36*Données!X1036+'Résultat (Ln)'!F$37*Données!Y1036</f>
        <v>126840.074715134</v>
      </c>
      <c r="AA1036">
        <f t="shared" si="67"/>
        <v>-11840.074715134004</v>
      </c>
    </row>
    <row r="1037" spans="1:27" x14ac:dyDescent="0.25">
      <c r="A1037">
        <v>124000</v>
      </c>
      <c r="B1037">
        <v>1</v>
      </c>
      <c r="C1037">
        <v>37.5</v>
      </c>
      <c r="D1037">
        <v>0</v>
      </c>
      <c r="E1037">
        <v>155000</v>
      </c>
      <c r="F1037">
        <v>4342</v>
      </c>
      <c r="G1037">
        <v>1</v>
      </c>
      <c r="H1037">
        <v>0</v>
      </c>
      <c r="I1037">
        <v>0</v>
      </c>
      <c r="J1037">
        <v>27.60000038146973</v>
      </c>
      <c r="K1037">
        <v>1</v>
      </c>
      <c r="L1037">
        <f>Résultats!G$32+Résultats!G$33*Données!C1037+Résultats!G$34*Données!D1037+Résultats!G$35*Données!E1037+Résultats!G$36*Données!F1037+Résultats!G$37*Données!G1037+Résultats!G$38*Données!H1037+Résultats!G$39*Données!I1037</f>
        <v>127444.99308021675</v>
      </c>
      <c r="M1037">
        <f t="shared" si="64"/>
        <v>-3444.993080216751</v>
      </c>
      <c r="Q1037">
        <v>83000</v>
      </c>
      <c r="R1037">
        <v>1</v>
      </c>
      <c r="S1037">
        <v>27.60000038146973</v>
      </c>
      <c r="T1037">
        <v>0</v>
      </c>
      <c r="U1037">
        <f t="shared" si="65"/>
        <v>11.326595886778735</v>
      </c>
      <c r="V1037">
        <f t="shared" si="66"/>
        <v>7.9783109698677217</v>
      </c>
      <c r="W1037">
        <v>0</v>
      </c>
      <c r="X1037">
        <v>0</v>
      </c>
      <c r="Y1037">
        <v>1</v>
      </c>
      <c r="Z1037">
        <f>'Résultat (Ln)'!F$30+'Résultat (Ln)'!F$31*Données!S1037+'Résultat (Ln)'!F$32*Données!T1037+'Résultat (Ln)'!F$33*Données!U1037+'Résultat (Ln)'!F$34*Données!V1037+'Résultat (Ln)'!F$35*Données!W1037+'Résultat (Ln)'!F$36*Données!X1037+'Résultat (Ln)'!F$37*Données!Y1037</f>
        <v>55904.154535825655</v>
      </c>
      <c r="AA1037">
        <f t="shared" si="67"/>
        <v>27095.845464174345</v>
      </c>
    </row>
    <row r="1038" spans="1:27" x14ac:dyDescent="0.25">
      <c r="A1038">
        <v>140000</v>
      </c>
      <c r="B1038">
        <v>1</v>
      </c>
      <c r="C1038">
        <v>38</v>
      </c>
      <c r="D1038">
        <v>0</v>
      </c>
      <c r="E1038">
        <v>220000</v>
      </c>
      <c r="F1038">
        <v>3601</v>
      </c>
      <c r="G1038">
        <v>1</v>
      </c>
      <c r="H1038">
        <v>1</v>
      </c>
      <c r="I1038">
        <v>0</v>
      </c>
      <c r="J1038">
        <v>27</v>
      </c>
      <c r="K1038">
        <v>1</v>
      </c>
      <c r="L1038">
        <f>Résultats!G$32+Résultats!G$33*Données!C1038+Résultats!G$34*Données!D1038+Résultats!G$35*Données!E1038+Résultats!G$36*Données!F1038+Résultats!G$37*Données!G1038+Résultats!G$38*Données!H1038+Résultats!G$39*Données!I1038</f>
        <v>155310.11381629348</v>
      </c>
      <c r="M1038">
        <f t="shared" si="64"/>
        <v>-15310.11381629348</v>
      </c>
      <c r="Q1038">
        <v>124000</v>
      </c>
      <c r="R1038">
        <v>1</v>
      </c>
      <c r="S1038">
        <v>37.5</v>
      </c>
      <c r="T1038">
        <v>0</v>
      </c>
      <c r="U1038">
        <f t="shared" si="65"/>
        <v>11.951180395901384</v>
      </c>
      <c r="V1038">
        <f t="shared" si="66"/>
        <v>8.376090350438238</v>
      </c>
      <c r="W1038">
        <v>1</v>
      </c>
      <c r="X1038">
        <v>0</v>
      </c>
      <c r="Y1038">
        <v>0</v>
      </c>
      <c r="Z1038">
        <f>'Résultat (Ln)'!F$30+'Résultat (Ln)'!F$31*Données!S1038+'Résultat (Ln)'!F$32*Données!T1038+'Résultat (Ln)'!F$33*Données!U1038+'Résultat (Ln)'!F$34*Données!V1038+'Résultat (Ln)'!F$35*Données!W1038+'Résultat (Ln)'!F$36*Données!X1038+'Résultat (Ln)'!F$37*Données!Y1038</f>
        <v>136538.18794406691</v>
      </c>
      <c r="AA1038">
        <f t="shared" si="67"/>
        <v>-12538.187944066914</v>
      </c>
    </row>
    <row r="1039" spans="1:27" x14ac:dyDescent="0.25">
      <c r="A1039">
        <v>132000</v>
      </c>
      <c r="B1039">
        <v>1</v>
      </c>
      <c r="C1039">
        <v>24</v>
      </c>
      <c r="D1039">
        <v>0</v>
      </c>
      <c r="E1039">
        <v>165000</v>
      </c>
      <c r="F1039">
        <v>3166</v>
      </c>
      <c r="G1039">
        <v>0</v>
      </c>
      <c r="H1039">
        <v>0</v>
      </c>
      <c r="I1039">
        <v>0</v>
      </c>
      <c r="J1039">
        <v>23</v>
      </c>
      <c r="K1039">
        <v>0</v>
      </c>
      <c r="L1039">
        <f>Résultats!G$32+Résultats!G$33*Données!C1039+Résultats!G$34*Données!D1039+Résultats!G$35*Données!E1039+Résultats!G$36*Données!F1039+Résultats!G$37*Données!G1039+Résultats!G$38*Données!H1039+Résultats!G$39*Données!I1039</f>
        <v>107312.01922567608</v>
      </c>
      <c r="M1039">
        <f t="shared" si="64"/>
        <v>24687.980774323922</v>
      </c>
      <c r="Q1039">
        <v>140000</v>
      </c>
      <c r="R1039">
        <v>1</v>
      </c>
      <c r="S1039">
        <v>38</v>
      </c>
      <c r="T1039">
        <v>0</v>
      </c>
      <c r="U1039">
        <f t="shared" si="65"/>
        <v>12.301382825334498</v>
      </c>
      <c r="V1039">
        <f t="shared" si="66"/>
        <v>8.1889668636488757</v>
      </c>
      <c r="W1039">
        <v>1</v>
      </c>
      <c r="X1039">
        <v>1</v>
      </c>
      <c r="Y1039">
        <v>0</v>
      </c>
      <c r="Z1039">
        <f>'Résultat (Ln)'!F$30+'Résultat (Ln)'!F$31*Données!S1039+'Résultat (Ln)'!F$32*Données!T1039+'Résultat (Ln)'!F$33*Données!U1039+'Résultat (Ln)'!F$34*Données!V1039+'Résultat (Ln)'!F$35*Données!W1039+'Résultat (Ln)'!F$36*Données!X1039+'Résultat (Ln)'!F$37*Données!Y1039</f>
        <v>169263.79057592005</v>
      </c>
      <c r="AA1039">
        <f t="shared" si="67"/>
        <v>-29263.790575920051</v>
      </c>
    </row>
    <row r="1040" spans="1:27" x14ac:dyDescent="0.25">
      <c r="A1040">
        <v>235000</v>
      </c>
      <c r="B1040">
        <v>1</v>
      </c>
      <c r="C1040">
        <v>39.900001525878913</v>
      </c>
      <c r="D1040">
        <v>1</v>
      </c>
      <c r="E1040">
        <v>650000</v>
      </c>
      <c r="F1040">
        <v>9167</v>
      </c>
      <c r="G1040">
        <v>1</v>
      </c>
      <c r="H1040">
        <v>0</v>
      </c>
      <c r="I1040">
        <v>1</v>
      </c>
      <c r="J1040">
        <v>22</v>
      </c>
      <c r="K1040">
        <v>1</v>
      </c>
      <c r="L1040">
        <f>Résultats!G$32+Résultats!G$33*Données!C1040+Résultats!G$34*Données!D1040+Résultats!G$35*Données!E1040+Résultats!G$36*Données!F1040+Résultats!G$37*Données!G1040+Résultats!G$38*Données!H1040+Résultats!G$39*Données!I1040</f>
        <v>385467.20134780934</v>
      </c>
      <c r="M1040">
        <f t="shared" si="64"/>
        <v>-150467.20134780934</v>
      </c>
      <c r="Q1040">
        <v>132000</v>
      </c>
      <c r="R1040">
        <v>1</v>
      </c>
      <c r="S1040">
        <v>24</v>
      </c>
      <c r="T1040">
        <v>0</v>
      </c>
      <c r="U1040">
        <f t="shared" si="65"/>
        <v>12.013700752882718</v>
      </c>
      <c r="V1040">
        <f t="shared" si="66"/>
        <v>8.0602242404409576</v>
      </c>
      <c r="W1040">
        <v>0</v>
      </c>
      <c r="X1040">
        <v>0</v>
      </c>
      <c r="Y1040">
        <v>0</v>
      </c>
      <c r="Z1040">
        <f>'Résultat (Ln)'!F$30+'Résultat (Ln)'!F$31*Données!S1040+'Résultat (Ln)'!F$32*Données!T1040+'Résultat (Ln)'!F$33*Données!U1040+'Résultat (Ln)'!F$34*Données!V1040+'Résultat (Ln)'!F$35*Données!W1040+'Résultat (Ln)'!F$36*Données!X1040+'Résultat (Ln)'!F$37*Données!Y1040</f>
        <v>113369.79357018226</v>
      </c>
      <c r="AA1040">
        <f t="shared" si="67"/>
        <v>18630.206429817743</v>
      </c>
    </row>
    <row r="1041" spans="1:27" x14ac:dyDescent="0.25">
      <c r="A1041">
        <v>135000</v>
      </c>
      <c r="B1041">
        <v>1</v>
      </c>
      <c r="C1041">
        <v>13</v>
      </c>
      <c r="D1041">
        <v>0</v>
      </c>
      <c r="E1041">
        <v>192000</v>
      </c>
      <c r="F1041">
        <v>13083</v>
      </c>
      <c r="G1041">
        <v>1</v>
      </c>
      <c r="H1041">
        <v>0</v>
      </c>
      <c r="I1041">
        <v>1</v>
      </c>
      <c r="J1041">
        <v>10</v>
      </c>
      <c r="K1041">
        <v>1</v>
      </c>
      <c r="L1041">
        <f>Résultats!G$32+Résultats!G$33*Données!C1041+Résultats!G$34*Données!D1041+Résultats!G$35*Données!E1041+Résultats!G$36*Données!F1041+Résultats!G$37*Données!G1041+Résultats!G$38*Données!H1041+Résultats!G$39*Données!I1041</f>
        <v>143443.49595375967</v>
      </c>
      <c r="M1041">
        <f t="shared" si="64"/>
        <v>-8443.4959537596733</v>
      </c>
      <c r="Q1041">
        <v>235000</v>
      </c>
      <c r="R1041">
        <v>1</v>
      </c>
      <c r="S1041">
        <v>39.900001525878913</v>
      </c>
      <c r="T1041">
        <v>1</v>
      </c>
      <c r="U1041">
        <f t="shared" si="65"/>
        <v>13.38472764187182</v>
      </c>
      <c r="V1041">
        <f t="shared" si="66"/>
        <v>9.1233653579617755</v>
      </c>
      <c r="W1041">
        <v>1</v>
      </c>
      <c r="X1041">
        <v>0</v>
      </c>
      <c r="Y1041">
        <v>1</v>
      </c>
      <c r="Z1041">
        <f>'Résultat (Ln)'!F$30+'Résultat (Ln)'!F$31*Données!S1041+'Résultat (Ln)'!F$32*Données!T1041+'Résultat (Ln)'!F$33*Données!U1041+'Résultat (Ln)'!F$34*Données!V1041+'Résultat (Ln)'!F$35*Données!W1041+'Résultat (Ln)'!F$36*Données!X1041+'Résultat (Ln)'!F$37*Données!Y1041</f>
        <v>332534.66011621</v>
      </c>
      <c r="AA1041">
        <f t="shared" si="67"/>
        <v>-97534.660116209998</v>
      </c>
    </row>
    <row r="1042" spans="1:27" x14ac:dyDescent="0.25">
      <c r="A1042">
        <v>248000</v>
      </c>
      <c r="B1042">
        <v>1</v>
      </c>
      <c r="C1042">
        <v>38.200000762939453</v>
      </c>
      <c r="D1042">
        <v>0</v>
      </c>
      <c r="E1042">
        <v>310000</v>
      </c>
      <c r="F1042">
        <v>8724</v>
      </c>
      <c r="G1042">
        <v>1</v>
      </c>
      <c r="H1042">
        <v>0</v>
      </c>
      <c r="I1042">
        <v>0</v>
      </c>
      <c r="J1042">
        <v>26.60000038146973</v>
      </c>
      <c r="K1042">
        <v>1</v>
      </c>
      <c r="L1042">
        <f>Résultats!G$32+Résultats!G$33*Données!C1042+Résultats!G$34*Données!D1042+Résultats!G$35*Données!E1042+Résultats!G$36*Données!F1042+Résultats!G$37*Données!G1042+Résultats!G$38*Données!H1042+Résultats!G$39*Données!I1042</f>
        <v>209118.20410296324</v>
      </c>
      <c r="M1042">
        <f t="shared" si="64"/>
        <v>38881.795897036762</v>
      </c>
      <c r="Q1042">
        <v>135000</v>
      </c>
      <c r="R1042">
        <v>1</v>
      </c>
      <c r="S1042">
        <v>13</v>
      </c>
      <c r="T1042">
        <v>0</v>
      </c>
      <c r="U1042">
        <f t="shared" si="65"/>
        <v>12.165250651009918</v>
      </c>
      <c r="V1042">
        <f t="shared" si="66"/>
        <v>9.4790689565108757</v>
      </c>
      <c r="W1042">
        <v>1</v>
      </c>
      <c r="X1042">
        <v>0</v>
      </c>
      <c r="Y1042">
        <v>1</v>
      </c>
      <c r="Z1042">
        <f>'Résultat (Ln)'!F$30+'Résultat (Ln)'!F$31*Données!S1042+'Résultat (Ln)'!F$32*Données!T1042+'Résultat (Ln)'!F$33*Données!U1042+'Résultat (Ln)'!F$34*Données!V1042+'Résultat (Ln)'!F$35*Données!W1042+'Résultat (Ln)'!F$36*Données!X1042+'Résultat (Ln)'!F$37*Données!Y1042</f>
        <v>174566.40689501385</v>
      </c>
      <c r="AA1042">
        <f t="shared" si="67"/>
        <v>-39566.406895013846</v>
      </c>
    </row>
    <row r="1043" spans="1:27" x14ac:dyDescent="0.25">
      <c r="A1043">
        <v>336000</v>
      </c>
      <c r="B1043">
        <v>1</v>
      </c>
      <c r="C1043">
        <v>41</v>
      </c>
      <c r="D1043">
        <v>0</v>
      </c>
      <c r="E1043">
        <v>420000</v>
      </c>
      <c r="F1043">
        <v>7874</v>
      </c>
      <c r="G1043">
        <v>1</v>
      </c>
      <c r="H1043">
        <v>0</v>
      </c>
      <c r="I1043">
        <v>0</v>
      </c>
      <c r="J1043">
        <v>32</v>
      </c>
      <c r="K1043">
        <v>1</v>
      </c>
      <c r="L1043">
        <f>Résultats!G$32+Résultats!G$33*Données!C1043+Résultats!G$34*Données!D1043+Résultats!G$35*Données!E1043+Résultats!G$36*Données!F1043+Résultats!G$37*Données!G1043+Résultats!G$38*Données!H1043+Résultats!G$39*Données!I1043</f>
        <v>262052.2205812227</v>
      </c>
      <c r="M1043">
        <f t="shared" si="64"/>
        <v>73947.779418777296</v>
      </c>
      <c r="Q1043">
        <v>248000</v>
      </c>
      <c r="R1043">
        <v>1</v>
      </c>
      <c r="S1043">
        <v>38.200000762939453</v>
      </c>
      <c r="T1043">
        <v>0</v>
      </c>
      <c r="U1043">
        <f t="shared" si="65"/>
        <v>12.644327576461329</v>
      </c>
      <c r="V1043">
        <f t="shared" si="66"/>
        <v>9.0738331273215191</v>
      </c>
      <c r="W1043">
        <v>1</v>
      </c>
      <c r="X1043">
        <v>0</v>
      </c>
      <c r="Y1043">
        <v>0</v>
      </c>
      <c r="Z1043">
        <f>'Résultat (Ln)'!F$30+'Résultat (Ln)'!F$31*Données!S1043+'Résultat (Ln)'!F$32*Données!T1043+'Résultat (Ln)'!F$33*Données!U1043+'Résultat (Ln)'!F$34*Données!V1043+'Résultat (Ln)'!F$35*Données!W1043+'Résultat (Ln)'!F$36*Données!X1043+'Résultat (Ln)'!F$37*Données!Y1043</f>
        <v>231264.67157145307</v>
      </c>
      <c r="AA1043">
        <f t="shared" si="67"/>
        <v>16735.328428546927</v>
      </c>
    </row>
    <row r="1044" spans="1:27" x14ac:dyDescent="0.25">
      <c r="A1044">
        <v>112000</v>
      </c>
      <c r="B1044">
        <v>1</v>
      </c>
      <c r="C1044">
        <v>42</v>
      </c>
      <c r="D1044">
        <v>0</v>
      </c>
      <c r="E1044">
        <v>140000</v>
      </c>
      <c r="F1044">
        <v>3209</v>
      </c>
      <c r="G1044">
        <v>0</v>
      </c>
      <c r="H1044">
        <v>0</v>
      </c>
      <c r="I1044">
        <v>1</v>
      </c>
      <c r="J1044">
        <v>32</v>
      </c>
      <c r="K1044">
        <v>0</v>
      </c>
      <c r="L1044">
        <f>Résultats!G$32+Résultats!G$33*Données!C1044+Résultats!G$34*Données!D1044+Résultats!G$35*Données!E1044+Résultats!G$36*Données!F1044+Résultats!G$37*Données!G1044+Résultats!G$38*Données!H1044+Résultats!G$39*Données!I1044</f>
        <v>126323.03604667609</v>
      </c>
      <c r="M1044">
        <f t="shared" si="64"/>
        <v>-14323.03604667609</v>
      </c>
      <c r="Q1044">
        <v>336000</v>
      </c>
      <c r="R1044">
        <v>1</v>
      </c>
      <c r="S1044">
        <v>41</v>
      </c>
      <c r="T1044">
        <v>0</v>
      </c>
      <c r="U1044">
        <f t="shared" si="65"/>
        <v>12.948009990259552</v>
      </c>
      <c r="V1044">
        <f t="shared" si="66"/>
        <v>8.971321471503682</v>
      </c>
      <c r="W1044">
        <v>1</v>
      </c>
      <c r="X1044">
        <v>0</v>
      </c>
      <c r="Y1044">
        <v>0</v>
      </c>
      <c r="Z1044">
        <f>'Résultat (Ln)'!F$30+'Résultat (Ln)'!F$31*Données!S1044+'Résultat (Ln)'!F$32*Données!T1044+'Résultat (Ln)'!F$33*Données!U1044+'Résultat (Ln)'!F$34*Données!V1044+'Résultat (Ln)'!F$35*Données!W1044+'Résultat (Ln)'!F$36*Données!X1044+'Résultat (Ln)'!F$37*Données!Y1044</f>
        <v>264364.7730358392</v>
      </c>
      <c r="AA1044">
        <f t="shared" si="67"/>
        <v>71635.2269641608</v>
      </c>
    </row>
    <row r="1045" spans="1:27" x14ac:dyDescent="0.25">
      <c r="A1045">
        <v>155000</v>
      </c>
      <c r="B1045">
        <v>1</v>
      </c>
      <c r="C1045">
        <v>36.299999237060547</v>
      </c>
      <c r="D1045">
        <v>0</v>
      </c>
      <c r="E1045">
        <v>287000</v>
      </c>
      <c r="F1045">
        <v>5908</v>
      </c>
      <c r="G1045">
        <v>1</v>
      </c>
      <c r="H1045">
        <v>0</v>
      </c>
      <c r="I1045">
        <v>0</v>
      </c>
      <c r="J1045">
        <v>30.14999961853027</v>
      </c>
      <c r="K1045">
        <v>1</v>
      </c>
      <c r="L1045">
        <f>Résultats!G$32+Résultats!G$33*Données!C1045+Résultats!G$34*Données!D1045+Résultats!G$35*Données!E1045+Résultats!G$36*Données!F1045+Résultats!G$37*Données!G1045+Résultats!G$38*Données!H1045+Résultats!G$39*Données!I1045</f>
        <v>190738.99422846898</v>
      </c>
      <c r="M1045">
        <f t="shared" si="64"/>
        <v>-35738.994228468975</v>
      </c>
      <c r="Q1045">
        <v>112000</v>
      </c>
      <c r="R1045">
        <v>1</v>
      </c>
      <c r="S1045">
        <v>42</v>
      </c>
      <c r="T1045">
        <v>0</v>
      </c>
      <c r="U1045">
        <f t="shared" si="65"/>
        <v>11.849397701591441</v>
      </c>
      <c r="V1045">
        <f t="shared" si="66"/>
        <v>8.0737146411098575</v>
      </c>
      <c r="W1045">
        <v>0</v>
      </c>
      <c r="X1045">
        <v>0</v>
      </c>
      <c r="Y1045">
        <v>1</v>
      </c>
      <c r="Z1045">
        <f>'Résultat (Ln)'!F$30+'Résultat (Ln)'!F$31*Données!S1045+'Résultat (Ln)'!F$32*Données!T1045+'Résultat (Ln)'!F$33*Données!U1045+'Résultat (Ln)'!F$34*Données!V1045+'Résultat (Ln)'!F$35*Données!W1045+'Résultat (Ln)'!F$36*Données!X1045+'Résultat (Ln)'!F$37*Données!Y1045</f>
        <v>132219.25228190116</v>
      </c>
      <c r="AA1045">
        <f t="shared" si="67"/>
        <v>-20219.252281901165</v>
      </c>
    </row>
    <row r="1046" spans="1:27" x14ac:dyDescent="0.25">
      <c r="A1046">
        <v>132000</v>
      </c>
      <c r="B1046">
        <v>1</v>
      </c>
      <c r="C1046">
        <v>36.599998474121087</v>
      </c>
      <c r="D1046">
        <v>0</v>
      </c>
      <c r="E1046">
        <v>165000</v>
      </c>
      <c r="F1046">
        <v>4333</v>
      </c>
      <c r="G1046">
        <v>1</v>
      </c>
      <c r="H1046">
        <v>1</v>
      </c>
      <c r="I1046">
        <v>0</v>
      </c>
      <c r="J1046">
        <v>30.239999771118161</v>
      </c>
      <c r="K1046">
        <v>0</v>
      </c>
      <c r="L1046">
        <f>Résultats!G$32+Résultats!G$33*Données!C1046+Résultats!G$34*Données!D1046+Résultats!G$35*Données!E1046+Résultats!G$36*Données!F1046+Résultats!G$37*Données!G1046+Résultats!G$38*Données!H1046+Résultats!G$39*Données!I1046</f>
        <v>129438.00410753593</v>
      </c>
      <c r="M1046">
        <f t="shared" si="64"/>
        <v>2561.9958924640669</v>
      </c>
      <c r="Q1046">
        <v>155000</v>
      </c>
      <c r="R1046">
        <v>1</v>
      </c>
      <c r="S1046">
        <v>36.299999237060547</v>
      </c>
      <c r="T1046">
        <v>0</v>
      </c>
      <c r="U1046">
        <f t="shared" si="65"/>
        <v>12.567237494741757</v>
      </c>
      <c r="V1046">
        <f t="shared" si="66"/>
        <v>8.68406264365127</v>
      </c>
      <c r="W1046">
        <v>1</v>
      </c>
      <c r="X1046">
        <v>0</v>
      </c>
      <c r="Y1046">
        <v>0</v>
      </c>
      <c r="Z1046">
        <f>'Résultat (Ln)'!F$30+'Résultat (Ln)'!F$31*Données!S1046+'Résultat (Ln)'!F$32*Données!T1046+'Résultat (Ln)'!F$33*Données!U1046+'Résultat (Ln)'!F$34*Données!V1046+'Résultat (Ln)'!F$35*Données!W1046+'Résultat (Ln)'!F$36*Données!X1046+'Résultat (Ln)'!F$37*Données!Y1046</f>
        <v>209747.65463511684</v>
      </c>
      <c r="AA1046">
        <f t="shared" si="67"/>
        <v>-54747.654635116836</v>
      </c>
    </row>
    <row r="1047" spans="1:27" x14ac:dyDescent="0.25">
      <c r="A1047">
        <v>239000</v>
      </c>
      <c r="B1047">
        <v>1</v>
      </c>
      <c r="C1047">
        <v>38</v>
      </c>
      <c r="D1047">
        <v>0</v>
      </c>
      <c r="E1047">
        <v>260000</v>
      </c>
      <c r="F1047">
        <v>2732</v>
      </c>
      <c r="G1047">
        <v>1</v>
      </c>
      <c r="H1047">
        <v>0</v>
      </c>
      <c r="I1047">
        <v>1</v>
      </c>
      <c r="J1047">
        <v>34</v>
      </c>
      <c r="K1047">
        <v>1</v>
      </c>
      <c r="L1047">
        <f>Résultats!G$32+Résultats!G$33*Données!C1047+Résultats!G$34*Données!D1047+Résultats!G$35*Données!E1047+Résultats!G$36*Données!F1047+Résultats!G$37*Données!G1047+Résultats!G$38*Données!H1047+Résultats!G$39*Données!I1047</f>
        <v>183855.04067850267</v>
      </c>
      <c r="M1047">
        <f t="shared" si="64"/>
        <v>55144.959321497328</v>
      </c>
      <c r="Q1047">
        <v>132000</v>
      </c>
      <c r="R1047">
        <v>1</v>
      </c>
      <c r="S1047">
        <v>36.599998474121087</v>
      </c>
      <c r="T1047">
        <v>0</v>
      </c>
      <c r="U1047">
        <f t="shared" si="65"/>
        <v>12.013700752882718</v>
      </c>
      <c r="V1047">
        <f t="shared" si="66"/>
        <v>8.3740154217399088</v>
      </c>
      <c r="W1047">
        <v>1</v>
      </c>
      <c r="X1047">
        <v>1</v>
      </c>
      <c r="Y1047">
        <v>0</v>
      </c>
      <c r="Z1047">
        <f>'Résultat (Ln)'!F$30+'Résultat (Ln)'!F$31*Données!S1047+'Résultat (Ln)'!F$32*Données!T1047+'Résultat (Ln)'!F$33*Données!U1047+'Résultat (Ln)'!F$34*Données!V1047+'Résultat (Ln)'!F$35*Données!W1047+'Résultat (Ln)'!F$36*Données!X1047+'Résultat (Ln)'!F$37*Données!Y1047</f>
        <v>141904.52219115361</v>
      </c>
      <c r="AA1047">
        <f t="shared" si="67"/>
        <v>-9904.5221911536064</v>
      </c>
    </row>
    <row r="1048" spans="1:27" x14ac:dyDescent="0.25">
      <c r="A1048">
        <v>96000</v>
      </c>
      <c r="B1048">
        <v>1</v>
      </c>
      <c r="C1048">
        <v>35</v>
      </c>
      <c r="D1048">
        <v>0</v>
      </c>
      <c r="E1048">
        <v>120000</v>
      </c>
      <c r="F1048">
        <v>4083</v>
      </c>
      <c r="G1048">
        <v>0</v>
      </c>
      <c r="H1048">
        <v>1</v>
      </c>
      <c r="I1048">
        <v>0</v>
      </c>
      <c r="J1048">
        <v>26</v>
      </c>
      <c r="K1048">
        <v>1</v>
      </c>
      <c r="L1048">
        <f>Résultats!G$32+Résultats!G$33*Données!C1048+Résultats!G$34*Données!D1048+Résultats!G$35*Données!E1048+Résultats!G$36*Données!F1048+Résultats!G$37*Données!G1048+Résultats!G$38*Données!H1048+Résultats!G$39*Données!I1048</f>
        <v>99086.170840923951</v>
      </c>
      <c r="M1048">
        <f t="shared" si="64"/>
        <v>-3086.1708409239509</v>
      </c>
      <c r="Q1048">
        <v>239000</v>
      </c>
      <c r="R1048">
        <v>1</v>
      </c>
      <c r="S1048">
        <v>38</v>
      </c>
      <c r="T1048">
        <v>0</v>
      </c>
      <c r="U1048">
        <f t="shared" si="65"/>
        <v>12.468436909997665</v>
      </c>
      <c r="V1048">
        <f t="shared" si="66"/>
        <v>7.9127892206906809</v>
      </c>
      <c r="W1048">
        <v>1</v>
      </c>
      <c r="X1048">
        <v>0</v>
      </c>
      <c r="Y1048">
        <v>1</v>
      </c>
      <c r="Z1048">
        <f>'Résultat (Ln)'!F$30+'Résultat (Ln)'!F$31*Données!S1048+'Résultat (Ln)'!F$32*Données!T1048+'Résultat (Ln)'!F$33*Données!U1048+'Résultat (Ln)'!F$34*Données!V1048+'Résultat (Ln)'!F$35*Données!W1048+'Résultat (Ln)'!F$36*Données!X1048+'Résultat (Ln)'!F$37*Données!Y1048</f>
        <v>193690.09681858483</v>
      </c>
      <c r="AA1048">
        <f t="shared" si="67"/>
        <v>45309.903181415168</v>
      </c>
    </row>
    <row r="1049" spans="1:27" x14ac:dyDescent="0.25">
      <c r="A1049">
        <v>300000</v>
      </c>
      <c r="B1049">
        <v>1</v>
      </c>
      <c r="C1049">
        <v>24.60000038146973</v>
      </c>
      <c r="D1049">
        <v>0</v>
      </c>
      <c r="E1049">
        <v>430000</v>
      </c>
      <c r="F1049">
        <v>15000</v>
      </c>
      <c r="G1049">
        <v>1</v>
      </c>
      <c r="H1049">
        <v>0</v>
      </c>
      <c r="I1049">
        <v>0</v>
      </c>
      <c r="J1049">
        <v>21.10000038146973</v>
      </c>
      <c r="K1049">
        <v>1</v>
      </c>
      <c r="L1049">
        <f>Résultats!G$32+Résultats!G$33*Données!C1049+Résultats!G$34*Données!D1049+Résultats!G$35*Données!E1049+Résultats!G$36*Données!F1049+Résultats!G$37*Données!G1049+Résultats!G$38*Données!H1049+Résultats!G$39*Données!I1049</f>
        <v>261692.23225697703</v>
      </c>
      <c r="M1049">
        <f t="shared" si="64"/>
        <v>38307.767743022967</v>
      </c>
      <c r="Q1049">
        <v>96000</v>
      </c>
      <c r="R1049">
        <v>1</v>
      </c>
      <c r="S1049">
        <v>35</v>
      </c>
      <c r="T1049">
        <v>0</v>
      </c>
      <c r="U1049">
        <f t="shared" si="65"/>
        <v>11.695247021764184</v>
      </c>
      <c r="V1049">
        <f t="shared" si="66"/>
        <v>8.314587291319576</v>
      </c>
      <c r="W1049">
        <v>0</v>
      </c>
      <c r="X1049">
        <v>1</v>
      </c>
      <c r="Y1049">
        <v>0</v>
      </c>
      <c r="Z1049">
        <f>'Résultat (Ln)'!F$30+'Résultat (Ln)'!F$31*Données!S1049+'Résultat (Ln)'!F$32*Données!T1049+'Résultat (Ln)'!F$33*Données!U1049+'Résultat (Ln)'!F$34*Données!V1049+'Résultat (Ln)'!F$35*Données!W1049+'Résultat (Ln)'!F$36*Données!X1049+'Résultat (Ln)'!F$37*Données!Y1049</f>
        <v>99631.690528185791</v>
      </c>
      <c r="AA1049">
        <f t="shared" si="67"/>
        <v>-3631.6905281857908</v>
      </c>
    </row>
    <row r="1050" spans="1:27" x14ac:dyDescent="0.25">
      <c r="A1050">
        <v>137000</v>
      </c>
      <c r="B1050">
        <v>1</v>
      </c>
      <c r="C1050">
        <v>35</v>
      </c>
      <c r="D1050">
        <v>0</v>
      </c>
      <c r="E1050">
        <v>152000</v>
      </c>
      <c r="F1050">
        <v>2600</v>
      </c>
      <c r="G1050">
        <v>1</v>
      </c>
      <c r="H1050">
        <v>0</v>
      </c>
      <c r="I1050">
        <v>0</v>
      </c>
      <c r="J1050">
        <v>30.29999923706055</v>
      </c>
      <c r="K1050">
        <v>0</v>
      </c>
      <c r="L1050">
        <f>Résultats!G$32+Résultats!G$33*Données!C1050+Résultats!G$34*Données!D1050+Résultats!G$35*Données!E1050+Résultats!G$36*Données!F1050+Résultats!G$37*Données!G1050+Résultats!G$38*Données!H1050+Résultats!G$39*Données!I1050</f>
        <v>119796.83173525793</v>
      </c>
      <c r="M1050">
        <f t="shared" si="64"/>
        <v>17203.168264742068</v>
      </c>
      <c r="Q1050">
        <v>300000</v>
      </c>
      <c r="R1050">
        <v>1</v>
      </c>
      <c r="S1050">
        <v>24.60000038146973</v>
      </c>
      <c r="T1050">
        <v>0</v>
      </c>
      <c r="U1050">
        <f t="shared" si="65"/>
        <v>12.971540487669746</v>
      </c>
      <c r="V1050">
        <f t="shared" si="66"/>
        <v>9.6158054800843473</v>
      </c>
      <c r="W1050">
        <v>1</v>
      </c>
      <c r="X1050">
        <v>0</v>
      </c>
      <c r="Y1050">
        <v>0</v>
      </c>
      <c r="Z1050">
        <f>'Résultat (Ln)'!F$30+'Résultat (Ln)'!F$31*Données!S1050+'Résultat (Ln)'!F$32*Données!T1050+'Résultat (Ln)'!F$33*Données!U1050+'Résultat (Ln)'!F$34*Données!V1050+'Résultat (Ln)'!F$35*Données!W1050+'Résultat (Ln)'!F$36*Données!X1050+'Résultat (Ln)'!F$37*Données!Y1050</f>
        <v>264920.73162046442</v>
      </c>
      <c r="AA1050">
        <f t="shared" si="67"/>
        <v>35079.268379535584</v>
      </c>
    </row>
    <row r="1051" spans="1:27" x14ac:dyDescent="0.25">
      <c r="A1051">
        <v>376000</v>
      </c>
      <c r="B1051">
        <v>1</v>
      </c>
      <c r="C1051">
        <v>36.700000762939453</v>
      </c>
      <c r="D1051">
        <v>0</v>
      </c>
      <c r="E1051">
        <v>470000</v>
      </c>
      <c r="F1051">
        <v>8666</v>
      </c>
      <c r="G1051">
        <v>1</v>
      </c>
      <c r="H1051">
        <v>0</v>
      </c>
      <c r="I1051">
        <v>1</v>
      </c>
      <c r="J1051">
        <v>28</v>
      </c>
      <c r="K1051">
        <v>1</v>
      </c>
      <c r="L1051">
        <f>Résultats!G$32+Résultats!G$33*Données!C1051+Résultats!G$34*Données!D1051+Résultats!G$35*Données!E1051+Résultats!G$36*Données!F1051+Résultats!G$37*Données!G1051+Résultats!G$38*Données!H1051+Résultats!G$39*Données!I1051</f>
        <v>291920.7867116608</v>
      </c>
      <c r="M1051">
        <f t="shared" si="64"/>
        <v>84079.213288339204</v>
      </c>
      <c r="Q1051">
        <v>137000</v>
      </c>
      <c r="R1051">
        <v>1</v>
      </c>
      <c r="S1051">
        <v>35</v>
      </c>
      <c r="T1051">
        <v>0</v>
      </c>
      <c r="U1051">
        <f t="shared" si="65"/>
        <v>11.931635799828413</v>
      </c>
      <c r="V1051">
        <f t="shared" si="66"/>
        <v>7.8632667240095735</v>
      </c>
      <c r="W1051">
        <v>1</v>
      </c>
      <c r="X1051">
        <v>0</v>
      </c>
      <c r="Y1051">
        <v>0</v>
      </c>
      <c r="Z1051">
        <f>'Résultat (Ln)'!F$30+'Résultat (Ln)'!F$31*Données!S1051+'Résultat (Ln)'!F$32*Données!T1051+'Résultat (Ln)'!F$33*Données!U1051+'Résultat (Ln)'!F$34*Données!V1051+'Résultat (Ln)'!F$35*Données!W1051+'Résultat (Ln)'!F$36*Données!X1051+'Résultat (Ln)'!F$37*Données!Y1051</f>
        <v>117005.44626234729</v>
      </c>
      <c r="AA1051">
        <f t="shared" si="67"/>
        <v>19994.553737652706</v>
      </c>
    </row>
    <row r="1052" spans="1:27" x14ac:dyDescent="0.25">
      <c r="A1052">
        <v>130000</v>
      </c>
      <c r="B1052">
        <v>1</v>
      </c>
      <c r="C1052">
        <v>34</v>
      </c>
      <c r="D1052">
        <v>1</v>
      </c>
      <c r="E1052">
        <v>130000</v>
      </c>
      <c r="F1052">
        <v>4917</v>
      </c>
      <c r="G1052">
        <v>0</v>
      </c>
      <c r="H1052">
        <v>0</v>
      </c>
      <c r="I1052">
        <v>1</v>
      </c>
      <c r="J1052">
        <v>23</v>
      </c>
      <c r="K1052">
        <v>1</v>
      </c>
      <c r="L1052">
        <f>Résultats!G$32+Résultats!G$33*Données!C1052+Résultats!G$34*Données!D1052+Résultats!G$35*Données!E1052+Résultats!G$36*Données!F1052+Résultats!G$37*Données!G1052+Résultats!G$38*Données!H1052+Résultats!G$39*Données!I1052</f>
        <v>120622.1298630095</v>
      </c>
      <c r="M1052">
        <f t="shared" si="64"/>
        <v>9377.8701369905029</v>
      </c>
      <c r="Q1052">
        <v>376000</v>
      </c>
      <c r="R1052">
        <v>1</v>
      </c>
      <c r="S1052">
        <v>36.700000762939453</v>
      </c>
      <c r="T1052">
        <v>0</v>
      </c>
      <c r="U1052">
        <f t="shared" si="65"/>
        <v>13.060487973686241</v>
      </c>
      <c r="V1052">
        <f t="shared" si="66"/>
        <v>9.0671626022998542</v>
      </c>
      <c r="W1052">
        <v>1</v>
      </c>
      <c r="X1052">
        <v>0</v>
      </c>
      <c r="Y1052">
        <v>1</v>
      </c>
      <c r="Z1052">
        <f>'Résultat (Ln)'!F$30+'Résultat (Ln)'!F$31*Données!S1052+'Résultat (Ln)'!F$32*Données!T1052+'Résultat (Ln)'!F$33*Données!U1052+'Résultat (Ln)'!F$34*Données!V1052+'Résultat (Ln)'!F$35*Données!W1052+'Résultat (Ln)'!F$36*Données!X1052+'Résultat (Ln)'!F$37*Données!Y1052</f>
        <v>287942.0103633019</v>
      </c>
      <c r="AA1052">
        <f t="shared" si="67"/>
        <v>88057.989636698097</v>
      </c>
    </row>
    <row r="1053" spans="1:27" x14ac:dyDescent="0.25">
      <c r="A1053">
        <v>180000</v>
      </c>
      <c r="B1053">
        <v>1</v>
      </c>
      <c r="C1053">
        <v>41.700000762939453</v>
      </c>
      <c r="D1053">
        <v>0</v>
      </c>
      <c r="E1053">
        <v>240000</v>
      </c>
      <c r="F1053">
        <v>3785</v>
      </c>
      <c r="G1053">
        <v>1</v>
      </c>
      <c r="H1053">
        <v>0</v>
      </c>
      <c r="I1053">
        <v>0</v>
      </c>
      <c r="J1053">
        <v>26.510000228881839</v>
      </c>
      <c r="K1053">
        <v>1</v>
      </c>
      <c r="L1053">
        <f>Résultats!G$32+Résultats!G$33*Données!C1053+Résultats!G$34*Données!D1053+Résultats!G$35*Données!E1053+Résultats!G$36*Données!F1053+Résultats!G$37*Données!G1053+Résultats!G$38*Données!H1053+Résultats!G$39*Données!I1053</f>
        <v>170881.08982332391</v>
      </c>
      <c r="M1053">
        <f t="shared" si="64"/>
        <v>9118.9101766760868</v>
      </c>
      <c r="Q1053">
        <v>130000</v>
      </c>
      <c r="R1053">
        <v>1</v>
      </c>
      <c r="S1053">
        <v>34</v>
      </c>
      <c r="T1053">
        <v>1</v>
      </c>
      <c r="U1053">
        <f t="shared" si="65"/>
        <v>11.77528972943772</v>
      </c>
      <c r="V1053">
        <f t="shared" si="66"/>
        <v>8.5004538674119399</v>
      </c>
      <c r="W1053">
        <v>0</v>
      </c>
      <c r="X1053">
        <v>0</v>
      </c>
      <c r="Y1053">
        <v>1</v>
      </c>
      <c r="Z1053">
        <f>'Résultat (Ln)'!F$30+'Résultat (Ln)'!F$31*Données!S1053+'Résultat (Ln)'!F$32*Données!T1053+'Résultat (Ln)'!F$33*Données!U1053+'Résultat (Ln)'!F$34*Données!V1053+'Résultat (Ln)'!F$35*Données!W1053+'Résultat (Ln)'!F$36*Données!X1053+'Résultat (Ln)'!F$37*Données!Y1053</f>
        <v>130815.93042957547</v>
      </c>
      <c r="AA1053">
        <f t="shared" si="67"/>
        <v>-815.93042957547004</v>
      </c>
    </row>
    <row r="1054" spans="1:27" x14ac:dyDescent="0.25">
      <c r="A1054">
        <v>128000</v>
      </c>
      <c r="B1054">
        <v>1</v>
      </c>
      <c r="C1054">
        <v>31</v>
      </c>
      <c r="D1054">
        <v>0</v>
      </c>
      <c r="E1054">
        <v>142000</v>
      </c>
      <c r="F1054">
        <v>2654</v>
      </c>
      <c r="G1054">
        <v>1</v>
      </c>
      <c r="H1054">
        <v>0</v>
      </c>
      <c r="I1054">
        <v>0</v>
      </c>
      <c r="J1054">
        <v>31</v>
      </c>
      <c r="K1054">
        <v>1</v>
      </c>
      <c r="L1054">
        <f>Résultats!G$32+Résultats!G$33*Données!C1054+Résultats!G$34*Données!D1054+Résultats!G$35*Données!E1054+Résultats!G$36*Données!F1054+Résultats!G$37*Données!G1054+Résultats!G$38*Données!H1054+Résultats!G$39*Données!I1054</f>
        <v>110637.2580498116</v>
      </c>
      <c r="M1054">
        <f t="shared" si="64"/>
        <v>17362.7419501884</v>
      </c>
      <c r="Q1054">
        <v>180000</v>
      </c>
      <c r="R1054">
        <v>1</v>
      </c>
      <c r="S1054">
        <v>41.700000762939453</v>
      </c>
      <c r="T1054">
        <v>0</v>
      </c>
      <c r="U1054">
        <f t="shared" si="65"/>
        <v>12.388394202324129</v>
      </c>
      <c r="V1054">
        <f t="shared" si="66"/>
        <v>8.2388011658715499</v>
      </c>
      <c r="W1054">
        <v>1</v>
      </c>
      <c r="X1054">
        <v>0</v>
      </c>
      <c r="Y1054">
        <v>0</v>
      </c>
      <c r="Z1054">
        <f>'Résultat (Ln)'!F$30+'Résultat (Ln)'!F$31*Données!S1054+'Résultat (Ln)'!F$32*Données!T1054+'Résultat (Ln)'!F$33*Données!U1054+'Résultat (Ln)'!F$34*Données!V1054+'Résultat (Ln)'!F$35*Données!W1054+'Résultat (Ln)'!F$36*Données!X1054+'Résultat (Ln)'!F$37*Données!Y1054</f>
        <v>184687.75852517562</v>
      </c>
      <c r="AA1054">
        <f t="shared" si="67"/>
        <v>-4687.7585251756245</v>
      </c>
    </row>
    <row r="1055" spans="1:27" x14ac:dyDescent="0.25">
      <c r="A1055">
        <v>102000</v>
      </c>
      <c r="B1055">
        <v>1</v>
      </c>
      <c r="C1055">
        <v>33.400001525878913</v>
      </c>
      <c r="D1055">
        <v>0</v>
      </c>
      <c r="E1055">
        <v>170000</v>
      </c>
      <c r="F1055">
        <v>4072</v>
      </c>
      <c r="G1055">
        <v>1</v>
      </c>
      <c r="H1055">
        <v>0</v>
      </c>
      <c r="I1055">
        <v>0</v>
      </c>
      <c r="J1055">
        <v>25.479999542236332</v>
      </c>
      <c r="K1055">
        <v>1</v>
      </c>
      <c r="L1055">
        <f>Résultats!G$32+Résultats!G$33*Données!C1055+Résultats!G$34*Données!D1055+Résultats!G$35*Données!E1055+Résultats!G$36*Données!F1055+Résultats!G$37*Données!G1055+Résultats!G$38*Données!H1055+Résultats!G$39*Données!I1055</f>
        <v>129216.54271990119</v>
      </c>
      <c r="M1055">
        <f t="shared" si="64"/>
        <v>-27216.54271990119</v>
      </c>
      <c r="Q1055">
        <v>128000</v>
      </c>
      <c r="R1055">
        <v>1</v>
      </c>
      <c r="S1055">
        <v>31</v>
      </c>
      <c r="T1055">
        <v>0</v>
      </c>
      <c r="U1055">
        <f t="shared" si="65"/>
        <v>11.863582336583399</v>
      </c>
      <c r="V1055">
        <f t="shared" si="66"/>
        <v>7.8838232148921525</v>
      </c>
      <c r="W1055">
        <v>1</v>
      </c>
      <c r="X1055">
        <v>0</v>
      </c>
      <c r="Y1055">
        <v>0</v>
      </c>
      <c r="Z1055">
        <f>'Résultat (Ln)'!F$30+'Résultat (Ln)'!F$31*Données!S1055+'Résultat (Ln)'!F$32*Données!T1055+'Résultat (Ln)'!F$33*Données!U1055+'Résultat (Ln)'!F$34*Données!V1055+'Résultat (Ln)'!F$35*Données!W1055+'Résultat (Ln)'!F$36*Données!X1055+'Résultat (Ln)'!F$37*Données!Y1055</f>
        <v>105398.77593283677</v>
      </c>
      <c r="AA1055">
        <f t="shared" si="67"/>
        <v>22601.224067163232</v>
      </c>
    </row>
    <row r="1056" spans="1:27" x14ac:dyDescent="0.25">
      <c r="A1056">
        <v>113000</v>
      </c>
      <c r="B1056">
        <v>1</v>
      </c>
      <c r="C1056">
        <v>31</v>
      </c>
      <c r="D1056">
        <v>0</v>
      </c>
      <c r="E1056">
        <v>146000</v>
      </c>
      <c r="F1056">
        <v>1970</v>
      </c>
      <c r="G1056">
        <v>1</v>
      </c>
      <c r="H1056">
        <v>0</v>
      </c>
      <c r="I1056">
        <v>0</v>
      </c>
      <c r="J1056">
        <v>28</v>
      </c>
      <c r="K1056">
        <v>1</v>
      </c>
      <c r="L1056">
        <f>Résultats!G$32+Résultats!G$33*Données!C1056+Résultats!G$34*Données!D1056+Résultats!G$35*Données!E1056+Résultats!G$36*Données!F1056+Résultats!G$37*Données!G1056+Résultats!G$38*Données!H1056+Résultats!G$39*Données!I1056</f>
        <v>111179.6245663251</v>
      </c>
      <c r="M1056">
        <f t="shared" si="64"/>
        <v>1820.3754336748971</v>
      </c>
      <c r="Q1056">
        <v>102000</v>
      </c>
      <c r="R1056">
        <v>1</v>
      </c>
      <c r="S1056">
        <v>33.400001525878913</v>
      </c>
      <c r="T1056">
        <v>0</v>
      </c>
      <c r="U1056">
        <f t="shared" si="65"/>
        <v>12.043553716032399</v>
      </c>
      <c r="V1056">
        <f t="shared" si="66"/>
        <v>8.3118895582303587</v>
      </c>
      <c r="W1056">
        <v>1</v>
      </c>
      <c r="X1056">
        <v>0</v>
      </c>
      <c r="Y1056">
        <v>0</v>
      </c>
      <c r="Z1056">
        <f>'Résultat (Ln)'!F$30+'Résultat (Ln)'!F$31*Données!S1056+'Résultat (Ln)'!F$32*Données!T1056+'Résultat (Ln)'!F$33*Données!U1056+'Résultat (Ln)'!F$34*Données!V1056+'Résultat (Ln)'!F$35*Données!W1056+'Résultat (Ln)'!F$36*Données!X1056+'Résultat (Ln)'!F$37*Données!Y1056</f>
        <v>139629.27008329984</v>
      </c>
      <c r="AA1056">
        <f t="shared" si="67"/>
        <v>-37629.270083299838</v>
      </c>
    </row>
    <row r="1057" spans="1:27" x14ac:dyDescent="0.25">
      <c r="A1057">
        <v>144000</v>
      </c>
      <c r="B1057">
        <v>1</v>
      </c>
      <c r="C1057">
        <v>35.400001525878913</v>
      </c>
      <c r="D1057">
        <v>0</v>
      </c>
      <c r="E1057">
        <v>175000</v>
      </c>
      <c r="F1057">
        <v>4788</v>
      </c>
      <c r="G1057">
        <v>1</v>
      </c>
      <c r="H1057">
        <v>0</v>
      </c>
      <c r="I1057">
        <v>0</v>
      </c>
      <c r="J1057">
        <v>25.20000076293945</v>
      </c>
      <c r="K1057">
        <v>1</v>
      </c>
      <c r="L1057">
        <f>Résultats!G$32+Résultats!G$33*Données!C1057+Résultats!G$34*Données!D1057+Résultats!G$35*Données!E1057+Résultats!G$36*Données!F1057+Résultats!G$37*Données!G1057+Résultats!G$38*Données!H1057+Résultats!G$39*Données!I1057</f>
        <v>135236.10557538091</v>
      </c>
      <c r="M1057">
        <f t="shared" si="64"/>
        <v>8763.8944246190949</v>
      </c>
      <c r="Q1057">
        <v>113000</v>
      </c>
      <c r="R1057">
        <v>1</v>
      </c>
      <c r="S1057">
        <v>31</v>
      </c>
      <c r="T1057">
        <v>0</v>
      </c>
      <c r="U1057">
        <f t="shared" si="65"/>
        <v>11.891361900690473</v>
      </c>
      <c r="V1057">
        <f t="shared" si="66"/>
        <v>7.5857888217320344</v>
      </c>
      <c r="W1057">
        <v>1</v>
      </c>
      <c r="X1057">
        <v>0</v>
      </c>
      <c r="Y1057">
        <v>0</v>
      </c>
      <c r="Z1057">
        <f>'Résultat (Ln)'!F$30+'Résultat (Ln)'!F$31*Données!S1057+'Résultat (Ln)'!F$32*Données!T1057+'Résultat (Ln)'!F$33*Données!U1057+'Résultat (Ln)'!F$34*Données!V1057+'Résultat (Ln)'!F$35*Données!W1057+'Résultat (Ln)'!F$36*Données!X1057+'Résultat (Ln)'!F$37*Données!Y1057</f>
        <v>100018.01117885586</v>
      </c>
      <c r="AA1057">
        <f t="shared" si="67"/>
        <v>12981.988821144143</v>
      </c>
    </row>
    <row r="1058" spans="1:27" x14ac:dyDescent="0.25">
      <c r="A1058">
        <v>204000</v>
      </c>
      <c r="B1058">
        <v>1</v>
      </c>
      <c r="C1058">
        <v>36</v>
      </c>
      <c r="D1058">
        <v>0</v>
      </c>
      <c r="E1058">
        <v>260000</v>
      </c>
      <c r="F1058">
        <v>7376</v>
      </c>
      <c r="G1058">
        <v>0</v>
      </c>
      <c r="H1058">
        <v>0</v>
      </c>
      <c r="I1058">
        <v>0</v>
      </c>
      <c r="J1058">
        <v>33</v>
      </c>
      <c r="K1058">
        <v>0</v>
      </c>
      <c r="L1058">
        <f>Résultats!G$32+Résultats!G$33*Données!C1058+Résultats!G$34*Données!D1058+Résultats!G$35*Données!E1058+Résultats!G$36*Données!F1058+Résultats!G$37*Données!G1058+Résultats!G$38*Données!H1058+Résultats!G$39*Données!I1058</f>
        <v>173614.70910881978</v>
      </c>
      <c r="M1058">
        <f t="shared" si="64"/>
        <v>30385.290891180222</v>
      </c>
      <c r="Q1058">
        <v>144000</v>
      </c>
      <c r="R1058">
        <v>1</v>
      </c>
      <c r="S1058">
        <v>35.400001525878913</v>
      </c>
      <c r="T1058">
        <v>0</v>
      </c>
      <c r="U1058">
        <f t="shared" si="65"/>
        <v>12.072541252905651</v>
      </c>
      <c r="V1058">
        <f t="shared" si="66"/>
        <v>8.4738680666778645</v>
      </c>
      <c r="W1058">
        <v>1</v>
      </c>
      <c r="X1058">
        <v>0</v>
      </c>
      <c r="Y1058">
        <v>0</v>
      </c>
      <c r="Z1058">
        <f>'Résultat (Ln)'!F$30+'Résultat (Ln)'!F$31*Données!S1058+'Résultat (Ln)'!F$32*Données!T1058+'Résultat (Ln)'!F$33*Données!U1058+'Résultat (Ln)'!F$34*Données!V1058+'Résultat (Ln)'!F$35*Données!W1058+'Résultat (Ln)'!F$36*Données!X1058+'Résultat (Ln)'!F$37*Données!Y1058</f>
        <v>149723.50315496151</v>
      </c>
      <c r="AA1058">
        <f t="shared" si="67"/>
        <v>-5723.5031549615087</v>
      </c>
    </row>
    <row r="1059" spans="1:27" x14ac:dyDescent="0.25">
      <c r="A1059">
        <v>113000</v>
      </c>
      <c r="B1059">
        <v>1</v>
      </c>
      <c r="C1059">
        <v>38.200000762939453</v>
      </c>
      <c r="D1059">
        <v>0</v>
      </c>
      <c r="E1059">
        <v>125000</v>
      </c>
      <c r="F1059">
        <v>4241</v>
      </c>
      <c r="G1059">
        <v>1</v>
      </c>
      <c r="H1059">
        <v>0</v>
      </c>
      <c r="I1059">
        <v>0</v>
      </c>
      <c r="J1059">
        <v>28.20000076293945</v>
      </c>
      <c r="K1059">
        <v>0</v>
      </c>
      <c r="L1059">
        <f>Résultats!G$32+Résultats!G$33*Données!C1059+Résultats!G$34*Données!D1059+Résultats!G$35*Données!E1059+Résultats!G$36*Données!F1059+Résultats!G$37*Données!G1059+Résultats!G$38*Données!H1059+Résultats!G$39*Données!I1059</f>
        <v>114044.7486378452</v>
      </c>
      <c r="M1059">
        <f t="shared" si="64"/>
        <v>-1044.7486378452013</v>
      </c>
      <c r="Q1059">
        <v>204000</v>
      </c>
      <c r="R1059">
        <v>1</v>
      </c>
      <c r="S1059">
        <v>36</v>
      </c>
      <c r="T1059">
        <v>0</v>
      </c>
      <c r="U1059">
        <f t="shared" si="65"/>
        <v>12.468436909997665</v>
      </c>
      <c r="V1059">
        <f t="shared" si="66"/>
        <v>8.9059867652364293</v>
      </c>
      <c r="W1059">
        <v>0</v>
      </c>
      <c r="X1059">
        <v>0</v>
      </c>
      <c r="Y1059">
        <v>0</v>
      </c>
      <c r="Z1059">
        <f>'Résultat (Ln)'!F$30+'Résultat (Ln)'!F$31*Données!S1059+'Résultat (Ln)'!F$32*Données!T1059+'Résultat (Ln)'!F$33*Données!U1059+'Résultat (Ln)'!F$34*Données!V1059+'Résultat (Ln)'!F$35*Données!W1059+'Résultat (Ln)'!F$36*Données!X1059+'Résultat (Ln)'!F$37*Données!Y1059</f>
        <v>200500.06572153015</v>
      </c>
      <c r="AA1059">
        <f t="shared" si="67"/>
        <v>3499.9342784698529</v>
      </c>
    </row>
    <row r="1060" spans="1:27" x14ac:dyDescent="0.25">
      <c r="A1060">
        <v>412000</v>
      </c>
      <c r="B1060">
        <v>1</v>
      </c>
      <c r="C1060">
        <v>49</v>
      </c>
      <c r="D1060">
        <v>0</v>
      </c>
      <c r="E1060">
        <v>515000</v>
      </c>
      <c r="F1060">
        <v>10000</v>
      </c>
      <c r="G1060">
        <v>1</v>
      </c>
      <c r="H1060">
        <v>0</v>
      </c>
      <c r="I1060">
        <v>0</v>
      </c>
      <c r="J1060">
        <v>34</v>
      </c>
      <c r="K1060">
        <v>1</v>
      </c>
      <c r="L1060">
        <f>Résultats!G$32+Résultats!G$33*Données!C1060+Résultats!G$34*Données!D1060+Résultats!G$35*Données!E1060+Résultats!G$36*Données!F1060+Résultats!G$37*Données!G1060+Résultats!G$38*Données!H1060+Résultats!G$39*Données!I1060</f>
        <v>319721.88007766032</v>
      </c>
      <c r="M1060">
        <f t="shared" si="64"/>
        <v>92278.119922339683</v>
      </c>
      <c r="Q1060">
        <v>113000</v>
      </c>
      <c r="R1060">
        <v>1</v>
      </c>
      <c r="S1060">
        <v>38.200000762939453</v>
      </c>
      <c r="T1060">
        <v>0</v>
      </c>
      <c r="U1060">
        <f t="shared" si="65"/>
        <v>11.736069016284437</v>
      </c>
      <c r="V1060">
        <f t="shared" si="66"/>
        <v>8.352554369474591</v>
      </c>
      <c r="W1060">
        <v>1</v>
      </c>
      <c r="X1060">
        <v>0</v>
      </c>
      <c r="Y1060">
        <v>0</v>
      </c>
      <c r="Z1060">
        <f>'Résultat (Ln)'!F$30+'Résultat (Ln)'!F$31*Données!S1060+'Résultat (Ln)'!F$32*Données!T1060+'Résultat (Ln)'!F$33*Données!U1060+'Résultat (Ln)'!F$34*Données!V1060+'Résultat (Ln)'!F$35*Données!W1060+'Résultat (Ln)'!F$36*Données!X1060+'Résultat (Ln)'!F$37*Données!Y1060</f>
        <v>113674.54613304282</v>
      </c>
      <c r="AA1060">
        <f t="shared" si="67"/>
        <v>-674.54613304282248</v>
      </c>
    </row>
    <row r="1061" spans="1:27" x14ac:dyDescent="0.25">
      <c r="A1061">
        <v>179000</v>
      </c>
      <c r="B1061">
        <v>1</v>
      </c>
      <c r="C1061">
        <v>25</v>
      </c>
      <c r="D1061">
        <v>0</v>
      </c>
      <c r="E1061">
        <v>223000</v>
      </c>
      <c r="F1061">
        <v>3584</v>
      </c>
      <c r="G1061">
        <v>0</v>
      </c>
      <c r="H1061">
        <v>0</v>
      </c>
      <c r="I1061">
        <v>0</v>
      </c>
      <c r="J1061">
        <v>24</v>
      </c>
      <c r="K1061">
        <v>0</v>
      </c>
      <c r="L1061">
        <f>Résultats!G$32+Résultats!G$33*Données!C1061+Résultats!G$34*Données!D1061+Résultats!G$35*Données!E1061+Résultats!G$36*Données!F1061+Résultats!G$37*Données!G1061+Résultats!G$38*Données!H1061+Résultats!G$39*Données!I1061</f>
        <v>136353.9743066917</v>
      </c>
      <c r="M1061">
        <f t="shared" si="64"/>
        <v>42646.0256933083</v>
      </c>
      <c r="Q1061">
        <v>412000</v>
      </c>
      <c r="R1061">
        <v>1</v>
      </c>
      <c r="S1061">
        <v>49</v>
      </c>
      <c r="T1061">
        <v>0</v>
      </c>
      <c r="U1061">
        <f t="shared" si="65"/>
        <v>13.151922179645874</v>
      </c>
      <c r="V1061">
        <f t="shared" si="66"/>
        <v>9.2103403719761836</v>
      </c>
      <c r="W1061">
        <v>1</v>
      </c>
      <c r="X1061">
        <v>0</v>
      </c>
      <c r="Y1061">
        <v>0</v>
      </c>
      <c r="Z1061">
        <f>'Résultat (Ln)'!F$30+'Résultat (Ln)'!F$31*Données!S1061+'Résultat (Ln)'!F$32*Données!T1061+'Résultat (Ln)'!F$33*Données!U1061+'Résultat (Ln)'!F$34*Données!V1061+'Résultat (Ln)'!F$35*Données!W1061+'Résultat (Ln)'!F$36*Données!X1061+'Résultat (Ln)'!F$37*Données!Y1061</f>
        <v>302703.05800418835</v>
      </c>
      <c r="AA1061">
        <f t="shared" si="67"/>
        <v>109296.94199581165</v>
      </c>
    </row>
    <row r="1062" spans="1:27" x14ac:dyDescent="0.25">
      <c r="A1062">
        <v>130000</v>
      </c>
      <c r="B1062">
        <v>1</v>
      </c>
      <c r="C1062">
        <v>15.60000038146973</v>
      </c>
      <c r="D1062">
        <v>0</v>
      </c>
      <c r="E1062">
        <v>261000</v>
      </c>
      <c r="F1062">
        <v>5917</v>
      </c>
      <c r="G1062">
        <v>1</v>
      </c>
      <c r="H1062">
        <v>0</v>
      </c>
      <c r="I1062">
        <v>0</v>
      </c>
      <c r="J1062">
        <v>15.30000019073486</v>
      </c>
      <c r="K1062">
        <v>1</v>
      </c>
      <c r="L1062">
        <f>Résultats!G$32+Résultats!G$33*Données!C1062+Résultats!G$34*Données!D1062+Résultats!G$35*Données!E1062+Résultats!G$36*Données!F1062+Résultats!G$37*Données!G1062+Résultats!G$38*Données!H1062+Résultats!G$39*Données!I1062</f>
        <v>154838.17379608453</v>
      </c>
      <c r="M1062">
        <f t="shared" si="64"/>
        <v>-24838.173796084535</v>
      </c>
      <c r="Q1062">
        <v>179000</v>
      </c>
      <c r="R1062">
        <v>1</v>
      </c>
      <c r="S1062">
        <v>25</v>
      </c>
      <c r="T1062">
        <v>0</v>
      </c>
      <c r="U1062">
        <f t="shared" si="65"/>
        <v>12.314927050442256</v>
      </c>
      <c r="V1062">
        <f t="shared" si="66"/>
        <v>8.1842347740948203</v>
      </c>
      <c r="W1062">
        <v>0</v>
      </c>
      <c r="X1062">
        <v>0</v>
      </c>
      <c r="Y1062">
        <v>0</v>
      </c>
      <c r="Z1062">
        <f>'Résultat (Ln)'!F$30+'Résultat (Ln)'!F$31*Données!S1062+'Résultat (Ln)'!F$32*Données!T1062+'Résultat (Ln)'!F$33*Données!U1062+'Résultat (Ln)'!F$34*Données!V1062+'Résultat (Ln)'!F$35*Données!W1062+'Résultat (Ln)'!F$36*Données!X1062+'Résultat (Ln)'!F$37*Données!Y1062</f>
        <v>150359.93185974529</v>
      </c>
      <c r="AA1062">
        <f t="shared" si="67"/>
        <v>28640.068140254705</v>
      </c>
    </row>
    <row r="1063" spans="1:27" x14ac:dyDescent="0.25">
      <c r="A1063">
        <v>138000</v>
      </c>
      <c r="B1063">
        <v>1</v>
      </c>
      <c r="C1063">
        <v>32.099998474121087</v>
      </c>
      <c r="D1063">
        <v>1</v>
      </c>
      <c r="E1063">
        <v>146000</v>
      </c>
      <c r="F1063">
        <v>4471</v>
      </c>
      <c r="G1063">
        <v>1</v>
      </c>
      <c r="H1063">
        <v>0</v>
      </c>
      <c r="I1063">
        <v>0</v>
      </c>
      <c r="J1063">
        <v>24.39999961853027</v>
      </c>
      <c r="K1063">
        <v>1</v>
      </c>
      <c r="L1063">
        <f>Résultats!G$32+Résultats!G$33*Données!C1063+Résultats!G$34*Données!D1063+Résultats!G$35*Données!E1063+Résultats!G$36*Données!F1063+Résultats!G$37*Données!G1063+Résultats!G$38*Données!H1063+Résultats!G$39*Données!I1063</f>
        <v>122137.81514766856</v>
      </c>
      <c r="M1063">
        <f t="shared" si="64"/>
        <v>15862.18485233144</v>
      </c>
      <c r="Q1063">
        <v>130000</v>
      </c>
      <c r="R1063">
        <v>1</v>
      </c>
      <c r="S1063">
        <v>15.60000038146973</v>
      </c>
      <c r="T1063">
        <v>0</v>
      </c>
      <c r="U1063">
        <f t="shared" si="65"/>
        <v>12.47227568630483</v>
      </c>
      <c r="V1063">
        <f t="shared" si="66"/>
        <v>8.6855848426766933</v>
      </c>
      <c r="W1063">
        <v>1</v>
      </c>
      <c r="X1063">
        <v>0</v>
      </c>
      <c r="Y1063">
        <v>0</v>
      </c>
      <c r="Z1063">
        <f>'Résultat (Ln)'!F$30+'Résultat (Ln)'!F$31*Données!S1063+'Résultat (Ln)'!F$32*Données!T1063+'Résultat (Ln)'!F$33*Données!U1063+'Résultat (Ln)'!F$34*Données!V1063+'Résultat (Ln)'!F$35*Données!W1063+'Résultat (Ln)'!F$36*Données!X1063+'Résultat (Ln)'!F$37*Données!Y1063</f>
        <v>174314.61440312944</v>
      </c>
      <c r="AA1063">
        <f t="shared" si="67"/>
        <v>-44314.614403129439</v>
      </c>
    </row>
    <row r="1064" spans="1:27" x14ac:dyDescent="0.25">
      <c r="A1064">
        <v>130000</v>
      </c>
      <c r="B1064">
        <v>1</v>
      </c>
      <c r="C1064">
        <v>27</v>
      </c>
      <c r="D1064">
        <v>0</v>
      </c>
      <c r="E1064">
        <v>163000</v>
      </c>
      <c r="F1064">
        <v>4750</v>
      </c>
      <c r="G1064">
        <v>1</v>
      </c>
      <c r="H1064">
        <v>0</v>
      </c>
      <c r="I1064">
        <v>0</v>
      </c>
      <c r="J1064">
        <v>27</v>
      </c>
      <c r="K1064">
        <v>1</v>
      </c>
      <c r="L1064">
        <f>Résultats!G$32+Résultats!G$33*Données!C1064+Résultats!G$34*Données!D1064+Résultats!G$35*Données!E1064+Résultats!G$36*Données!F1064+Résultats!G$37*Données!G1064+Résultats!G$38*Données!H1064+Résultats!G$39*Données!I1064</f>
        <v>119910.19749408989</v>
      </c>
      <c r="M1064">
        <f t="shared" si="64"/>
        <v>10089.802505910106</v>
      </c>
      <c r="Q1064">
        <v>138000</v>
      </c>
      <c r="R1064">
        <v>1</v>
      </c>
      <c r="S1064">
        <v>32.099998474121087</v>
      </c>
      <c r="T1064">
        <v>1</v>
      </c>
      <c r="U1064">
        <f t="shared" si="65"/>
        <v>11.891361900690473</v>
      </c>
      <c r="V1064">
        <f t="shared" si="66"/>
        <v>8.4053673762339809</v>
      </c>
      <c r="W1064">
        <v>1</v>
      </c>
      <c r="X1064">
        <v>0</v>
      </c>
      <c r="Y1064">
        <v>0</v>
      </c>
      <c r="Z1064">
        <f>'Résultat (Ln)'!F$30+'Résultat (Ln)'!F$31*Données!S1064+'Résultat (Ln)'!F$32*Données!T1064+'Résultat (Ln)'!F$33*Données!U1064+'Résultat (Ln)'!F$34*Données!V1064+'Résultat (Ln)'!F$35*Données!W1064+'Résultat (Ln)'!F$36*Données!X1064+'Résultat (Ln)'!F$37*Données!Y1064</f>
        <v>128696.79676794248</v>
      </c>
      <c r="AA1064">
        <f t="shared" si="67"/>
        <v>9303.2032320575236</v>
      </c>
    </row>
    <row r="1065" spans="1:27" x14ac:dyDescent="0.25">
      <c r="A1065">
        <v>184000</v>
      </c>
      <c r="B1065">
        <v>1</v>
      </c>
      <c r="C1065">
        <v>32</v>
      </c>
      <c r="D1065">
        <v>1</v>
      </c>
      <c r="E1065">
        <v>245000</v>
      </c>
      <c r="F1065">
        <v>5818</v>
      </c>
      <c r="G1065">
        <v>1</v>
      </c>
      <c r="H1065">
        <v>0</v>
      </c>
      <c r="I1065">
        <v>0</v>
      </c>
      <c r="J1065">
        <v>26.989999771118161</v>
      </c>
      <c r="K1065">
        <v>1</v>
      </c>
      <c r="L1065">
        <f>Résultats!G$32+Résultats!G$33*Données!C1065+Résultats!G$34*Données!D1065+Résultats!G$35*Données!E1065+Résultats!G$36*Données!F1065+Résultats!G$37*Données!G1065+Résultats!G$38*Données!H1065+Résultats!G$39*Données!I1065</f>
        <v>170861.52304275119</v>
      </c>
      <c r="M1065">
        <f t="shared" si="64"/>
        <v>13138.476957248815</v>
      </c>
      <c r="Q1065">
        <v>130000</v>
      </c>
      <c r="R1065">
        <v>1</v>
      </c>
      <c r="S1065">
        <v>27</v>
      </c>
      <c r="T1065">
        <v>0</v>
      </c>
      <c r="U1065">
        <f t="shared" si="65"/>
        <v>12.0015054797889</v>
      </c>
      <c r="V1065">
        <f t="shared" si="66"/>
        <v>8.4658998970286863</v>
      </c>
      <c r="W1065">
        <v>1</v>
      </c>
      <c r="X1065">
        <v>0</v>
      </c>
      <c r="Y1065">
        <v>0</v>
      </c>
      <c r="Z1065">
        <f>'Résultat (Ln)'!F$30+'Résultat (Ln)'!F$31*Données!S1065+'Résultat (Ln)'!F$32*Données!T1065+'Résultat (Ln)'!F$33*Données!U1065+'Résultat (Ln)'!F$34*Données!V1065+'Résultat (Ln)'!F$35*Données!W1065+'Résultat (Ln)'!F$36*Données!X1065+'Résultat (Ln)'!F$37*Données!Y1065</f>
        <v>131620.16357784302</v>
      </c>
      <c r="AA1065">
        <f t="shared" si="67"/>
        <v>-1620.1635778430209</v>
      </c>
    </row>
    <row r="1066" spans="1:27" x14ac:dyDescent="0.25">
      <c r="A1066">
        <v>116000</v>
      </c>
      <c r="B1066">
        <v>1</v>
      </c>
      <c r="C1066">
        <v>30.79999923706055</v>
      </c>
      <c r="D1066">
        <v>0</v>
      </c>
      <c r="E1066">
        <v>144000</v>
      </c>
      <c r="F1066">
        <v>5833</v>
      </c>
      <c r="G1066">
        <v>0</v>
      </c>
      <c r="H1066">
        <v>0</v>
      </c>
      <c r="I1066">
        <v>1</v>
      </c>
      <c r="J1066">
        <v>18.85000038146973</v>
      </c>
      <c r="K1066">
        <v>1</v>
      </c>
      <c r="L1066">
        <f>Résultats!G$32+Résultats!G$33*Données!C1066+Résultats!G$34*Données!D1066+Résultats!G$35*Données!E1066+Résultats!G$36*Données!F1066+Résultats!G$37*Données!G1066+Résultats!G$38*Données!H1066+Résultats!G$39*Données!I1066</f>
        <v>120410.49404662529</v>
      </c>
      <c r="M1066">
        <f t="shared" si="64"/>
        <v>-4410.4940466252883</v>
      </c>
      <c r="Q1066">
        <v>184000</v>
      </c>
      <c r="R1066">
        <v>1</v>
      </c>
      <c r="S1066">
        <v>32</v>
      </c>
      <c r="T1066">
        <v>1</v>
      </c>
      <c r="U1066">
        <f t="shared" si="65"/>
        <v>12.409013489526863</v>
      </c>
      <c r="V1066">
        <f t="shared" si="66"/>
        <v>8.6687118390551472</v>
      </c>
      <c r="W1066">
        <v>1</v>
      </c>
      <c r="X1066">
        <v>0</v>
      </c>
      <c r="Y1066">
        <v>0</v>
      </c>
      <c r="Z1066">
        <f>'Résultat (Ln)'!F$30+'Résultat (Ln)'!F$31*Données!S1066+'Résultat (Ln)'!F$32*Données!T1066+'Résultat (Ln)'!F$33*Données!U1066+'Résultat (Ln)'!F$34*Données!V1066+'Résultat (Ln)'!F$35*Données!W1066+'Résultat (Ln)'!F$36*Données!X1066+'Résultat (Ln)'!F$37*Données!Y1066</f>
        <v>191450.25405388113</v>
      </c>
      <c r="AA1066">
        <f t="shared" si="67"/>
        <v>-7450.2540538811299</v>
      </c>
    </row>
    <row r="1067" spans="1:27" x14ac:dyDescent="0.25">
      <c r="A1067">
        <v>203000</v>
      </c>
      <c r="B1067">
        <v>1</v>
      </c>
      <c r="C1067">
        <v>36</v>
      </c>
      <c r="D1067">
        <v>0</v>
      </c>
      <c r="E1067">
        <v>226000</v>
      </c>
      <c r="F1067">
        <v>6158</v>
      </c>
      <c r="G1067">
        <v>1</v>
      </c>
      <c r="H1067">
        <v>1</v>
      </c>
      <c r="I1067">
        <v>0</v>
      </c>
      <c r="J1067">
        <v>24</v>
      </c>
      <c r="K1067">
        <v>1</v>
      </c>
      <c r="L1067">
        <f>Résultats!G$32+Résultats!G$33*Données!C1067+Résultats!G$34*Données!D1067+Résultats!G$35*Données!E1067+Résultats!G$36*Données!F1067+Résultats!G$37*Données!G1067+Résultats!G$38*Données!H1067+Résultats!G$39*Données!I1067</f>
        <v>160769.41496433137</v>
      </c>
      <c r="M1067">
        <f t="shared" si="64"/>
        <v>42230.585035668628</v>
      </c>
      <c r="Q1067">
        <v>116000</v>
      </c>
      <c r="R1067">
        <v>1</v>
      </c>
      <c r="S1067">
        <v>30.79999923706055</v>
      </c>
      <c r="T1067">
        <v>0</v>
      </c>
      <c r="U1067">
        <f t="shared" si="65"/>
        <v>11.877568578558138</v>
      </c>
      <c r="V1067">
        <f t="shared" si="66"/>
        <v>8.6712867267536371</v>
      </c>
      <c r="W1067">
        <v>0</v>
      </c>
      <c r="X1067">
        <v>0</v>
      </c>
      <c r="Y1067">
        <v>1</v>
      </c>
      <c r="Z1067">
        <f>'Résultat (Ln)'!F$30+'Résultat (Ln)'!F$31*Données!S1067+'Résultat (Ln)'!F$32*Données!T1067+'Résultat (Ln)'!F$33*Données!U1067+'Résultat (Ln)'!F$34*Données!V1067+'Résultat (Ln)'!F$35*Données!W1067+'Résultat (Ln)'!F$36*Données!X1067+'Résultat (Ln)'!F$37*Données!Y1067</f>
        <v>138311.56854976204</v>
      </c>
      <c r="AA1067">
        <f t="shared" si="67"/>
        <v>-22311.568549762043</v>
      </c>
    </row>
    <row r="1068" spans="1:27" x14ac:dyDescent="0.25">
      <c r="A1068">
        <v>200000</v>
      </c>
      <c r="B1068">
        <v>1</v>
      </c>
      <c r="C1068">
        <v>36</v>
      </c>
      <c r="D1068">
        <v>0</v>
      </c>
      <c r="E1068">
        <v>250000</v>
      </c>
      <c r="F1068">
        <v>7250</v>
      </c>
      <c r="G1068">
        <v>1</v>
      </c>
      <c r="H1068">
        <v>0</v>
      </c>
      <c r="I1068">
        <v>0</v>
      </c>
      <c r="J1068">
        <v>25</v>
      </c>
      <c r="K1068">
        <v>1</v>
      </c>
      <c r="L1068">
        <f>Résultats!G$32+Résultats!G$33*Données!C1068+Résultats!G$34*Données!D1068+Résultats!G$35*Données!E1068+Résultats!G$36*Données!F1068+Résultats!G$37*Données!G1068+Résultats!G$38*Données!H1068+Résultats!G$39*Données!I1068</f>
        <v>175717.63369505701</v>
      </c>
      <c r="M1068">
        <f t="shared" si="64"/>
        <v>24282.366304942989</v>
      </c>
      <c r="Q1068">
        <v>203000</v>
      </c>
      <c r="R1068">
        <v>1</v>
      </c>
      <c r="S1068">
        <v>36</v>
      </c>
      <c r="T1068">
        <v>0</v>
      </c>
      <c r="U1068">
        <f t="shared" si="65"/>
        <v>12.328290278254423</v>
      </c>
      <c r="V1068">
        <f t="shared" si="66"/>
        <v>8.7255073284844453</v>
      </c>
      <c r="W1068">
        <v>1</v>
      </c>
      <c r="X1068">
        <v>1</v>
      </c>
      <c r="Y1068">
        <v>0</v>
      </c>
      <c r="Z1068">
        <f>'Résultat (Ln)'!F$30+'Résultat (Ln)'!F$31*Données!S1068+'Résultat (Ln)'!F$32*Données!T1068+'Résultat (Ln)'!F$33*Données!U1068+'Résultat (Ln)'!F$34*Données!V1068+'Résultat (Ln)'!F$35*Données!W1068+'Résultat (Ln)'!F$36*Données!X1068+'Résultat (Ln)'!F$37*Données!Y1068</f>
        <v>184751.77104267126</v>
      </c>
      <c r="AA1068">
        <f t="shared" si="67"/>
        <v>18248.228957328742</v>
      </c>
    </row>
    <row r="1069" spans="1:27" x14ac:dyDescent="0.25">
      <c r="A1069">
        <v>110000</v>
      </c>
      <c r="B1069">
        <v>1</v>
      </c>
      <c r="C1069">
        <v>34</v>
      </c>
      <c r="D1069">
        <v>0</v>
      </c>
      <c r="E1069">
        <v>180000</v>
      </c>
      <c r="F1069">
        <v>4333</v>
      </c>
      <c r="G1069">
        <v>1</v>
      </c>
      <c r="H1069">
        <v>0</v>
      </c>
      <c r="I1069">
        <v>0</v>
      </c>
      <c r="J1069">
        <v>17.819999694824219</v>
      </c>
      <c r="K1069">
        <v>0</v>
      </c>
      <c r="L1069">
        <f>Résultats!G$32+Résultats!G$33*Données!C1069+Résultats!G$34*Données!D1069+Résultats!G$35*Données!E1069+Résultats!G$36*Données!F1069+Résultats!G$37*Données!G1069+Résultats!G$38*Données!H1069+Résultats!G$39*Données!I1069</f>
        <v>135081.03838382839</v>
      </c>
      <c r="M1069">
        <f t="shared" si="64"/>
        <v>-25081.038383828389</v>
      </c>
      <c r="Q1069">
        <v>200000</v>
      </c>
      <c r="R1069">
        <v>1</v>
      </c>
      <c r="S1069">
        <v>36</v>
      </c>
      <c r="T1069">
        <v>0</v>
      </c>
      <c r="U1069">
        <f t="shared" si="65"/>
        <v>12.429216196844383</v>
      </c>
      <c r="V1069">
        <f t="shared" si="66"/>
        <v>8.8887567478487206</v>
      </c>
      <c r="W1069">
        <v>1</v>
      </c>
      <c r="X1069">
        <v>0</v>
      </c>
      <c r="Y1069">
        <v>0</v>
      </c>
      <c r="Z1069">
        <f>'Résultat (Ln)'!F$30+'Résultat (Ln)'!F$31*Données!S1069+'Résultat (Ln)'!F$32*Données!T1069+'Résultat (Ln)'!F$33*Données!U1069+'Résultat (Ln)'!F$34*Données!V1069+'Résultat (Ln)'!F$35*Données!W1069+'Résultat (Ln)'!F$36*Données!X1069+'Résultat (Ln)'!F$37*Données!Y1069</f>
        <v>200326.58052546182</v>
      </c>
      <c r="AA1069">
        <f t="shared" si="67"/>
        <v>-326.58052546181716</v>
      </c>
    </row>
    <row r="1070" spans="1:27" x14ac:dyDescent="0.25">
      <c r="A1070">
        <v>67000</v>
      </c>
      <c r="B1070">
        <v>1</v>
      </c>
      <c r="C1070">
        <v>33.799999237060547</v>
      </c>
      <c r="D1070">
        <v>0</v>
      </c>
      <c r="E1070">
        <v>74000</v>
      </c>
      <c r="F1070">
        <v>2500</v>
      </c>
      <c r="G1070">
        <v>0</v>
      </c>
      <c r="H1070">
        <v>1</v>
      </c>
      <c r="I1070">
        <v>0</v>
      </c>
      <c r="J1070">
        <v>28.89999961853027</v>
      </c>
      <c r="K1070">
        <v>0</v>
      </c>
      <c r="L1070">
        <f>Résultats!G$32+Résultats!G$33*Données!C1070+Résultats!G$34*Données!D1070+Résultats!G$35*Données!E1070+Résultats!G$36*Données!F1070+Résultats!G$37*Données!G1070+Résultats!G$38*Données!H1070+Résultats!G$39*Données!I1070</f>
        <v>73160.397750684744</v>
      </c>
      <c r="M1070">
        <f t="shared" si="64"/>
        <v>-6160.3977506847441</v>
      </c>
      <c r="Q1070">
        <v>110000</v>
      </c>
      <c r="R1070">
        <v>1</v>
      </c>
      <c r="S1070">
        <v>34</v>
      </c>
      <c r="T1070">
        <v>0</v>
      </c>
      <c r="U1070">
        <f t="shared" si="65"/>
        <v>12.100712129872347</v>
      </c>
      <c r="V1070">
        <f t="shared" si="66"/>
        <v>8.3740154217399088</v>
      </c>
      <c r="W1070">
        <v>1</v>
      </c>
      <c r="X1070">
        <v>0</v>
      </c>
      <c r="Y1070">
        <v>0</v>
      </c>
      <c r="Z1070">
        <f>'Résultat (Ln)'!F$30+'Résultat (Ln)'!F$31*Données!S1070+'Résultat (Ln)'!F$32*Données!T1070+'Résultat (Ln)'!F$33*Données!U1070+'Résultat (Ln)'!F$34*Données!V1070+'Résultat (Ln)'!F$35*Données!W1070+'Résultat (Ln)'!F$36*Données!X1070+'Résultat (Ln)'!F$37*Données!Y1070</f>
        <v>148231.9904463806</v>
      </c>
      <c r="AA1070">
        <f t="shared" si="67"/>
        <v>-38231.990446380601</v>
      </c>
    </row>
    <row r="1071" spans="1:27" x14ac:dyDescent="0.25">
      <c r="A1071">
        <v>145000</v>
      </c>
      <c r="B1071">
        <v>1</v>
      </c>
      <c r="C1071">
        <v>38.900001525878913</v>
      </c>
      <c r="D1071">
        <v>0</v>
      </c>
      <c r="E1071">
        <v>150000</v>
      </c>
      <c r="F1071">
        <v>2170</v>
      </c>
      <c r="G1071">
        <v>0</v>
      </c>
      <c r="H1071">
        <v>0</v>
      </c>
      <c r="I1071">
        <v>0</v>
      </c>
      <c r="J1071">
        <v>30.39999961853027</v>
      </c>
      <c r="K1071">
        <v>0</v>
      </c>
      <c r="L1071">
        <f>Résultats!G$32+Résultats!G$33*Données!C1071+Résultats!G$34*Données!D1071+Résultats!G$35*Données!E1071+Résultats!G$36*Données!F1071+Résultats!G$37*Données!G1071+Résultats!G$38*Données!H1071+Résultats!G$39*Données!I1071</f>
        <v>115492.87438088012</v>
      </c>
      <c r="M1071">
        <f t="shared" si="64"/>
        <v>29507.125619119877</v>
      </c>
      <c r="Q1071">
        <v>67000</v>
      </c>
      <c r="R1071">
        <v>1</v>
      </c>
      <c r="S1071">
        <v>33.799999237060547</v>
      </c>
      <c r="T1071">
        <v>0</v>
      </c>
      <c r="U1071">
        <f t="shared" si="65"/>
        <v>11.211820372186306</v>
      </c>
      <c r="V1071">
        <f t="shared" si="66"/>
        <v>7.8240460108562919</v>
      </c>
      <c r="W1071">
        <v>0</v>
      </c>
      <c r="X1071">
        <v>1</v>
      </c>
      <c r="Y1071">
        <v>0</v>
      </c>
      <c r="Z1071">
        <f>'Résultat (Ln)'!F$30+'Résultat (Ln)'!F$31*Données!S1071+'Résultat (Ln)'!F$32*Données!T1071+'Résultat (Ln)'!F$33*Données!U1071+'Résultat (Ln)'!F$34*Données!V1071+'Résultat (Ln)'!F$35*Données!W1071+'Résultat (Ln)'!F$36*Données!X1071+'Résultat (Ln)'!F$37*Données!Y1071</f>
        <v>32586.427771500057</v>
      </c>
      <c r="AA1071">
        <f t="shared" si="67"/>
        <v>34413.572228499943</v>
      </c>
    </row>
    <row r="1072" spans="1:27" x14ac:dyDescent="0.25">
      <c r="A1072">
        <v>137000</v>
      </c>
      <c r="B1072">
        <v>1</v>
      </c>
      <c r="C1072">
        <v>35.799999237060547</v>
      </c>
      <c r="D1072">
        <v>0</v>
      </c>
      <c r="E1072">
        <v>195000</v>
      </c>
      <c r="F1072">
        <v>3250</v>
      </c>
      <c r="G1072">
        <v>1</v>
      </c>
      <c r="H1072">
        <v>0</v>
      </c>
      <c r="I1072">
        <v>0</v>
      </c>
      <c r="J1072">
        <v>14.11999988555908</v>
      </c>
      <c r="K1072">
        <v>1</v>
      </c>
      <c r="L1072">
        <f>Résultats!G$32+Résultats!G$33*Données!C1072+Résultats!G$34*Données!D1072+Résultats!G$35*Données!E1072+Résultats!G$36*Données!F1072+Résultats!G$37*Données!G1072+Résultats!G$38*Données!H1072+Résultats!G$39*Données!I1072</f>
        <v>142054.31950285012</v>
      </c>
      <c r="M1072">
        <f t="shared" si="64"/>
        <v>-5054.3195028501214</v>
      </c>
      <c r="Q1072">
        <v>145000</v>
      </c>
      <c r="R1072">
        <v>1</v>
      </c>
      <c r="S1072">
        <v>38.900001525878913</v>
      </c>
      <c r="T1072">
        <v>0</v>
      </c>
      <c r="U1072">
        <f t="shared" si="65"/>
        <v>11.918390573078392</v>
      </c>
      <c r="V1072">
        <f t="shared" si="66"/>
        <v>7.6824824465345056</v>
      </c>
      <c r="W1072">
        <v>0</v>
      </c>
      <c r="X1072">
        <v>0</v>
      </c>
      <c r="Y1072">
        <v>0</v>
      </c>
      <c r="Z1072">
        <f>'Résultat (Ln)'!F$30+'Résultat (Ln)'!F$31*Données!S1072+'Résultat (Ln)'!F$32*Données!T1072+'Résultat (Ln)'!F$33*Données!U1072+'Résultat (Ln)'!F$34*Données!V1072+'Résultat (Ln)'!F$35*Données!W1072+'Résultat (Ln)'!F$36*Données!X1072+'Résultat (Ln)'!F$37*Données!Y1072</f>
        <v>110767.30905856594</v>
      </c>
      <c r="AA1072">
        <f t="shared" si="67"/>
        <v>34232.690941434063</v>
      </c>
    </row>
    <row r="1073" spans="1:27" x14ac:dyDescent="0.25">
      <c r="A1073">
        <v>114000</v>
      </c>
      <c r="B1073">
        <v>1</v>
      </c>
      <c r="C1073">
        <v>31.39999961853027</v>
      </c>
      <c r="D1073">
        <v>1</v>
      </c>
      <c r="E1073">
        <v>119500</v>
      </c>
      <c r="F1073">
        <v>4796</v>
      </c>
      <c r="G1073">
        <v>1</v>
      </c>
      <c r="H1073">
        <v>0</v>
      </c>
      <c r="I1073">
        <v>0</v>
      </c>
      <c r="J1073">
        <v>26.5</v>
      </c>
      <c r="K1073">
        <v>1</v>
      </c>
      <c r="L1073">
        <f>Résultats!G$32+Résultats!G$33*Données!C1073+Résultats!G$34*Données!D1073+Résultats!G$35*Données!E1073+Résultats!G$36*Données!F1073+Résultats!G$37*Données!G1073+Résultats!G$38*Données!H1073+Résultats!G$39*Données!I1073</f>
        <v>109589.26647088128</v>
      </c>
      <c r="M1073">
        <f t="shared" si="64"/>
        <v>4410.7335291187192</v>
      </c>
      <c r="Q1073">
        <v>137000</v>
      </c>
      <c r="R1073">
        <v>1</v>
      </c>
      <c r="S1073">
        <v>35.799999237060547</v>
      </c>
      <c r="T1073">
        <v>0</v>
      </c>
      <c r="U1073">
        <f t="shared" si="65"/>
        <v>12.180754837545884</v>
      </c>
      <c r="V1073">
        <f t="shared" si="66"/>
        <v>8.0864102753237823</v>
      </c>
      <c r="W1073">
        <v>1</v>
      </c>
      <c r="X1073">
        <v>0</v>
      </c>
      <c r="Y1073">
        <v>0</v>
      </c>
      <c r="Z1073">
        <f>'Résultat (Ln)'!F$30+'Résultat (Ln)'!F$31*Données!S1073+'Résultat (Ln)'!F$32*Données!T1073+'Résultat (Ln)'!F$33*Données!U1073+'Résultat (Ln)'!F$34*Données!V1073+'Résultat (Ln)'!F$35*Données!W1073+'Résultat (Ln)'!F$36*Données!X1073+'Résultat (Ln)'!F$37*Données!Y1073</f>
        <v>150945.77227508344</v>
      </c>
      <c r="AA1073">
        <f t="shared" si="67"/>
        <v>-13945.772275083436</v>
      </c>
    </row>
    <row r="1074" spans="1:27" x14ac:dyDescent="0.25">
      <c r="A1074">
        <v>119000</v>
      </c>
      <c r="B1074">
        <v>1</v>
      </c>
      <c r="C1074">
        <v>22</v>
      </c>
      <c r="D1074">
        <v>0</v>
      </c>
      <c r="E1074">
        <v>132000</v>
      </c>
      <c r="F1074">
        <v>5389</v>
      </c>
      <c r="G1074">
        <v>0</v>
      </c>
      <c r="H1074">
        <v>0</v>
      </c>
      <c r="I1074">
        <v>1</v>
      </c>
      <c r="J1074">
        <v>21</v>
      </c>
      <c r="K1074">
        <v>0</v>
      </c>
      <c r="L1074">
        <f>Résultats!G$32+Résultats!G$33*Données!C1074+Résultats!G$34*Données!D1074+Résultats!G$35*Données!E1074+Résultats!G$36*Données!F1074+Résultats!G$37*Données!G1074+Résultats!G$38*Données!H1074+Résultats!G$39*Données!I1074</f>
        <v>103838.37877228815</v>
      </c>
      <c r="M1074">
        <f t="shared" si="64"/>
        <v>15161.621227711847</v>
      </c>
      <c r="Q1074">
        <v>114000</v>
      </c>
      <c r="R1074">
        <v>1</v>
      </c>
      <c r="S1074">
        <v>31.39999961853027</v>
      </c>
      <c r="T1074">
        <v>1</v>
      </c>
      <c r="U1074">
        <f t="shared" si="65"/>
        <v>11.691071650353702</v>
      </c>
      <c r="V1074">
        <f t="shared" si="66"/>
        <v>8.4755375161474049</v>
      </c>
      <c r="W1074">
        <v>1</v>
      </c>
      <c r="X1074">
        <v>0</v>
      </c>
      <c r="Y1074">
        <v>0</v>
      </c>
      <c r="Z1074">
        <f>'Résultat (Ln)'!F$30+'Résultat (Ln)'!F$31*Données!S1074+'Résultat (Ln)'!F$32*Données!T1074+'Résultat (Ln)'!F$33*Données!U1074+'Résultat (Ln)'!F$34*Données!V1074+'Résultat (Ln)'!F$35*Données!W1074+'Résultat (Ln)'!F$36*Données!X1074+'Résultat (Ln)'!F$37*Données!Y1074</f>
        <v>108339.11987145782</v>
      </c>
      <c r="AA1074">
        <f t="shared" si="67"/>
        <v>5660.8801285421796</v>
      </c>
    </row>
    <row r="1075" spans="1:27" x14ac:dyDescent="0.25">
      <c r="A1075">
        <v>126000</v>
      </c>
      <c r="B1075">
        <v>1</v>
      </c>
      <c r="C1075">
        <v>21</v>
      </c>
      <c r="D1075">
        <v>0</v>
      </c>
      <c r="E1075">
        <v>168000</v>
      </c>
      <c r="F1075">
        <v>10833</v>
      </c>
      <c r="G1075">
        <v>1</v>
      </c>
      <c r="H1075">
        <v>0</v>
      </c>
      <c r="I1075">
        <v>1</v>
      </c>
      <c r="J1075">
        <v>7</v>
      </c>
      <c r="K1075">
        <v>1</v>
      </c>
      <c r="L1075">
        <f>Résultats!G$32+Résultats!G$33*Données!C1075+Résultats!G$34*Données!D1075+Résultats!G$35*Données!E1075+Résultats!G$36*Données!F1075+Résultats!G$37*Données!G1075+Résultats!G$38*Données!H1075+Résultats!G$39*Données!I1075</f>
        <v>137065.95896560809</v>
      </c>
      <c r="M1075">
        <f t="shared" si="64"/>
        <v>-11065.958965608093</v>
      </c>
      <c r="Q1075">
        <v>119000</v>
      </c>
      <c r="R1075">
        <v>1</v>
      </c>
      <c r="S1075">
        <v>22</v>
      </c>
      <c r="T1075">
        <v>0</v>
      </c>
      <c r="U1075">
        <f t="shared" si="65"/>
        <v>11.790557201568507</v>
      </c>
      <c r="V1075">
        <f t="shared" si="66"/>
        <v>8.5921151179334974</v>
      </c>
      <c r="W1075">
        <v>0</v>
      </c>
      <c r="X1075">
        <v>0</v>
      </c>
      <c r="Y1075">
        <v>1</v>
      </c>
      <c r="Z1075">
        <f>'Résultat (Ln)'!F$30+'Résultat (Ln)'!F$31*Données!S1075+'Résultat (Ln)'!F$32*Données!T1075+'Résultat (Ln)'!F$33*Données!U1075+'Résultat (Ln)'!F$34*Données!V1075+'Résultat (Ln)'!F$35*Données!W1075+'Résultat (Ln)'!F$36*Données!X1075+'Résultat (Ln)'!F$37*Données!Y1075</f>
        <v>116009.9445688111</v>
      </c>
      <c r="AA1075">
        <f t="shared" si="67"/>
        <v>2990.0554311888991</v>
      </c>
    </row>
    <row r="1076" spans="1:27" x14ac:dyDescent="0.25">
      <c r="A1076">
        <v>185000</v>
      </c>
      <c r="B1076">
        <v>1</v>
      </c>
      <c r="C1076">
        <v>28</v>
      </c>
      <c r="D1076">
        <v>0</v>
      </c>
      <c r="E1076">
        <v>275000</v>
      </c>
      <c r="F1076">
        <v>9167</v>
      </c>
      <c r="G1076">
        <v>0</v>
      </c>
      <c r="H1076">
        <v>0</v>
      </c>
      <c r="I1076">
        <v>0</v>
      </c>
      <c r="J1076">
        <v>27</v>
      </c>
      <c r="K1076">
        <v>0</v>
      </c>
      <c r="L1076">
        <f>Résultats!G$32+Résultats!G$33*Données!C1076+Résultats!G$34*Données!D1076+Résultats!G$35*Données!E1076+Résultats!G$36*Données!F1076+Résultats!G$37*Données!G1076+Résultats!G$38*Données!H1076+Résultats!G$39*Données!I1076</f>
        <v>174900.22227803589</v>
      </c>
      <c r="M1076">
        <f t="shared" si="64"/>
        <v>10099.777721964114</v>
      </c>
      <c r="Q1076">
        <v>126000</v>
      </c>
      <c r="R1076">
        <v>1</v>
      </c>
      <c r="S1076">
        <v>21</v>
      </c>
      <c r="T1076">
        <v>0</v>
      </c>
      <c r="U1076">
        <f t="shared" si="65"/>
        <v>12.031719258385396</v>
      </c>
      <c r="V1076">
        <f t="shared" si="66"/>
        <v>9.2903523099455683</v>
      </c>
      <c r="W1076">
        <v>1</v>
      </c>
      <c r="X1076">
        <v>0</v>
      </c>
      <c r="Y1076">
        <v>1</v>
      </c>
      <c r="Z1076">
        <f>'Résultat (Ln)'!F$30+'Résultat (Ln)'!F$31*Données!S1076+'Résultat (Ln)'!F$32*Données!T1076+'Résultat (Ln)'!F$33*Données!U1076+'Résultat (Ln)'!F$34*Données!V1076+'Résultat (Ln)'!F$35*Données!W1076+'Résultat (Ln)'!F$36*Données!X1076+'Résultat (Ln)'!F$37*Données!Y1076</f>
        <v>164736.05340485359</v>
      </c>
      <c r="AA1076">
        <f t="shared" si="67"/>
        <v>-38736.053404853592</v>
      </c>
    </row>
    <row r="1077" spans="1:27" x14ac:dyDescent="0.25">
      <c r="A1077">
        <v>152000</v>
      </c>
      <c r="B1077">
        <v>1</v>
      </c>
      <c r="C1077">
        <v>31.70000076293945</v>
      </c>
      <c r="D1077">
        <v>0</v>
      </c>
      <c r="E1077">
        <v>250000</v>
      </c>
      <c r="F1077">
        <v>7215</v>
      </c>
      <c r="G1077">
        <v>1</v>
      </c>
      <c r="H1077">
        <v>0</v>
      </c>
      <c r="I1077">
        <v>0</v>
      </c>
      <c r="J1077">
        <v>22.20000076293945</v>
      </c>
      <c r="K1077">
        <v>1</v>
      </c>
      <c r="L1077">
        <f>Résultats!G$32+Résultats!G$33*Données!C1077+Résultats!G$34*Données!D1077+Résultats!G$35*Données!E1077+Résultats!G$36*Données!F1077+Résultats!G$37*Données!G1077+Résultats!G$38*Données!H1077+Résultats!G$39*Données!I1077</f>
        <v>170710.52938341524</v>
      </c>
      <c r="M1077">
        <f t="shared" si="64"/>
        <v>-18710.52938341524</v>
      </c>
      <c r="Q1077">
        <v>185000</v>
      </c>
      <c r="R1077">
        <v>1</v>
      </c>
      <c r="S1077">
        <v>28</v>
      </c>
      <c r="T1077">
        <v>0</v>
      </c>
      <c r="U1077">
        <f t="shared" si="65"/>
        <v>12.524526376648708</v>
      </c>
      <c r="V1077">
        <f t="shared" si="66"/>
        <v>9.1233653579617755</v>
      </c>
      <c r="W1077">
        <v>0</v>
      </c>
      <c r="X1077">
        <v>0</v>
      </c>
      <c r="Y1077">
        <v>0</v>
      </c>
      <c r="Z1077">
        <f>'Résultat (Ln)'!F$30+'Résultat (Ln)'!F$31*Données!S1077+'Résultat (Ln)'!F$32*Données!T1077+'Résultat (Ln)'!F$33*Données!U1077+'Résultat (Ln)'!F$34*Données!V1077+'Résultat (Ln)'!F$35*Données!W1077+'Résultat (Ln)'!F$36*Données!X1077+'Résultat (Ln)'!F$37*Données!Y1077</f>
        <v>202832.83510037616</v>
      </c>
      <c r="AA1077">
        <f t="shared" si="67"/>
        <v>-17832.835100376164</v>
      </c>
    </row>
    <row r="1078" spans="1:27" x14ac:dyDescent="0.25">
      <c r="A1078">
        <v>115000</v>
      </c>
      <c r="B1078">
        <v>1</v>
      </c>
      <c r="C1078">
        <v>34</v>
      </c>
      <c r="D1078">
        <v>0</v>
      </c>
      <c r="E1078">
        <v>144000</v>
      </c>
      <c r="F1078">
        <v>2000</v>
      </c>
      <c r="G1078">
        <v>1</v>
      </c>
      <c r="H1078">
        <v>0</v>
      </c>
      <c r="I1078">
        <v>1</v>
      </c>
      <c r="J1078">
        <v>34</v>
      </c>
      <c r="K1078">
        <v>1</v>
      </c>
      <c r="L1078">
        <f>Résultats!G$32+Résultats!G$33*Données!C1078+Résultats!G$34*Données!D1078+Résultats!G$35*Données!E1078+Résultats!G$36*Données!F1078+Résultats!G$37*Données!G1078+Résultats!G$38*Données!H1078+Résultats!G$39*Données!I1078</f>
        <v>123675.31964427457</v>
      </c>
      <c r="M1078">
        <f t="shared" si="64"/>
        <v>-8675.3196442745684</v>
      </c>
      <c r="Q1078">
        <v>152000</v>
      </c>
      <c r="R1078">
        <v>1</v>
      </c>
      <c r="S1078">
        <v>31.70000076293945</v>
      </c>
      <c r="T1078">
        <v>0</v>
      </c>
      <c r="U1078">
        <f t="shared" si="65"/>
        <v>12.429216196844383</v>
      </c>
      <c r="V1078">
        <f t="shared" si="66"/>
        <v>8.8839174712079707</v>
      </c>
      <c r="W1078">
        <v>1</v>
      </c>
      <c r="X1078">
        <v>0</v>
      </c>
      <c r="Y1078">
        <v>0</v>
      </c>
      <c r="Z1078">
        <f>'Résultat (Ln)'!F$30+'Résultat (Ln)'!F$31*Données!S1078+'Résultat (Ln)'!F$32*Données!T1078+'Résultat (Ln)'!F$33*Données!U1078+'Résultat (Ln)'!F$34*Données!V1078+'Résultat (Ln)'!F$35*Données!W1078+'Résultat (Ln)'!F$36*Données!X1078+'Résultat (Ln)'!F$37*Données!Y1078</f>
        <v>194936.08393863103</v>
      </c>
      <c r="AA1078">
        <f t="shared" si="67"/>
        <v>-42936.083938631025</v>
      </c>
    </row>
    <row r="1079" spans="1:27" x14ac:dyDescent="0.25">
      <c r="A1079">
        <v>117000</v>
      </c>
      <c r="B1079">
        <v>1</v>
      </c>
      <c r="C1079">
        <v>39</v>
      </c>
      <c r="D1079">
        <v>0</v>
      </c>
      <c r="E1079">
        <v>130000</v>
      </c>
      <c r="F1079">
        <v>4384</v>
      </c>
      <c r="G1079">
        <v>0</v>
      </c>
      <c r="H1079">
        <v>0</v>
      </c>
      <c r="I1079">
        <v>0</v>
      </c>
      <c r="J1079">
        <v>22</v>
      </c>
      <c r="K1079">
        <v>1</v>
      </c>
      <c r="L1079">
        <f>Résultats!G$32+Résultats!G$33*Données!C1079+Résultats!G$34*Données!D1079+Résultats!G$35*Données!E1079+Résultats!G$36*Données!F1079+Résultats!G$37*Données!G1079+Résultats!G$38*Données!H1079+Résultats!G$39*Données!I1079</f>
        <v>110558.93552039095</v>
      </c>
      <c r="M1079">
        <f t="shared" si="64"/>
        <v>6441.0644796090492</v>
      </c>
      <c r="Q1079">
        <v>115000</v>
      </c>
      <c r="R1079">
        <v>1</v>
      </c>
      <c r="S1079">
        <v>34</v>
      </c>
      <c r="T1079">
        <v>0</v>
      </c>
      <c r="U1079">
        <f t="shared" si="65"/>
        <v>11.877568578558138</v>
      </c>
      <c r="V1079">
        <f t="shared" si="66"/>
        <v>7.6009024595420822</v>
      </c>
      <c r="W1079">
        <v>1</v>
      </c>
      <c r="X1079">
        <v>0</v>
      </c>
      <c r="Y1079">
        <v>1</v>
      </c>
      <c r="Z1079">
        <f>'Résultat (Ln)'!F$30+'Résultat (Ln)'!F$31*Données!S1079+'Résultat (Ln)'!F$32*Données!T1079+'Résultat (Ln)'!F$33*Données!U1079+'Résultat (Ln)'!F$34*Données!V1079+'Résultat (Ln)'!F$35*Données!W1079+'Résultat (Ln)'!F$36*Données!X1079+'Résultat (Ln)'!F$37*Données!Y1079</f>
        <v>116716.35598503593</v>
      </c>
      <c r="AA1079">
        <f t="shared" si="67"/>
        <v>-1716.3559850359306</v>
      </c>
    </row>
    <row r="1080" spans="1:27" x14ac:dyDescent="0.25">
      <c r="A1080">
        <v>98000</v>
      </c>
      <c r="B1080">
        <v>1</v>
      </c>
      <c r="C1080">
        <v>33</v>
      </c>
      <c r="D1080">
        <v>0</v>
      </c>
      <c r="E1080">
        <v>146000</v>
      </c>
      <c r="F1080">
        <v>2935</v>
      </c>
      <c r="G1080">
        <v>0</v>
      </c>
      <c r="H1080">
        <v>1</v>
      </c>
      <c r="I1080">
        <v>0</v>
      </c>
      <c r="J1080">
        <v>32</v>
      </c>
      <c r="K1080">
        <v>1</v>
      </c>
      <c r="L1080">
        <f>Résultats!G$32+Résultats!G$33*Données!C1080+Résultats!G$34*Données!D1080+Résultats!G$35*Données!E1080+Résultats!G$36*Données!F1080+Résultats!G$37*Données!G1080+Résultats!G$38*Données!H1080+Résultats!G$39*Données!I1080</f>
        <v>106705.03517228895</v>
      </c>
      <c r="M1080">
        <f t="shared" si="64"/>
        <v>-8705.0351722889463</v>
      </c>
      <c r="Q1080">
        <v>117000</v>
      </c>
      <c r="R1080">
        <v>1</v>
      </c>
      <c r="S1080">
        <v>39</v>
      </c>
      <c r="T1080">
        <v>0</v>
      </c>
      <c r="U1080">
        <f t="shared" si="65"/>
        <v>11.77528972943772</v>
      </c>
      <c r="V1080">
        <f t="shared" si="66"/>
        <v>8.3857168286278512</v>
      </c>
      <c r="W1080">
        <v>0</v>
      </c>
      <c r="X1080">
        <v>0</v>
      </c>
      <c r="Y1080">
        <v>0</v>
      </c>
      <c r="Z1080">
        <f>'Résultat (Ln)'!F$30+'Résultat (Ln)'!F$31*Données!S1080+'Résultat (Ln)'!F$32*Données!T1080+'Résultat (Ln)'!F$33*Données!U1080+'Résultat (Ln)'!F$34*Données!V1080+'Résultat (Ln)'!F$35*Données!W1080+'Résultat (Ln)'!F$36*Données!X1080+'Résultat (Ln)'!F$37*Données!Y1080</f>
        <v>115272.50113423049</v>
      </c>
      <c r="AA1080">
        <f t="shared" si="67"/>
        <v>1727.4988657695067</v>
      </c>
    </row>
    <row r="1081" spans="1:27" x14ac:dyDescent="0.25">
      <c r="A1081">
        <v>104000</v>
      </c>
      <c r="B1081">
        <v>1</v>
      </c>
      <c r="C1081">
        <v>36</v>
      </c>
      <c r="D1081">
        <v>1</v>
      </c>
      <c r="E1081">
        <v>130000</v>
      </c>
      <c r="F1081">
        <v>2540</v>
      </c>
      <c r="G1081">
        <v>1</v>
      </c>
      <c r="H1081">
        <v>0</v>
      </c>
      <c r="I1081">
        <v>1</v>
      </c>
      <c r="J1081">
        <v>32</v>
      </c>
      <c r="K1081">
        <v>1</v>
      </c>
      <c r="L1081">
        <f>Résultats!G$32+Résultats!G$33*Données!C1081+Résultats!G$34*Données!D1081+Résultats!G$35*Données!E1081+Résultats!G$36*Données!F1081+Résultats!G$37*Données!G1081+Résultats!G$38*Données!H1081+Résultats!G$39*Données!I1081</f>
        <v>125329.96853389202</v>
      </c>
      <c r="M1081">
        <f t="shared" si="64"/>
        <v>-21329.968533892024</v>
      </c>
      <c r="Q1081">
        <v>98000</v>
      </c>
      <c r="R1081">
        <v>1</v>
      </c>
      <c r="S1081">
        <v>33</v>
      </c>
      <c r="T1081">
        <v>0</v>
      </c>
      <c r="U1081">
        <f t="shared" si="65"/>
        <v>11.891361900690473</v>
      </c>
      <c r="V1081">
        <f t="shared" si="66"/>
        <v>7.9844627322621964</v>
      </c>
      <c r="W1081">
        <v>0</v>
      </c>
      <c r="X1081">
        <v>1</v>
      </c>
      <c r="Y1081">
        <v>0</v>
      </c>
      <c r="Z1081">
        <f>'Résultat (Ln)'!F$30+'Résultat (Ln)'!F$31*Données!S1081+'Résultat (Ln)'!F$32*Données!T1081+'Résultat (Ln)'!F$33*Données!U1081+'Résultat (Ln)'!F$34*Données!V1081+'Résultat (Ln)'!F$35*Données!W1081+'Résultat (Ln)'!F$36*Données!X1081+'Résultat (Ln)'!F$37*Données!Y1081</f>
        <v>108951.64910410727</v>
      </c>
      <c r="AA1081">
        <f t="shared" si="67"/>
        <v>-10951.649104107273</v>
      </c>
    </row>
    <row r="1082" spans="1:27" x14ac:dyDescent="0.25">
      <c r="A1082">
        <v>71000</v>
      </c>
      <c r="B1082">
        <v>1</v>
      </c>
      <c r="C1082">
        <v>31</v>
      </c>
      <c r="D1082">
        <v>0</v>
      </c>
      <c r="E1082">
        <v>79000</v>
      </c>
      <c r="F1082">
        <v>2833</v>
      </c>
      <c r="G1082">
        <v>0</v>
      </c>
      <c r="H1082">
        <v>0</v>
      </c>
      <c r="I1082">
        <v>0</v>
      </c>
      <c r="J1082">
        <v>28</v>
      </c>
      <c r="K1082">
        <v>1</v>
      </c>
      <c r="L1082">
        <f>Résultats!G$32+Résultats!G$33*Données!C1082+Résultats!G$34*Données!D1082+Résultats!G$35*Données!E1082+Résultats!G$36*Données!F1082+Résultats!G$37*Données!G1082+Résultats!G$38*Données!H1082+Résultats!G$39*Données!I1082</f>
        <v>74549.447580858192</v>
      </c>
      <c r="M1082">
        <f t="shared" si="64"/>
        <v>-3549.4475808581919</v>
      </c>
      <c r="Q1082">
        <v>104000</v>
      </c>
      <c r="R1082">
        <v>1</v>
      </c>
      <c r="S1082">
        <v>36</v>
      </c>
      <c r="T1082">
        <v>1</v>
      </c>
      <c r="U1082">
        <f t="shared" si="65"/>
        <v>11.77528972943772</v>
      </c>
      <c r="V1082">
        <f t="shared" si="66"/>
        <v>7.8399193600125825</v>
      </c>
      <c r="W1082">
        <v>1</v>
      </c>
      <c r="X1082">
        <v>0</v>
      </c>
      <c r="Y1082">
        <v>1</v>
      </c>
      <c r="Z1082">
        <f>'Résultat (Ln)'!F$30+'Résultat (Ln)'!F$31*Données!S1082+'Résultat (Ln)'!F$32*Données!T1082+'Résultat (Ln)'!F$33*Données!U1082+'Résultat (Ln)'!F$34*Données!V1082+'Résultat (Ln)'!F$35*Données!W1082+'Résultat (Ln)'!F$36*Données!X1082+'Résultat (Ln)'!F$37*Données!Y1082</f>
        <v>119248.82924579455</v>
      </c>
      <c r="AA1082">
        <f t="shared" si="67"/>
        <v>-15248.82924579455</v>
      </c>
    </row>
    <row r="1083" spans="1:27" x14ac:dyDescent="0.25">
      <c r="A1083">
        <v>490000</v>
      </c>
      <c r="B1083">
        <v>1</v>
      </c>
      <c r="C1083">
        <v>27.79999923706055</v>
      </c>
      <c r="D1083">
        <v>0</v>
      </c>
      <c r="E1083">
        <v>1535000</v>
      </c>
      <c r="F1083">
        <v>63337</v>
      </c>
      <c r="G1083">
        <v>1</v>
      </c>
      <c r="H1083">
        <v>0</v>
      </c>
      <c r="I1083">
        <v>1</v>
      </c>
      <c r="J1083">
        <v>16.20000076293945</v>
      </c>
      <c r="K1083">
        <v>1</v>
      </c>
      <c r="L1083">
        <f>Résultats!G$32+Résultats!G$33*Données!C1083+Résultats!G$34*Données!D1083+Résultats!G$35*Données!E1083+Résultats!G$36*Données!F1083+Résultats!G$37*Données!G1083+Résultats!G$38*Données!H1083+Résultats!G$39*Données!I1083</f>
        <v>884943.62279435783</v>
      </c>
      <c r="M1083">
        <f t="shared" si="64"/>
        <v>-394943.62279435783</v>
      </c>
      <c r="Q1083">
        <v>71000</v>
      </c>
      <c r="R1083">
        <v>1</v>
      </c>
      <c r="S1083">
        <v>31</v>
      </c>
      <c r="T1083">
        <v>0</v>
      </c>
      <c r="U1083">
        <f t="shared" si="65"/>
        <v>11.277203131449159</v>
      </c>
      <c r="V1083">
        <f t="shared" si="66"/>
        <v>7.9490914998305167</v>
      </c>
      <c r="W1083">
        <v>0</v>
      </c>
      <c r="X1083">
        <v>0</v>
      </c>
      <c r="Y1083">
        <v>0</v>
      </c>
      <c r="Z1083">
        <f>'Résultat (Ln)'!F$30+'Résultat (Ln)'!F$31*Données!S1083+'Résultat (Ln)'!F$32*Données!T1083+'Résultat (Ln)'!F$33*Données!U1083+'Résultat (Ln)'!F$34*Données!V1083+'Résultat (Ln)'!F$35*Données!W1083+'Résultat (Ln)'!F$36*Données!X1083+'Résultat (Ln)'!F$37*Données!Y1083</f>
        <v>39857.994857741898</v>
      </c>
      <c r="AA1083">
        <f t="shared" si="67"/>
        <v>31142.005142258102</v>
      </c>
    </row>
    <row r="1084" spans="1:27" x14ac:dyDescent="0.25">
      <c r="A1084">
        <v>88000</v>
      </c>
      <c r="B1084">
        <v>1</v>
      </c>
      <c r="C1084">
        <v>39</v>
      </c>
      <c r="D1084">
        <v>0</v>
      </c>
      <c r="E1084">
        <v>110000</v>
      </c>
      <c r="F1084">
        <v>1900</v>
      </c>
      <c r="G1084">
        <v>1</v>
      </c>
      <c r="H1084">
        <v>0</v>
      </c>
      <c r="I1084">
        <v>1</v>
      </c>
      <c r="J1084">
        <v>28</v>
      </c>
      <c r="K1084">
        <v>1</v>
      </c>
      <c r="L1084">
        <f>Résultats!G$32+Résultats!G$33*Données!C1084+Résultats!G$34*Données!D1084+Résultats!G$35*Données!E1084+Résultats!G$36*Données!F1084+Résultats!G$37*Données!G1084+Résultats!G$38*Données!H1084+Résultats!G$39*Données!I1084</f>
        <v>113348.48166841856</v>
      </c>
      <c r="M1084">
        <f t="shared" si="64"/>
        <v>-25348.481668418564</v>
      </c>
      <c r="Q1084">
        <v>490000</v>
      </c>
      <c r="R1084">
        <v>1</v>
      </c>
      <c r="S1084">
        <v>27.79999923706055</v>
      </c>
      <c r="T1084">
        <v>0</v>
      </c>
      <c r="U1084">
        <f t="shared" si="65"/>
        <v>14.244040939003435</v>
      </c>
      <c r="V1084">
        <f t="shared" si="66"/>
        <v>11.056224955535519</v>
      </c>
      <c r="W1084">
        <v>1</v>
      </c>
      <c r="X1084">
        <v>0</v>
      </c>
      <c r="Y1084">
        <v>1</v>
      </c>
      <c r="Z1084">
        <f>'Résultat (Ln)'!F$30+'Résultat (Ln)'!F$31*Données!S1084+'Résultat (Ln)'!F$32*Données!T1084+'Résultat (Ln)'!F$33*Données!U1084+'Résultat (Ln)'!F$34*Données!V1084+'Résultat (Ln)'!F$35*Données!W1084+'Résultat (Ln)'!F$36*Données!X1084+'Résultat (Ln)'!F$37*Données!Y1084</f>
        <v>459722.3051273512</v>
      </c>
      <c r="AA1084">
        <f t="shared" si="67"/>
        <v>30277.694872648804</v>
      </c>
    </row>
    <row r="1085" spans="1:27" x14ac:dyDescent="0.25">
      <c r="A1085">
        <v>182000</v>
      </c>
      <c r="B1085">
        <v>1</v>
      </c>
      <c r="C1085">
        <v>19</v>
      </c>
      <c r="D1085">
        <v>0</v>
      </c>
      <c r="E1085">
        <v>282000</v>
      </c>
      <c r="F1085">
        <v>9833</v>
      </c>
      <c r="G1085">
        <v>1</v>
      </c>
      <c r="H1085">
        <v>0</v>
      </c>
      <c r="I1085">
        <v>0</v>
      </c>
      <c r="J1085">
        <v>19</v>
      </c>
      <c r="K1085">
        <v>1</v>
      </c>
      <c r="L1085">
        <f>Résultats!G$32+Résultats!G$33*Données!C1085+Résultats!G$34*Données!D1085+Résultats!G$35*Données!E1085+Résultats!G$36*Données!F1085+Résultats!G$37*Données!G1085+Résultats!G$38*Données!H1085+Résultats!G$39*Données!I1085</f>
        <v>176138.04661332665</v>
      </c>
      <c r="M1085">
        <f t="shared" si="64"/>
        <v>5861.9533866733545</v>
      </c>
      <c r="Q1085">
        <v>88000</v>
      </c>
      <c r="R1085">
        <v>1</v>
      </c>
      <c r="S1085">
        <v>39</v>
      </c>
      <c r="T1085">
        <v>0</v>
      </c>
      <c r="U1085">
        <f t="shared" si="65"/>
        <v>11.608235644774552</v>
      </c>
      <c r="V1085">
        <f t="shared" si="66"/>
        <v>7.5496091651545321</v>
      </c>
      <c r="W1085">
        <v>1</v>
      </c>
      <c r="X1085">
        <v>0</v>
      </c>
      <c r="Y1085">
        <v>1</v>
      </c>
      <c r="Z1085">
        <f>'Résultat (Ln)'!F$30+'Résultat (Ln)'!F$31*Données!S1085+'Résultat (Ln)'!F$32*Données!T1085+'Résultat (Ln)'!F$33*Données!U1085+'Résultat (Ln)'!F$34*Données!V1085+'Résultat (Ln)'!F$35*Données!W1085+'Résultat (Ln)'!F$36*Données!X1085+'Résultat (Ln)'!F$37*Données!Y1085</f>
        <v>92516.703337861822</v>
      </c>
      <c r="AA1085">
        <f t="shared" si="67"/>
        <v>-4516.7033378618216</v>
      </c>
    </row>
    <row r="1086" spans="1:27" x14ac:dyDescent="0.25">
      <c r="A1086">
        <v>114000</v>
      </c>
      <c r="B1086">
        <v>1</v>
      </c>
      <c r="C1086">
        <v>38.400001525878913</v>
      </c>
      <c r="D1086">
        <v>0</v>
      </c>
      <c r="E1086">
        <v>124000</v>
      </c>
      <c r="F1086">
        <v>1699</v>
      </c>
      <c r="G1086">
        <v>0</v>
      </c>
      <c r="H1086">
        <v>0</v>
      </c>
      <c r="I1086">
        <v>0</v>
      </c>
      <c r="J1086">
        <v>26.39999961853027</v>
      </c>
      <c r="K1086">
        <v>1</v>
      </c>
      <c r="L1086">
        <f>Résultats!G$32+Résultats!G$33*Données!C1086+Résultats!G$34*Données!D1086+Résultats!G$35*Données!E1086+Résultats!G$36*Données!F1086+Résultats!G$37*Données!G1086+Résultats!G$38*Données!H1086+Résultats!G$39*Données!I1086</f>
        <v>101865.05635656213</v>
      </c>
      <c r="M1086">
        <f t="shared" si="64"/>
        <v>12134.943643437873</v>
      </c>
      <c r="Q1086">
        <v>182000</v>
      </c>
      <c r="R1086">
        <v>1</v>
      </c>
      <c r="S1086">
        <v>19</v>
      </c>
      <c r="T1086">
        <v>0</v>
      </c>
      <c r="U1086">
        <f t="shared" si="65"/>
        <v>12.549662349920251</v>
      </c>
      <c r="V1086">
        <f t="shared" si="66"/>
        <v>9.1934993547801565</v>
      </c>
      <c r="W1086">
        <v>1</v>
      </c>
      <c r="X1086">
        <v>0</v>
      </c>
      <c r="Y1086">
        <v>0</v>
      </c>
      <c r="Z1086">
        <f>'Résultat (Ln)'!F$30+'Résultat (Ln)'!F$31*Données!S1086+'Résultat (Ln)'!F$32*Données!T1086+'Résultat (Ln)'!F$33*Données!U1086+'Résultat (Ln)'!F$34*Données!V1086+'Résultat (Ln)'!F$35*Données!W1086+'Résultat (Ln)'!F$36*Données!X1086+'Résultat (Ln)'!F$37*Données!Y1086</f>
        <v>201009.92567890213</v>
      </c>
      <c r="AA1086">
        <f t="shared" si="67"/>
        <v>-19009.925678902131</v>
      </c>
    </row>
    <row r="1087" spans="1:27" x14ac:dyDescent="0.25">
      <c r="A1087">
        <v>108000</v>
      </c>
      <c r="B1087">
        <v>1</v>
      </c>
      <c r="C1087">
        <v>17.79999923706055</v>
      </c>
      <c r="D1087">
        <v>0</v>
      </c>
      <c r="E1087">
        <v>156000</v>
      </c>
      <c r="F1087">
        <v>8706</v>
      </c>
      <c r="G1087">
        <v>1</v>
      </c>
      <c r="H1087">
        <v>0</v>
      </c>
      <c r="I1087">
        <v>1</v>
      </c>
      <c r="J1087">
        <v>12.539999961853029</v>
      </c>
      <c r="K1087">
        <v>1</v>
      </c>
      <c r="L1087">
        <f>Résultats!G$32+Résultats!G$33*Données!C1087+Résultats!G$34*Données!D1087+Résultats!G$35*Données!E1087+Résultats!G$36*Données!F1087+Résultats!G$37*Données!G1087+Résultats!G$38*Données!H1087+Résultats!G$39*Données!I1087</f>
        <v>123665.0999250313</v>
      </c>
      <c r="M1087">
        <f t="shared" si="64"/>
        <v>-15665.099925031303</v>
      </c>
      <c r="Q1087">
        <v>114000</v>
      </c>
      <c r="R1087">
        <v>1</v>
      </c>
      <c r="S1087">
        <v>38.400001525878913</v>
      </c>
      <c r="T1087">
        <v>0</v>
      </c>
      <c r="U1087">
        <f t="shared" si="65"/>
        <v>11.728036844587175</v>
      </c>
      <c r="V1087">
        <f t="shared" si="66"/>
        <v>7.4377951216719325</v>
      </c>
      <c r="W1087">
        <v>0</v>
      </c>
      <c r="X1087">
        <v>0</v>
      </c>
      <c r="Y1087">
        <v>0</v>
      </c>
      <c r="Z1087">
        <f>'Résultat (Ln)'!F$30+'Résultat (Ln)'!F$31*Données!S1087+'Résultat (Ln)'!F$32*Données!T1087+'Résultat (Ln)'!F$33*Données!U1087+'Résultat (Ln)'!F$34*Données!V1087+'Résultat (Ln)'!F$35*Données!W1087+'Résultat (Ln)'!F$36*Données!X1087+'Résultat (Ln)'!F$37*Données!Y1087</f>
        <v>82888.762799980264</v>
      </c>
      <c r="AA1087">
        <f t="shared" si="67"/>
        <v>31111.237200019736</v>
      </c>
    </row>
    <row r="1088" spans="1:27" x14ac:dyDescent="0.25">
      <c r="A1088">
        <v>70000</v>
      </c>
      <c r="B1088">
        <v>1</v>
      </c>
      <c r="C1088">
        <v>20</v>
      </c>
      <c r="D1088">
        <v>0</v>
      </c>
      <c r="E1088">
        <v>90000</v>
      </c>
      <c r="F1088">
        <v>5503</v>
      </c>
      <c r="G1088">
        <v>1</v>
      </c>
      <c r="H1088">
        <v>0</v>
      </c>
      <c r="I1088">
        <v>1</v>
      </c>
      <c r="J1088">
        <v>9</v>
      </c>
      <c r="K1088">
        <v>1</v>
      </c>
      <c r="L1088">
        <f>Résultats!G$32+Résultats!G$33*Données!C1088+Résultats!G$34*Données!D1088+Résultats!G$35*Données!E1088+Résultats!G$36*Données!F1088+Résultats!G$37*Données!G1088+Résultats!G$38*Données!H1088+Résultats!G$39*Données!I1088</f>
        <v>89166.526970547449</v>
      </c>
      <c r="M1088">
        <f t="shared" si="64"/>
        <v>-19166.526970547449</v>
      </c>
      <c r="Q1088">
        <v>108000</v>
      </c>
      <c r="R1088">
        <v>1</v>
      </c>
      <c r="S1088">
        <v>17.79999923706055</v>
      </c>
      <c r="T1088">
        <v>0</v>
      </c>
      <c r="U1088">
        <f t="shared" si="65"/>
        <v>11.957611286231675</v>
      </c>
      <c r="V1088">
        <f t="shared" si="66"/>
        <v>9.0717677221122432</v>
      </c>
      <c r="W1088">
        <v>1</v>
      </c>
      <c r="X1088">
        <v>0</v>
      </c>
      <c r="Y1088">
        <v>1</v>
      </c>
      <c r="Z1088">
        <f>'Résultat (Ln)'!F$30+'Résultat (Ln)'!F$31*Données!S1088+'Résultat (Ln)'!F$32*Données!T1088+'Résultat (Ln)'!F$33*Données!U1088+'Résultat (Ln)'!F$34*Données!V1088+'Résultat (Ln)'!F$35*Données!W1088+'Résultat (Ln)'!F$36*Données!X1088+'Résultat (Ln)'!F$37*Données!Y1088</f>
        <v>146751.09724353233</v>
      </c>
      <c r="AA1088">
        <f t="shared" si="67"/>
        <v>-38751.097243532335</v>
      </c>
    </row>
    <row r="1089" spans="1:27" x14ac:dyDescent="0.25">
      <c r="A1089">
        <v>90000</v>
      </c>
      <c r="B1089">
        <v>1</v>
      </c>
      <c r="C1089">
        <v>43</v>
      </c>
      <c r="D1089">
        <v>0</v>
      </c>
      <c r="E1089">
        <v>101000</v>
      </c>
      <c r="F1089">
        <v>2855</v>
      </c>
      <c r="G1089">
        <v>1</v>
      </c>
      <c r="H1089">
        <v>0</v>
      </c>
      <c r="I1089">
        <v>0</v>
      </c>
      <c r="J1089">
        <v>32</v>
      </c>
      <c r="K1089">
        <v>1</v>
      </c>
      <c r="L1089">
        <f>Résultats!G$32+Résultats!G$33*Données!C1089+Résultats!G$34*Données!D1089+Résultats!G$35*Données!E1089+Résultats!G$36*Données!F1089+Résultats!G$37*Données!G1089+Résultats!G$38*Données!H1089+Résultats!G$39*Données!I1089</f>
        <v>105665.71384416393</v>
      </c>
      <c r="M1089">
        <f t="shared" si="64"/>
        <v>-15665.713844163925</v>
      </c>
      <c r="Q1089">
        <v>70000</v>
      </c>
      <c r="R1089">
        <v>1</v>
      </c>
      <c r="S1089">
        <v>20</v>
      </c>
      <c r="T1089">
        <v>0</v>
      </c>
      <c r="U1089">
        <f t="shared" si="65"/>
        <v>11.407564949312402</v>
      </c>
      <c r="V1089">
        <f t="shared" si="66"/>
        <v>8.6130486770597585</v>
      </c>
      <c r="W1089">
        <v>1</v>
      </c>
      <c r="X1089">
        <v>0</v>
      </c>
      <c r="Y1089">
        <v>1</v>
      </c>
      <c r="Z1089">
        <f>'Résultat (Ln)'!F$30+'Résultat (Ln)'!F$31*Données!S1089+'Résultat (Ln)'!F$32*Données!T1089+'Résultat (Ln)'!F$33*Données!U1089+'Résultat (Ln)'!F$34*Données!V1089+'Résultat (Ln)'!F$35*Données!W1089+'Résultat (Ln)'!F$36*Données!X1089+'Résultat (Ln)'!F$37*Données!Y1089</f>
        <v>77611.920354015921</v>
      </c>
      <c r="AA1089">
        <f t="shared" si="67"/>
        <v>-7611.9203540159215</v>
      </c>
    </row>
    <row r="1090" spans="1:27" x14ac:dyDescent="0.25">
      <c r="A1090">
        <v>160000</v>
      </c>
      <c r="B1090">
        <v>1</v>
      </c>
      <c r="C1090">
        <v>30.29999923706055</v>
      </c>
      <c r="D1090">
        <v>0</v>
      </c>
      <c r="E1090">
        <v>310000</v>
      </c>
      <c r="F1090">
        <v>6650</v>
      </c>
      <c r="G1090">
        <v>1</v>
      </c>
      <c r="H1090">
        <v>0</v>
      </c>
      <c r="I1090">
        <v>1</v>
      </c>
      <c r="J1090">
        <v>23.79999923706055</v>
      </c>
      <c r="K1090">
        <v>1</v>
      </c>
      <c r="L1090">
        <f>Résultats!G$32+Résultats!G$33*Données!C1090+Résultats!G$34*Données!D1090+Résultats!G$35*Données!E1090+Résultats!G$36*Données!F1090+Résultats!G$37*Données!G1090+Résultats!G$38*Données!H1090+Résultats!G$39*Données!I1090</f>
        <v>205950.19221559248</v>
      </c>
      <c r="M1090">
        <f t="shared" si="64"/>
        <v>-45950.192215592484</v>
      </c>
      <c r="Q1090">
        <v>90000</v>
      </c>
      <c r="R1090">
        <v>1</v>
      </c>
      <c r="S1090">
        <v>43</v>
      </c>
      <c r="T1090">
        <v>0</v>
      </c>
      <c r="U1090">
        <f t="shared" si="65"/>
        <v>11.522875795823397</v>
      </c>
      <c r="V1090">
        <f t="shared" si="66"/>
        <v>7.956827122090111</v>
      </c>
      <c r="W1090">
        <v>1</v>
      </c>
      <c r="X1090">
        <v>0</v>
      </c>
      <c r="Y1090">
        <v>0</v>
      </c>
      <c r="Z1090">
        <f>'Résultat (Ln)'!F$30+'Résultat (Ln)'!F$31*Données!S1090+'Résultat (Ln)'!F$32*Données!T1090+'Résultat (Ln)'!F$33*Données!U1090+'Résultat (Ln)'!F$34*Données!V1090+'Résultat (Ln)'!F$35*Données!W1090+'Résultat (Ln)'!F$36*Données!X1090+'Résultat (Ln)'!F$37*Données!Y1090</f>
        <v>85588.489418629601</v>
      </c>
      <c r="AA1090">
        <f t="shared" si="67"/>
        <v>4411.5105813703994</v>
      </c>
    </row>
    <row r="1091" spans="1:27" x14ac:dyDescent="0.25">
      <c r="A1091">
        <v>130000</v>
      </c>
      <c r="B1091">
        <v>1</v>
      </c>
      <c r="C1091">
        <v>36</v>
      </c>
      <c r="D1091">
        <v>0</v>
      </c>
      <c r="E1091">
        <v>156000</v>
      </c>
      <c r="F1091">
        <v>2493</v>
      </c>
      <c r="G1091">
        <v>1</v>
      </c>
      <c r="H1091">
        <v>0</v>
      </c>
      <c r="I1091">
        <v>1</v>
      </c>
      <c r="J1091">
        <v>27</v>
      </c>
      <c r="K1091">
        <v>1</v>
      </c>
      <c r="L1091">
        <f>Résultats!G$32+Résultats!G$33*Données!C1091+Résultats!G$34*Données!D1091+Résultats!G$35*Données!E1091+Résultats!G$36*Données!F1091+Résultats!G$37*Données!G1091+Résultats!G$38*Données!H1091+Résultats!G$39*Données!I1091</f>
        <v>132531.42879789911</v>
      </c>
      <c r="M1091">
        <f t="shared" ref="M1091:M1154" si="68">A1091-L1091</f>
        <v>-2531.4287978991051</v>
      </c>
      <c r="Q1091">
        <v>160000</v>
      </c>
      <c r="R1091">
        <v>1</v>
      </c>
      <c r="S1091">
        <v>30.29999923706055</v>
      </c>
      <c r="T1091">
        <v>0</v>
      </c>
      <c r="U1091">
        <f t="shared" si="65"/>
        <v>12.644327576461329</v>
      </c>
      <c r="V1091">
        <f t="shared" si="66"/>
        <v>8.8023721336499001</v>
      </c>
      <c r="W1091">
        <v>1</v>
      </c>
      <c r="X1091">
        <v>0</v>
      </c>
      <c r="Y1091">
        <v>1</v>
      </c>
      <c r="Z1091">
        <f>'Résultat (Ln)'!F$30+'Résultat (Ln)'!F$31*Données!S1091+'Résultat (Ln)'!F$32*Données!T1091+'Résultat (Ln)'!F$33*Données!U1091+'Résultat (Ln)'!F$34*Données!V1091+'Résultat (Ln)'!F$35*Données!W1091+'Résultat (Ln)'!F$36*Données!X1091+'Résultat (Ln)'!F$37*Données!Y1091</f>
        <v>228084.13816391854</v>
      </c>
      <c r="AA1091">
        <f t="shared" si="67"/>
        <v>-68084.138163918542</v>
      </c>
    </row>
    <row r="1092" spans="1:27" x14ac:dyDescent="0.25">
      <c r="A1092">
        <v>160000</v>
      </c>
      <c r="B1092">
        <v>1</v>
      </c>
      <c r="C1092">
        <v>27.79999923706055</v>
      </c>
      <c r="D1092">
        <v>0</v>
      </c>
      <c r="E1092">
        <v>256000</v>
      </c>
      <c r="F1092">
        <v>5250</v>
      </c>
      <c r="G1092">
        <v>1</v>
      </c>
      <c r="H1092">
        <v>0</v>
      </c>
      <c r="I1092">
        <v>1</v>
      </c>
      <c r="J1092">
        <v>27</v>
      </c>
      <c r="K1092">
        <v>1</v>
      </c>
      <c r="L1092">
        <f>Résultats!G$32+Résultats!G$33*Données!C1092+Résultats!G$34*Données!D1092+Résultats!G$35*Données!E1092+Résultats!G$36*Données!F1092+Résultats!G$37*Données!G1092+Résultats!G$38*Données!H1092+Résultats!G$39*Données!I1092</f>
        <v>175150.13744741853</v>
      </c>
      <c r="M1092">
        <f t="shared" si="68"/>
        <v>-15150.137447418529</v>
      </c>
      <c r="Q1092">
        <v>130000</v>
      </c>
      <c r="R1092">
        <v>1</v>
      </c>
      <c r="S1092">
        <v>36</v>
      </c>
      <c r="T1092">
        <v>0</v>
      </c>
      <c r="U1092">
        <f t="shared" ref="U1092:U1155" si="69">LN(E1091)</f>
        <v>11.957611286231675</v>
      </c>
      <c r="V1092">
        <f t="shared" ref="V1092:V1155" si="70">LN(F1091)</f>
        <v>7.8212420835235577</v>
      </c>
      <c r="W1092">
        <v>1</v>
      </c>
      <c r="X1092">
        <v>0</v>
      </c>
      <c r="Y1092">
        <v>1</v>
      </c>
      <c r="Z1092">
        <f>'Résultat (Ln)'!F$30+'Résultat (Ln)'!F$31*Données!S1092+'Résultat (Ln)'!F$32*Données!T1092+'Résultat (Ln)'!F$33*Données!U1092+'Résultat (Ln)'!F$34*Données!V1092+'Résultat (Ln)'!F$35*Données!W1092+'Résultat (Ln)'!F$36*Données!X1092+'Résultat (Ln)'!F$37*Données!Y1092</f>
        <v>133920.2607663509</v>
      </c>
      <c r="AA1092">
        <f t="shared" ref="AA1092:AA1155" si="71">Q1092-Z1092</f>
        <v>-3920.260766350897</v>
      </c>
    </row>
    <row r="1093" spans="1:27" x14ac:dyDescent="0.25">
      <c r="A1093">
        <v>100000</v>
      </c>
      <c r="B1093">
        <v>1</v>
      </c>
      <c r="C1093">
        <v>36.400001525878913</v>
      </c>
      <c r="D1093">
        <v>0</v>
      </c>
      <c r="E1093">
        <v>125000</v>
      </c>
      <c r="F1093">
        <v>3016</v>
      </c>
      <c r="G1093">
        <v>1</v>
      </c>
      <c r="H1093">
        <v>0</v>
      </c>
      <c r="I1093">
        <v>0</v>
      </c>
      <c r="J1093">
        <v>24.89999961853027</v>
      </c>
      <c r="K1093">
        <v>1</v>
      </c>
      <c r="L1093">
        <f>Résultats!G$32+Résultats!G$33*Données!C1093+Résultats!G$34*Données!D1093+Résultats!G$35*Données!E1093+Résultats!G$36*Données!F1093+Résultats!G$37*Données!G1093+Résultats!G$38*Données!H1093+Résultats!G$39*Données!I1093</f>
        <v>109603.35330874835</v>
      </c>
      <c r="M1093">
        <f t="shared" si="68"/>
        <v>-9603.353308748352</v>
      </c>
      <c r="Q1093">
        <v>160000</v>
      </c>
      <c r="R1093">
        <v>1</v>
      </c>
      <c r="S1093">
        <v>27.79999923706055</v>
      </c>
      <c r="T1093">
        <v>0</v>
      </c>
      <c r="U1093">
        <f t="shared" si="69"/>
        <v>12.4529327234617</v>
      </c>
      <c r="V1093">
        <f t="shared" si="70"/>
        <v>8.5659833555856686</v>
      </c>
      <c r="W1093">
        <v>1</v>
      </c>
      <c r="X1093">
        <v>0</v>
      </c>
      <c r="Y1093">
        <v>1</v>
      </c>
      <c r="Z1093">
        <f>'Résultat (Ln)'!F$30+'Résultat (Ln)'!F$31*Données!S1093+'Résultat (Ln)'!F$32*Données!T1093+'Résultat (Ln)'!F$33*Données!U1093+'Résultat (Ln)'!F$34*Données!V1093+'Résultat (Ln)'!F$35*Données!W1093+'Résultat (Ln)'!F$36*Données!X1093+'Résultat (Ln)'!F$37*Données!Y1093</f>
        <v>197882.64535972607</v>
      </c>
      <c r="AA1093">
        <f t="shared" si="71"/>
        <v>-37882.64535972607</v>
      </c>
    </row>
    <row r="1094" spans="1:27" x14ac:dyDescent="0.25">
      <c r="A1094">
        <v>176000</v>
      </c>
      <c r="B1094">
        <v>1</v>
      </c>
      <c r="C1094">
        <v>27</v>
      </c>
      <c r="D1094">
        <v>0</v>
      </c>
      <c r="E1094">
        <v>220000</v>
      </c>
      <c r="F1094">
        <v>2500</v>
      </c>
      <c r="G1094">
        <v>1</v>
      </c>
      <c r="H1094">
        <v>0</v>
      </c>
      <c r="I1094">
        <v>0</v>
      </c>
      <c r="J1094">
        <v>25</v>
      </c>
      <c r="K1094">
        <v>1</v>
      </c>
      <c r="L1094">
        <f>Résultats!G$32+Résultats!G$33*Données!C1094+Résultats!G$34*Données!D1094+Résultats!G$35*Données!E1094+Résultats!G$36*Données!F1094+Résultats!G$37*Données!G1094+Résultats!G$38*Données!H1094+Résultats!G$39*Données!I1094</f>
        <v>142166.51223547864</v>
      </c>
      <c r="M1094">
        <f t="shared" si="68"/>
        <v>33833.487764521356</v>
      </c>
      <c r="Q1094">
        <v>100000</v>
      </c>
      <c r="R1094">
        <v>1</v>
      </c>
      <c r="S1094">
        <v>36.400001525878913</v>
      </c>
      <c r="T1094">
        <v>0</v>
      </c>
      <c r="U1094">
        <f t="shared" si="69"/>
        <v>11.736069016284437</v>
      </c>
      <c r="V1094">
        <f t="shared" si="70"/>
        <v>8.0116867291278471</v>
      </c>
      <c r="W1094">
        <v>1</v>
      </c>
      <c r="X1094">
        <v>0</v>
      </c>
      <c r="Y1094">
        <v>0</v>
      </c>
      <c r="Z1094">
        <f>'Résultat (Ln)'!F$30+'Résultat (Ln)'!F$31*Données!S1094+'Résultat (Ln)'!F$32*Données!T1094+'Résultat (Ln)'!F$33*Données!U1094+'Résultat (Ln)'!F$34*Données!V1094+'Résultat (Ln)'!F$35*Données!W1094+'Résultat (Ln)'!F$36*Données!X1094+'Résultat (Ln)'!F$37*Données!Y1094</f>
        <v>101914.97007875943</v>
      </c>
      <c r="AA1094">
        <f t="shared" si="71"/>
        <v>-1914.9700787594338</v>
      </c>
    </row>
    <row r="1095" spans="1:27" x14ac:dyDescent="0.25">
      <c r="A1095">
        <v>161000</v>
      </c>
      <c r="B1095">
        <v>1</v>
      </c>
      <c r="C1095">
        <v>35.5</v>
      </c>
      <c r="D1095">
        <v>0</v>
      </c>
      <c r="E1095">
        <v>99000</v>
      </c>
      <c r="F1095">
        <v>1830</v>
      </c>
      <c r="G1095">
        <v>0</v>
      </c>
      <c r="H1095">
        <v>0</v>
      </c>
      <c r="I1095">
        <v>0</v>
      </c>
      <c r="J1095">
        <v>34.5</v>
      </c>
      <c r="K1095">
        <v>0</v>
      </c>
      <c r="L1095">
        <f>Résultats!G$32+Résultats!G$33*Données!C1095+Résultats!G$34*Données!D1095+Résultats!G$35*Données!E1095+Résultats!G$36*Données!F1095+Résultats!G$37*Données!G1095+Résultats!G$38*Données!H1095+Résultats!G$39*Données!I1095</f>
        <v>87113.928932487295</v>
      </c>
      <c r="M1095">
        <f t="shared" si="68"/>
        <v>73886.071067512705</v>
      </c>
      <c r="Q1095">
        <v>176000</v>
      </c>
      <c r="R1095">
        <v>1</v>
      </c>
      <c r="S1095">
        <v>27</v>
      </c>
      <c r="T1095">
        <v>0</v>
      </c>
      <c r="U1095">
        <f t="shared" si="69"/>
        <v>12.301382825334498</v>
      </c>
      <c r="V1095">
        <f t="shared" si="70"/>
        <v>7.8240460108562919</v>
      </c>
      <c r="W1095">
        <v>1</v>
      </c>
      <c r="X1095">
        <v>0</v>
      </c>
      <c r="Y1095">
        <v>0</v>
      </c>
      <c r="Z1095">
        <f>'Résultat (Ln)'!F$30+'Résultat (Ln)'!F$31*Données!S1095+'Résultat (Ln)'!F$32*Données!T1095+'Résultat (Ln)'!F$33*Données!U1095+'Résultat (Ln)'!F$34*Données!V1095+'Résultat (Ln)'!F$35*Données!W1095+'Résultat (Ln)'!F$36*Données!X1095+'Résultat (Ln)'!F$37*Données!Y1095</f>
        <v>145764.38432815173</v>
      </c>
      <c r="AA1095">
        <f t="shared" si="71"/>
        <v>30235.615671848267</v>
      </c>
    </row>
    <row r="1096" spans="1:27" x14ac:dyDescent="0.25">
      <c r="A1096">
        <v>71000</v>
      </c>
      <c r="B1096">
        <v>1</v>
      </c>
      <c r="C1096">
        <v>28.79999923706055</v>
      </c>
      <c r="D1096">
        <v>0</v>
      </c>
      <c r="E1096">
        <v>116500</v>
      </c>
      <c r="F1096">
        <v>4160</v>
      </c>
      <c r="G1096">
        <v>0</v>
      </c>
      <c r="H1096">
        <v>0</v>
      </c>
      <c r="I1096">
        <v>0</v>
      </c>
      <c r="J1096">
        <v>22.280000686645511</v>
      </c>
      <c r="K1096">
        <v>0</v>
      </c>
      <c r="L1096">
        <f>Résultats!G$32+Résultats!G$33*Données!C1096+Résultats!G$34*Données!D1096+Résultats!G$35*Données!E1096+Résultats!G$36*Données!F1096+Résultats!G$37*Données!G1096+Résultats!G$38*Données!H1096+Résultats!G$39*Données!I1096</f>
        <v>92104.563280014467</v>
      </c>
      <c r="M1096">
        <f t="shared" si="68"/>
        <v>-21104.563280014467</v>
      </c>
      <c r="Q1096">
        <v>161000</v>
      </c>
      <c r="R1096">
        <v>1</v>
      </c>
      <c r="S1096">
        <v>35.5</v>
      </c>
      <c r="T1096">
        <v>0</v>
      </c>
      <c r="U1096">
        <f t="shared" si="69"/>
        <v>11.502875129116727</v>
      </c>
      <c r="V1096">
        <f t="shared" si="70"/>
        <v>7.5120712458354664</v>
      </c>
      <c r="W1096">
        <v>0</v>
      </c>
      <c r="X1096">
        <v>0</v>
      </c>
      <c r="Y1096">
        <v>0</v>
      </c>
      <c r="Z1096">
        <f>'Résultat (Ln)'!F$30+'Résultat (Ln)'!F$31*Données!S1096+'Résultat (Ln)'!F$32*Données!T1096+'Résultat (Ln)'!F$33*Données!U1096+'Résultat (Ln)'!F$34*Données!V1096+'Résultat (Ln)'!F$35*Données!W1096+'Résultat (Ln)'!F$36*Données!X1096+'Résultat (Ln)'!F$37*Données!Y1096</f>
        <v>57291.63729936193</v>
      </c>
      <c r="AA1096">
        <f t="shared" si="71"/>
        <v>103708.36270063807</v>
      </c>
    </row>
    <row r="1097" spans="1:27" x14ac:dyDescent="0.25">
      <c r="A1097">
        <v>173000</v>
      </c>
      <c r="B1097">
        <v>1</v>
      </c>
      <c r="C1097">
        <v>38</v>
      </c>
      <c r="D1097">
        <v>0</v>
      </c>
      <c r="E1097">
        <v>185000</v>
      </c>
      <c r="F1097">
        <v>2647</v>
      </c>
      <c r="G1097">
        <v>1</v>
      </c>
      <c r="H1097">
        <v>1</v>
      </c>
      <c r="I1097">
        <v>0</v>
      </c>
      <c r="J1097">
        <v>29</v>
      </c>
      <c r="K1097">
        <v>1</v>
      </c>
      <c r="L1097">
        <f>Résultats!G$32+Résultats!G$33*Données!C1097+Résultats!G$34*Données!D1097+Résultats!G$35*Données!E1097+Résultats!G$36*Données!F1097+Résultats!G$37*Données!G1097+Résultats!G$38*Données!H1097+Résultats!G$39*Données!I1097</f>
        <v>137118.10026582074</v>
      </c>
      <c r="M1097">
        <f t="shared" si="68"/>
        <v>35881.899734179256</v>
      </c>
      <c r="Q1097">
        <v>71000</v>
      </c>
      <c r="R1097">
        <v>1</v>
      </c>
      <c r="S1097">
        <v>28.79999923706055</v>
      </c>
      <c r="T1097">
        <v>0</v>
      </c>
      <c r="U1097">
        <f t="shared" si="69"/>
        <v>11.665646551987892</v>
      </c>
      <c r="V1097">
        <f t="shared" si="70"/>
        <v>8.3332703532553083</v>
      </c>
      <c r="W1097">
        <v>0</v>
      </c>
      <c r="X1097">
        <v>0</v>
      </c>
      <c r="Y1097">
        <v>0</v>
      </c>
      <c r="Z1097">
        <f>'Résultat (Ln)'!F$30+'Résultat (Ln)'!F$31*Données!S1097+'Résultat (Ln)'!F$32*Données!T1097+'Résultat (Ln)'!F$33*Données!U1097+'Résultat (Ln)'!F$34*Données!V1097+'Résultat (Ln)'!F$35*Données!W1097+'Résultat (Ln)'!F$36*Données!X1097+'Résultat (Ln)'!F$37*Données!Y1097</f>
        <v>89583.516820019751</v>
      </c>
      <c r="AA1097">
        <f t="shared" si="71"/>
        <v>-18583.516820019751</v>
      </c>
    </row>
    <row r="1098" spans="1:27" x14ac:dyDescent="0.25">
      <c r="A1098">
        <v>46000</v>
      </c>
      <c r="B1098">
        <v>1</v>
      </c>
      <c r="C1098">
        <v>35</v>
      </c>
      <c r="D1098">
        <v>0</v>
      </c>
      <c r="E1098">
        <v>61000</v>
      </c>
      <c r="F1098">
        <v>2378</v>
      </c>
      <c r="G1098">
        <v>0</v>
      </c>
      <c r="H1098">
        <v>0</v>
      </c>
      <c r="I1098">
        <v>0</v>
      </c>
      <c r="J1098">
        <v>28</v>
      </c>
      <c r="K1098">
        <v>0</v>
      </c>
      <c r="L1098">
        <f>Résultats!G$32+Résultats!G$33*Données!C1098+Résultats!G$34*Données!D1098+Résultats!G$35*Données!E1098+Résultats!G$36*Données!F1098+Résultats!G$37*Données!G1098+Résultats!G$38*Données!H1098+Résultats!G$39*Données!I1098</f>
        <v>69857.277009803074</v>
      </c>
      <c r="M1098">
        <f t="shared" si="68"/>
        <v>-23857.277009803074</v>
      </c>
      <c r="Q1098">
        <v>173000</v>
      </c>
      <c r="R1098">
        <v>1</v>
      </c>
      <c r="S1098">
        <v>38</v>
      </c>
      <c r="T1098">
        <v>0</v>
      </c>
      <c r="U1098">
        <f t="shared" si="69"/>
        <v>12.128111104060462</v>
      </c>
      <c r="V1098">
        <f t="shared" si="70"/>
        <v>7.8811822022271016</v>
      </c>
      <c r="W1098">
        <v>1</v>
      </c>
      <c r="X1098">
        <v>1</v>
      </c>
      <c r="Y1098">
        <v>0</v>
      </c>
      <c r="Z1098">
        <f>'Résultat (Ln)'!F$30+'Résultat (Ln)'!F$31*Données!S1098+'Résultat (Ln)'!F$32*Données!T1098+'Résultat (Ln)'!F$33*Données!U1098+'Résultat (Ln)'!F$34*Données!V1098+'Résultat (Ln)'!F$35*Données!W1098+'Résultat (Ln)'!F$36*Données!X1098+'Résultat (Ln)'!F$37*Données!Y1098</f>
        <v>142057.76540819166</v>
      </c>
      <c r="AA1098">
        <f t="shared" si="71"/>
        <v>30942.234591808345</v>
      </c>
    </row>
    <row r="1099" spans="1:27" x14ac:dyDescent="0.25">
      <c r="A1099">
        <v>108000</v>
      </c>
      <c r="B1099">
        <v>1</v>
      </c>
      <c r="C1099">
        <v>26</v>
      </c>
      <c r="D1099">
        <v>0</v>
      </c>
      <c r="E1099">
        <v>138000</v>
      </c>
      <c r="F1099">
        <v>3159</v>
      </c>
      <c r="G1099">
        <v>1</v>
      </c>
      <c r="H1099">
        <v>0</v>
      </c>
      <c r="I1099">
        <v>0</v>
      </c>
      <c r="J1099">
        <v>21</v>
      </c>
      <c r="K1099">
        <v>0</v>
      </c>
      <c r="L1099">
        <f>Résultats!G$32+Résultats!G$33*Données!C1099+Résultats!G$34*Données!D1099+Résultats!G$35*Données!E1099+Résultats!G$36*Données!F1099+Résultats!G$37*Données!G1099+Résultats!G$38*Données!H1099+Résultats!G$39*Données!I1099</f>
        <v>104004.67569923916</v>
      </c>
      <c r="M1099">
        <f t="shared" si="68"/>
        <v>3995.3243007608398</v>
      </c>
      <c r="Q1099">
        <v>46000</v>
      </c>
      <c r="R1099">
        <v>1</v>
      </c>
      <c r="S1099">
        <v>35</v>
      </c>
      <c r="T1099">
        <v>0</v>
      </c>
      <c r="U1099">
        <f t="shared" si="69"/>
        <v>11.018629143155449</v>
      </c>
      <c r="V1099">
        <f t="shared" si="70"/>
        <v>7.774015077250727</v>
      </c>
      <c r="W1099">
        <v>0</v>
      </c>
      <c r="X1099">
        <v>0</v>
      </c>
      <c r="Y1099">
        <v>0</v>
      </c>
      <c r="Z1099">
        <f>'Résultat (Ln)'!F$30+'Résultat (Ln)'!F$31*Données!S1099+'Résultat (Ln)'!F$32*Données!T1099+'Résultat (Ln)'!F$33*Données!U1099+'Résultat (Ln)'!F$34*Données!V1099+'Résultat (Ln)'!F$35*Données!W1099+'Résultat (Ln)'!F$36*Données!X1099+'Résultat (Ln)'!F$37*Données!Y1099</f>
        <v>12118.016520966485</v>
      </c>
      <c r="AA1099">
        <f t="shared" si="71"/>
        <v>33881.983479033515</v>
      </c>
    </row>
    <row r="1100" spans="1:27" x14ac:dyDescent="0.25">
      <c r="A1100">
        <v>78000</v>
      </c>
      <c r="B1100">
        <v>1</v>
      </c>
      <c r="C1100">
        <v>32</v>
      </c>
      <c r="D1100">
        <v>0</v>
      </c>
      <c r="E1100">
        <v>86000</v>
      </c>
      <c r="F1100">
        <v>1937</v>
      </c>
      <c r="G1100">
        <v>0</v>
      </c>
      <c r="H1100">
        <v>1</v>
      </c>
      <c r="I1100">
        <v>0</v>
      </c>
      <c r="J1100">
        <v>31</v>
      </c>
      <c r="K1100">
        <v>0</v>
      </c>
      <c r="L1100">
        <f>Résultats!G$32+Résultats!G$33*Données!C1100+Résultats!G$34*Données!D1100+Résultats!G$35*Données!E1100+Résultats!G$36*Données!F1100+Résultats!G$37*Données!G1100+Résultats!G$38*Données!H1100+Résultats!G$39*Données!I1100</f>
        <v>75605.256881789697</v>
      </c>
      <c r="M1100">
        <f t="shared" si="68"/>
        <v>2394.7431182103028</v>
      </c>
      <c r="Q1100">
        <v>108000</v>
      </c>
      <c r="R1100">
        <v>1</v>
      </c>
      <c r="S1100">
        <v>26</v>
      </c>
      <c r="T1100">
        <v>0</v>
      </c>
      <c r="U1100">
        <f t="shared" si="69"/>
        <v>11.835008964139341</v>
      </c>
      <c r="V1100">
        <f t="shared" si="70"/>
        <v>8.0580108008020854</v>
      </c>
      <c r="W1100">
        <v>1</v>
      </c>
      <c r="X1100">
        <v>0</v>
      </c>
      <c r="Y1100">
        <v>0</v>
      </c>
      <c r="Z1100">
        <f>'Résultat (Ln)'!F$30+'Résultat (Ln)'!F$31*Données!S1100+'Résultat (Ln)'!F$32*Données!T1100+'Résultat (Ln)'!F$33*Données!U1100+'Résultat (Ln)'!F$34*Données!V1100+'Résultat (Ln)'!F$35*Données!W1100+'Résultat (Ln)'!F$36*Données!X1100+'Résultat (Ln)'!F$37*Données!Y1100</f>
        <v>101110.86119977247</v>
      </c>
      <c r="AA1100">
        <f t="shared" si="71"/>
        <v>6889.1388002275344</v>
      </c>
    </row>
    <row r="1101" spans="1:27" x14ac:dyDescent="0.25">
      <c r="A1101">
        <v>158000</v>
      </c>
      <c r="B1101">
        <v>1</v>
      </c>
      <c r="C1101">
        <v>31</v>
      </c>
      <c r="D1101">
        <v>1</v>
      </c>
      <c r="E1101">
        <v>210000</v>
      </c>
      <c r="F1101">
        <v>4554</v>
      </c>
      <c r="G1101">
        <v>1</v>
      </c>
      <c r="H1101">
        <v>0</v>
      </c>
      <c r="I1101">
        <v>0</v>
      </c>
      <c r="J1101">
        <v>31</v>
      </c>
      <c r="K1101">
        <v>1</v>
      </c>
      <c r="L1101">
        <f>Résultats!G$32+Résultats!G$33*Données!C1101+Résultats!G$34*Données!D1101+Résultats!G$35*Données!E1101+Résultats!G$36*Données!F1101+Résultats!G$37*Données!G1101+Résultats!G$38*Données!H1101+Résultats!G$39*Données!I1101</f>
        <v>150920.12502977639</v>
      </c>
      <c r="M1101">
        <f t="shared" si="68"/>
        <v>7079.8749702236091</v>
      </c>
      <c r="Q1101">
        <v>78000</v>
      </c>
      <c r="R1101">
        <v>1</v>
      </c>
      <c r="S1101">
        <v>32</v>
      </c>
      <c r="T1101">
        <v>0</v>
      </c>
      <c r="U1101">
        <f t="shared" si="69"/>
        <v>11.362102575235644</v>
      </c>
      <c r="V1101">
        <f t="shared" si="70"/>
        <v>7.5688956634069955</v>
      </c>
      <c r="W1101">
        <v>0</v>
      </c>
      <c r="X1101">
        <v>1</v>
      </c>
      <c r="Y1101">
        <v>0</v>
      </c>
      <c r="Z1101">
        <f>'Résultat (Ln)'!F$30+'Résultat (Ln)'!F$31*Données!S1101+'Résultat (Ln)'!F$32*Données!T1101+'Résultat (Ln)'!F$33*Données!U1101+'Résultat (Ln)'!F$34*Données!V1101+'Résultat (Ln)'!F$35*Données!W1101+'Résultat (Ln)'!F$36*Données!X1101+'Résultat (Ln)'!F$37*Données!Y1101</f>
        <v>39340.447034236342</v>
      </c>
      <c r="AA1101">
        <f t="shared" si="71"/>
        <v>38659.552965763658</v>
      </c>
    </row>
    <row r="1102" spans="1:27" x14ac:dyDescent="0.25">
      <c r="A1102">
        <v>90000</v>
      </c>
      <c r="B1102">
        <v>1</v>
      </c>
      <c r="C1102">
        <v>31.10000038146973</v>
      </c>
      <c r="D1102">
        <v>0</v>
      </c>
      <c r="E1102">
        <v>123000</v>
      </c>
      <c r="F1102">
        <v>3750</v>
      </c>
      <c r="G1102">
        <v>0</v>
      </c>
      <c r="H1102">
        <v>0</v>
      </c>
      <c r="I1102">
        <v>0</v>
      </c>
      <c r="J1102">
        <v>31.10000038146973</v>
      </c>
      <c r="K1102">
        <v>0</v>
      </c>
      <c r="L1102">
        <f>Résultats!G$32+Résultats!G$33*Données!C1102+Résultats!G$34*Données!D1102+Résultats!G$35*Données!E1102+Résultats!G$36*Données!F1102+Résultats!G$37*Données!G1102+Résultats!G$38*Données!H1102+Résultats!G$39*Données!I1102</f>
        <v>96987.209892946325</v>
      </c>
      <c r="M1102">
        <f t="shared" si="68"/>
        <v>-6987.2098929463245</v>
      </c>
      <c r="Q1102">
        <v>158000</v>
      </c>
      <c r="R1102">
        <v>1</v>
      </c>
      <c r="S1102">
        <v>31</v>
      </c>
      <c r="T1102">
        <v>1</v>
      </c>
      <c r="U1102">
        <f t="shared" si="69"/>
        <v>12.254862809699606</v>
      </c>
      <c r="V1102">
        <f t="shared" si="70"/>
        <v>8.4237612466236858</v>
      </c>
      <c r="W1102">
        <v>1</v>
      </c>
      <c r="X1102">
        <v>0</v>
      </c>
      <c r="Y1102">
        <v>0</v>
      </c>
      <c r="Z1102">
        <f>'Résultat (Ln)'!F$30+'Résultat (Ln)'!F$31*Données!S1102+'Résultat (Ln)'!F$32*Données!T1102+'Résultat (Ln)'!F$33*Données!U1102+'Résultat (Ln)'!F$34*Données!V1102+'Résultat (Ln)'!F$35*Données!W1102+'Résultat (Ln)'!F$36*Données!X1102+'Résultat (Ln)'!F$37*Données!Y1102</f>
        <v>166834.11006935858</v>
      </c>
      <c r="AA1102">
        <f t="shared" si="71"/>
        <v>-8834.1100693585759</v>
      </c>
    </row>
    <row r="1103" spans="1:27" x14ac:dyDescent="0.25">
      <c r="A1103">
        <v>140000</v>
      </c>
      <c r="B1103">
        <v>1</v>
      </c>
      <c r="C1103">
        <v>25</v>
      </c>
      <c r="D1103">
        <v>0</v>
      </c>
      <c r="E1103">
        <v>175000</v>
      </c>
      <c r="F1103">
        <v>6862</v>
      </c>
      <c r="G1103">
        <v>1</v>
      </c>
      <c r="H1103">
        <v>1</v>
      </c>
      <c r="I1103">
        <v>0</v>
      </c>
      <c r="J1103">
        <v>22</v>
      </c>
      <c r="K1103">
        <v>1</v>
      </c>
      <c r="L1103">
        <f>Résultats!G$32+Résultats!G$33*Données!C1103+Résultats!G$34*Données!D1103+Résultats!G$35*Données!E1103+Résultats!G$36*Données!F1103+Résultats!G$37*Données!G1103+Résultats!G$38*Données!H1103+Résultats!G$39*Données!I1103</f>
        <v>125683.62639722478</v>
      </c>
      <c r="M1103">
        <f t="shared" si="68"/>
        <v>14316.373602775217</v>
      </c>
      <c r="Q1103">
        <v>90000</v>
      </c>
      <c r="R1103">
        <v>1</v>
      </c>
      <c r="S1103">
        <v>31.10000038146973</v>
      </c>
      <c r="T1103">
        <v>0</v>
      </c>
      <c r="U1103">
        <f t="shared" si="69"/>
        <v>11.719939634354555</v>
      </c>
      <c r="V1103">
        <f t="shared" si="70"/>
        <v>8.2295111189644565</v>
      </c>
      <c r="W1103">
        <v>0</v>
      </c>
      <c r="X1103">
        <v>0</v>
      </c>
      <c r="Y1103">
        <v>0</v>
      </c>
      <c r="Z1103">
        <f>'Résultat (Ln)'!F$30+'Résultat (Ln)'!F$31*Données!S1103+'Résultat (Ln)'!F$32*Données!T1103+'Résultat (Ln)'!F$33*Données!U1103+'Résultat (Ln)'!F$34*Données!V1103+'Résultat (Ln)'!F$35*Données!W1103+'Résultat (Ln)'!F$36*Données!X1103+'Résultat (Ln)'!F$37*Données!Y1103</f>
        <v>95304.180169045605</v>
      </c>
      <c r="AA1103">
        <f t="shared" si="71"/>
        <v>-5304.180169045605</v>
      </c>
    </row>
    <row r="1104" spans="1:27" x14ac:dyDescent="0.25">
      <c r="A1104">
        <v>45000</v>
      </c>
      <c r="B1104">
        <v>1</v>
      </c>
      <c r="C1104">
        <v>25.39999961853027</v>
      </c>
      <c r="D1104">
        <v>0</v>
      </c>
      <c r="E1104">
        <v>51000</v>
      </c>
      <c r="F1104">
        <v>1776</v>
      </c>
      <c r="G1104">
        <v>0</v>
      </c>
      <c r="H1104">
        <v>0</v>
      </c>
      <c r="I1104">
        <v>1</v>
      </c>
      <c r="J1104">
        <v>25.379999160766602</v>
      </c>
      <c r="K1104">
        <v>1</v>
      </c>
      <c r="L1104">
        <f>Résultats!G$32+Résultats!G$33*Données!C1104+Résultats!G$34*Données!D1104+Résultats!G$35*Données!E1104+Résultats!G$36*Données!F1104+Résultats!G$37*Données!G1104+Résultats!G$38*Données!H1104+Résultats!G$39*Données!I1104</f>
        <v>62919.417108147463</v>
      </c>
      <c r="M1104">
        <f t="shared" si="68"/>
        <v>-17919.417108147463</v>
      </c>
      <c r="Q1104">
        <v>140000</v>
      </c>
      <c r="R1104">
        <v>1</v>
      </c>
      <c r="S1104">
        <v>25</v>
      </c>
      <c r="T1104">
        <v>0</v>
      </c>
      <c r="U1104">
        <f t="shared" si="69"/>
        <v>12.072541252905651</v>
      </c>
      <c r="V1104">
        <f t="shared" si="70"/>
        <v>8.8337542234183957</v>
      </c>
      <c r="W1104">
        <v>1</v>
      </c>
      <c r="X1104">
        <v>1</v>
      </c>
      <c r="Y1104">
        <v>0</v>
      </c>
      <c r="Z1104">
        <f>'Résultat (Ln)'!F$30+'Résultat (Ln)'!F$31*Données!S1104+'Résultat (Ln)'!F$32*Données!T1104+'Résultat (Ln)'!F$33*Données!U1104+'Résultat (Ln)'!F$34*Données!V1104+'Résultat (Ln)'!F$35*Données!W1104+'Résultat (Ln)'!F$36*Données!X1104+'Résultat (Ln)'!F$37*Données!Y1104</f>
        <v>146930.02874825938</v>
      </c>
      <c r="AA1104">
        <f t="shared" si="71"/>
        <v>-6930.0287482593849</v>
      </c>
    </row>
    <row r="1105" spans="1:27" x14ac:dyDescent="0.25">
      <c r="A1105">
        <v>123000</v>
      </c>
      <c r="B1105">
        <v>1</v>
      </c>
      <c r="C1105">
        <v>34</v>
      </c>
      <c r="D1105">
        <v>0</v>
      </c>
      <c r="E1105">
        <v>137000</v>
      </c>
      <c r="F1105">
        <v>2613</v>
      </c>
      <c r="G1105">
        <v>1</v>
      </c>
      <c r="H1105">
        <v>0</v>
      </c>
      <c r="I1105">
        <v>0</v>
      </c>
      <c r="J1105">
        <v>26</v>
      </c>
      <c r="K1105">
        <v>1</v>
      </c>
      <c r="L1105">
        <f>Résultats!G$32+Résultats!G$33*Données!C1105+Résultats!G$34*Données!D1105+Résultats!G$35*Données!E1105+Résultats!G$36*Données!F1105+Résultats!G$37*Données!G1105+Résultats!G$38*Données!H1105+Résultats!G$39*Données!I1105</f>
        <v>111669.05356180572</v>
      </c>
      <c r="M1105">
        <f t="shared" si="68"/>
        <v>11330.946438194282</v>
      </c>
      <c r="Q1105">
        <v>45000</v>
      </c>
      <c r="R1105">
        <v>1</v>
      </c>
      <c r="S1105">
        <v>25.39999961853027</v>
      </c>
      <c r="T1105">
        <v>0</v>
      </c>
      <c r="U1105">
        <f t="shared" si="69"/>
        <v>10.839580911706463</v>
      </c>
      <c r="V1105">
        <f t="shared" si="70"/>
        <v>7.4821189235521155</v>
      </c>
      <c r="W1105">
        <v>0</v>
      </c>
      <c r="X1105">
        <v>0</v>
      </c>
      <c r="Y1105">
        <v>1</v>
      </c>
      <c r="Z1105">
        <f>'Résultat (Ln)'!F$30+'Résultat (Ln)'!F$31*Données!S1105+'Résultat (Ln)'!F$32*Données!T1105+'Résultat (Ln)'!F$33*Données!U1105+'Résultat (Ln)'!F$34*Données!V1105+'Résultat (Ln)'!F$35*Données!W1105+'Résultat (Ln)'!F$36*Données!X1105+'Résultat (Ln)'!F$37*Données!Y1105</f>
        <v>-12906.28198282962</v>
      </c>
      <c r="AA1105">
        <f t="shared" si="71"/>
        <v>57906.28198282962</v>
      </c>
    </row>
    <row r="1106" spans="1:27" x14ac:dyDescent="0.25">
      <c r="A1106">
        <v>187000</v>
      </c>
      <c r="B1106">
        <v>1</v>
      </c>
      <c r="C1106">
        <v>34.799999237060547</v>
      </c>
      <c r="D1106">
        <v>0</v>
      </c>
      <c r="E1106">
        <v>235000</v>
      </c>
      <c r="F1106">
        <v>7500</v>
      </c>
      <c r="G1106">
        <v>1</v>
      </c>
      <c r="H1106">
        <v>0</v>
      </c>
      <c r="I1106">
        <v>0</v>
      </c>
      <c r="J1106">
        <v>16.39999961853027</v>
      </c>
      <c r="K1106">
        <v>1</v>
      </c>
      <c r="L1106">
        <f>Résultats!G$32+Résultats!G$33*Données!C1106+Résultats!G$34*Données!D1106+Résultats!G$35*Données!E1106+Résultats!G$36*Données!F1106+Résultats!G$37*Données!G1106+Résultats!G$38*Données!H1106+Résultats!G$39*Données!I1106</f>
        <v>167819.37617509943</v>
      </c>
      <c r="M1106">
        <f t="shared" si="68"/>
        <v>19180.623824900569</v>
      </c>
      <c r="Q1106">
        <v>123000</v>
      </c>
      <c r="R1106">
        <v>1</v>
      </c>
      <c r="S1106">
        <v>34</v>
      </c>
      <c r="T1106">
        <v>0</v>
      </c>
      <c r="U1106">
        <f t="shared" si="69"/>
        <v>11.827736204810263</v>
      </c>
      <c r="V1106">
        <f t="shared" si="70"/>
        <v>7.8682542655206129</v>
      </c>
      <c r="W1106">
        <v>1</v>
      </c>
      <c r="X1106">
        <v>0</v>
      </c>
      <c r="Y1106">
        <v>0</v>
      </c>
      <c r="Z1106">
        <f>'Résultat (Ln)'!F$30+'Résultat (Ln)'!F$31*Données!S1106+'Résultat (Ln)'!F$32*Données!T1106+'Résultat (Ln)'!F$33*Données!U1106+'Résultat (Ln)'!F$34*Données!V1106+'Résultat (Ln)'!F$35*Données!W1106+'Résultat (Ln)'!F$36*Données!X1106+'Résultat (Ln)'!F$37*Données!Y1106</f>
        <v>104785.70891357992</v>
      </c>
      <c r="AA1106">
        <f t="shared" si="71"/>
        <v>18214.291086420082</v>
      </c>
    </row>
    <row r="1107" spans="1:27" x14ac:dyDescent="0.25">
      <c r="A1107">
        <v>187000</v>
      </c>
      <c r="B1107">
        <v>1</v>
      </c>
      <c r="C1107">
        <v>37</v>
      </c>
      <c r="D1107">
        <v>0</v>
      </c>
      <c r="E1107">
        <v>288000</v>
      </c>
      <c r="F1107">
        <v>4960</v>
      </c>
      <c r="G1107">
        <v>1</v>
      </c>
      <c r="H1107">
        <v>0</v>
      </c>
      <c r="I1107">
        <v>0</v>
      </c>
      <c r="J1107">
        <v>31</v>
      </c>
      <c r="K1107">
        <v>1</v>
      </c>
      <c r="L1107">
        <f>Résultats!G$32+Résultats!G$33*Données!C1107+Résultats!G$34*Données!D1107+Résultats!G$35*Données!E1107+Résultats!G$36*Données!F1107+Résultats!G$37*Données!G1107+Résultats!G$38*Données!H1107+Résultats!G$39*Données!I1107</f>
        <v>190172.99521615345</v>
      </c>
      <c r="M1107">
        <f t="shared" si="68"/>
        <v>-3172.9952161534457</v>
      </c>
      <c r="Q1107">
        <v>187000</v>
      </c>
      <c r="R1107">
        <v>1</v>
      </c>
      <c r="S1107">
        <v>34.799999237060547</v>
      </c>
      <c r="T1107">
        <v>0</v>
      </c>
      <c r="U1107">
        <f t="shared" si="69"/>
        <v>12.367340793126296</v>
      </c>
      <c r="V1107">
        <f t="shared" si="70"/>
        <v>8.9226582995244019</v>
      </c>
      <c r="W1107">
        <v>1</v>
      </c>
      <c r="X1107">
        <v>0</v>
      </c>
      <c r="Y1107">
        <v>0</v>
      </c>
      <c r="Z1107">
        <f>'Résultat (Ln)'!F$30+'Résultat (Ln)'!F$31*Données!S1107+'Résultat (Ln)'!F$32*Données!T1107+'Résultat (Ln)'!F$33*Données!U1107+'Résultat (Ln)'!F$34*Données!V1107+'Résultat (Ln)'!F$35*Données!W1107+'Résultat (Ln)'!F$36*Données!X1107+'Résultat (Ln)'!F$37*Données!Y1107</f>
        <v>193178.15737935845</v>
      </c>
      <c r="AA1107">
        <f t="shared" si="71"/>
        <v>-6178.1573793584539</v>
      </c>
    </row>
    <row r="1108" spans="1:27" x14ac:dyDescent="0.25">
      <c r="A1108">
        <v>74000</v>
      </c>
      <c r="B1108">
        <v>1</v>
      </c>
      <c r="C1108">
        <v>34.400001525878913</v>
      </c>
      <c r="D1108">
        <v>0</v>
      </c>
      <c r="E1108">
        <v>78000</v>
      </c>
      <c r="F1108">
        <v>3173</v>
      </c>
      <c r="G1108">
        <v>1</v>
      </c>
      <c r="H1108">
        <v>0</v>
      </c>
      <c r="I1108">
        <v>0</v>
      </c>
      <c r="J1108">
        <v>25.10000038146973</v>
      </c>
      <c r="K1108">
        <v>1</v>
      </c>
      <c r="L1108">
        <f>Résultats!G$32+Résultats!G$33*Données!C1108+Résultats!G$34*Données!D1108+Résultats!G$35*Données!E1108+Résultats!G$36*Données!F1108+Résultats!G$37*Données!G1108+Résultats!G$38*Données!H1108+Résultats!G$39*Données!I1108</f>
        <v>85663.441539323394</v>
      </c>
      <c r="M1108">
        <f t="shared" si="68"/>
        <v>-11663.441539323394</v>
      </c>
      <c r="Q1108">
        <v>187000</v>
      </c>
      <c r="R1108">
        <v>1</v>
      </c>
      <c r="S1108">
        <v>37</v>
      </c>
      <c r="T1108">
        <v>0</v>
      </c>
      <c r="U1108">
        <f t="shared" si="69"/>
        <v>12.570715759118084</v>
      </c>
      <c r="V1108">
        <f t="shared" si="70"/>
        <v>8.5091610197189738</v>
      </c>
      <c r="W1108">
        <v>1</v>
      </c>
      <c r="X1108">
        <v>0</v>
      </c>
      <c r="Y1108">
        <v>0</v>
      </c>
      <c r="Z1108">
        <f>'Résultat (Ln)'!F$30+'Résultat (Ln)'!F$31*Données!S1108+'Résultat (Ln)'!F$32*Données!T1108+'Résultat (Ln)'!F$33*Données!U1108+'Résultat (Ln)'!F$34*Données!V1108+'Résultat (Ln)'!F$35*Données!W1108+'Résultat (Ln)'!F$36*Données!X1108+'Résultat (Ln)'!F$37*Données!Y1108</f>
        <v>206070.68404633636</v>
      </c>
      <c r="AA1108">
        <f t="shared" si="71"/>
        <v>-19070.684046336362</v>
      </c>
    </row>
    <row r="1109" spans="1:27" x14ac:dyDescent="0.25">
      <c r="A1109">
        <v>177000</v>
      </c>
      <c r="B1109">
        <v>1</v>
      </c>
      <c r="C1109">
        <v>27</v>
      </c>
      <c r="D1109">
        <v>0</v>
      </c>
      <c r="E1109">
        <v>197000</v>
      </c>
      <c r="F1109">
        <v>2438</v>
      </c>
      <c r="G1109">
        <v>0</v>
      </c>
      <c r="H1109">
        <v>0</v>
      </c>
      <c r="I1109">
        <v>1</v>
      </c>
      <c r="J1109">
        <v>18</v>
      </c>
      <c r="K1109">
        <v>1</v>
      </c>
      <c r="L1109">
        <f>Résultats!G$32+Résultats!G$33*Données!C1109+Résultats!G$34*Données!D1109+Résultats!G$35*Données!E1109+Résultats!G$36*Données!F1109+Résultats!G$37*Données!G1109+Résultats!G$38*Données!H1109+Résultats!G$39*Données!I1109</f>
        <v>134215.28261525166</v>
      </c>
      <c r="M1109">
        <f t="shared" si="68"/>
        <v>42784.717384748335</v>
      </c>
      <c r="Q1109">
        <v>74000</v>
      </c>
      <c r="R1109">
        <v>1</v>
      </c>
      <c r="S1109">
        <v>34.400001525878913</v>
      </c>
      <c r="T1109">
        <v>0</v>
      </c>
      <c r="U1109">
        <f t="shared" si="69"/>
        <v>11.264464105671729</v>
      </c>
      <c r="V1109">
        <f t="shared" si="70"/>
        <v>8.0624327915831948</v>
      </c>
      <c r="W1109">
        <v>1</v>
      </c>
      <c r="X1109">
        <v>0</v>
      </c>
      <c r="Y1109">
        <v>0</v>
      </c>
      <c r="Z1109">
        <f>'Résultat (Ln)'!F$30+'Résultat (Ln)'!F$31*Données!S1109+'Résultat (Ln)'!F$32*Données!T1109+'Résultat (Ln)'!F$33*Données!U1109+'Résultat (Ln)'!F$34*Données!V1109+'Résultat (Ln)'!F$35*Données!W1109+'Résultat (Ln)'!F$36*Données!X1109+'Résultat (Ln)'!F$37*Données!Y1109</f>
        <v>50340.146192359876</v>
      </c>
      <c r="AA1109">
        <f t="shared" si="71"/>
        <v>23659.853807640124</v>
      </c>
    </row>
    <row r="1110" spans="1:27" x14ac:dyDescent="0.25">
      <c r="A1110">
        <v>125000</v>
      </c>
      <c r="B1110">
        <v>1</v>
      </c>
      <c r="C1110">
        <v>31.29999923706055</v>
      </c>
      <c r="D1110">
        <v>0</v>
      </c>
      <c r="E1110">
        <v>226000</v>
      </c>
      <c r="F1110">
        <v>2583</v>
      </c>
      <c r="G1110">
        <v>1</v>
      </c>
      <c r="H1110">
        <v>0</v>
      </c>
      <c r="I1110">
        <v>0</v>
      </c>
      <c r="J1110">
        <v>28.79999923706055</v>
      </c>
      <c r="K1110">
        <v>1</v>
      </c>
      <c r="L1110">
        <f>Résultats!G$32+Résultats!G$33*Données!C1110+Résultats!G$34*Données!D1110+Résultats!G$35*Données!E1110+Résultats!G$36*Données!F1110+Résultats!G$37*Données!G1110+Résultats!G$38*Données!H1110+Résultats!G$39*Données!I1110</f>
        <v>150068.34995271239</v>
      </c>
      <c r="M1110">
        <f t="shared" si="68"/>
        <v>-25068.349952712393</v>
      </c>
      <c r="Q1110">
        <v>177000</v>
      </c>
      <c r="R1110">
        <v>1</v>
      </c>
      <c r="S1110">
        <v>27</v>
      </c>
      <c r="T1110">
        <v>0</v>
      </c>
      <c r="U1110">
        <f t="shared" si="69"/>
        <v>12.190959007720126</v>
      </c>
      <c r="V1110">
        <f t="shared" si="70"/>
        <v>7.7989333100412166</v>
      </c>
      <c r="W1110">
        <v>0</v>
      </c>
      <c r="X1110">
        <v>0</v>
      </c>
      <c r="Y1110">
        <v>1</v>
      </c>
      <c r="Z1110">
        <f>'Résultat (Ln)'!F$30+'Résultat (Ln)'!F$31*Données!S1110+'Résultat (Ln)'!F$32*Données!T1110+'Résultat (Ln)'!F$33*Données!U1110+'Résultat (Ln)'!F$34*Données!V1110+'Résultat (Ln)'!F$35*Données!W1110+'Résultat (Ln)'!F$36*Données!X1110+'Résultat (Ln)'!F$37*Données!Y1110</f>
        <v>142796.03510720286</v>
      </c>
      <c r="AA1110">
        <f t="shared" si="71"/>
        <v>34203.964892797143</v>
      </c>
    </row>
    <row r="1111" spans="1:27" x14ac:dyDescent="0.25">
      <c r="A1111">
        <v>160000</v>
      </c>
      <c r="B1111">
        <v>1</v>
      </c>
      <c r="C1111">
        <v>35.900001525878913</v>
      </c>
      <c r="D1111">
        <v>0</v>
      </c>
      <c r="E1111">
        <v>188000</v>
      </c>
      <c r="F1111">
        <v>2499</v>
      </c>
      <c r="G1111">
        <v>1</v>
      </c>
      <c r="H1111">
        <v>0</v>
      </c>
      <c r="I1111">
        <v>0</v>
      </c>
      <c r="J1111">
        <v>34.200000762939453</v>
      </c>
      <c r="K1111">
        <v>1</v>
      </c>
      <c r="L1111">
        <f>Résultats!G$32+Résultats!G$33*Données!C1111+Résultats!G$34*Données!D1111+Résultats!G$35*Données!E1111+Résultats!G$36*Données!F1111+Résultats!G$37*Données!G1111+Résultats!G$38*Données!H1111+Résultats!G$39*Données!I1111</f>
        <v>137445.23797746876</v>
      </c>
      <c r="M1111">
        <f t="shared" si="68"/>
        <v>22554.762022531242</v>
      </c>
      <c r="Q1111">
        <v>125000</v>
      </c>
      <c r="R1111">
        <v>1</v>
      </c>
      <c r="S1111">
        <v>31.29999923706055</v>
      </c>
      <c r="T1111">
        <v>0</v>
      </c>
      <c r="U1111">
        <f t="shared" si="69"/>
        <v>12.328290278254423</v>
      </c>
      <c r="V1111">
        <f t="shared" si="70"/>
        <v>7.8567067930958405</v>
      </c>
      <c r="W1111">
        <v>1</v>
      </c>
      <c r="X1111">
        <v>0</v>
      </c>
      <c r="Y1111">
        <v>0</v>
      </c>
      <c r="Z1111">
        <f>'Résultat (Ln)'!F$30+'Résultat (Ln)'!F$31*Données!S1111+'Résultat (Ln)'!F$32*Données!T1111+'Résultat (Ln)'!F$33*Données!U1111+'Résultat (Ln)'!F$34*Données!V1111+'Résultat (Ln)'!F$35*Données!W1111+'Résultat (Ln)'!F$36*Données!X1111+'Résultat (Ln)'!F$37*Données!Y1111</f>
        <v>154819.51675450741</v>
      </c>
      <c r="AA1111">
        <f t="shared" si="71"/>
        <v>-29819.516754507407</v>
      </c>
    </row>
    <row r="1112" spans="1:27" x14ac:dyDescent="0.25">
      <c r="A1112">
        <v>152000</v>
      </c>
      <c r="B1112">
        <v>1</v>
      </c>
      <c r="C1112">
        <v>32</v>
      </c>
      <c r="D1112">
        <v>0</v>
      </c>
      <c r="E1112">
        <v>160000</v>
      </c>
      <c r="F1112">
        <v>3523</v>
      </c>
      <c r="G1112">
        <v>1</v>
      </c>
      <c r="H1112">
        <v>0</v>
      </c>
      <c r="I1112">
        <v>0</v>
      </c>
      <c r="J1112">
        <v>21</v>
      </c>
      <c r="K1112">
        <v>1</v>
      </c>
      <c r="L1112">
        <f>Résultats!G$32+Résultats!G$33*Données!C1112+Résultats!G$34*Données!D1112+Résultats!G$35*Données!E1112+Résultats!G$36*Données!F1112+Résultats!G$37*Données!G1112+Résultats!G$38*Données!H1112+Résultats!G$39*Données!I1112</f>
        <v>121875.02448587831</v>
      </c>
      <c r="M1112">
        <f t="shared" si="68"/>
        <v>30124.975514121688</v>
      </c>
      <c r="Q1112">
        <v>160000</v>
      </c>
      <c r="R1112">
        <v>1</v>
      </c>
      <c r="S1112">
        <v>35.900001525878913</v>
      </c>
      <c r="T1112">
        <v>0</v>
      </c>
      <c r="U1112">
        <f t="shared" si="69"/>
        <v>12.144197241812087</v>
      </c>
      <c r="V1112">
        <f t="shared" si="70"/>
        <v>7.8236459308349522</v>
      </c>
      <c r="W1112">
        <v>1</v>
      </c>
      <c r="X1112">
        <v>0</v>
      </c>
      <c r="Y1112">
        <v>0</v>
      </c>
      <c r="Z1112">
        <f>'Résultat (Ln)'!F$30+'Résultat (Ln)'!F$31*Données!S1112+'Résultat (Ln)'!F$32*Données!T1112+'Résultat (Ln)'!F$33*Données!U1112+'Résultat (Ln)'!F$34*Données!V1112+'Résultat (Ln)'!F$35*Données!W1112+'Résultat (Ln)'!F$36*Données!X1112+'Résultat (Ln)'!F$37*Données!Y1112</f>
        <v>139779.73260611636</v>
      </c>
      <c r="AA1112">
        <f t="shared" si="71"/>
        <v>20220.267393883638</v>
      </c>
    </row>
    <row r="1113" spans="1:27" x14ac:dyDescent="0.25">
      <c r="A1113">
        <v>126000</v>
      </c>
      <c r="B1113">
        <v>1</v>
      </c>
      <c r="C1113">
        <v>34.700000762939453</v>
      </c>
      <c r="D1113">
        <v>0</v>
      </c>
      <c r="E1113">
        <v>241000</v>
      </c>
      <c r="F1113">
        <v>3083</v>
      </c>
      <c r="G1113">
        <v>1</v>
      </c>
      <c r="H1113">
        <v>0</v>
      </c>
      <c r="I1113">
        <v>0</v>
      </c>
      <c r="J1113">
        <v>28.89999961853027</v>
      </c>
      <c r="K1113">
        <v>1</v>
      </c>
      <c r="L1113">
        <f>Résultats!G$32+Résultats!G$33*Données!C1113+Résultats!G$34*Données!D1113+Résultats!G$35*Données!E1113+Résultats!G$36*Données!F1113+Résultats!G$37*Données!G1113+Résultats!G$38*Données!H1113+Résultats!G$39*Données!I1113</f>
        <v>161947.0237074118</v>
      </c>
      <c r="M1113">
        <f t="shared" si="68"/>
        <v>-35947.023707411805</v>
      </c>
      <c r="Q1113">
        <v>152000</v>
      </c>
      <c r="R1113">
        <v>1</v>
      </c>
      <c r="S1113">
        <v>32</v>
      </c>
      <c r="T1113">
        <v>0</v>
      </c>
      <c r="U1113">
        <f t="shared" si="69"/>
        <v>11.982929094215963</v>
      </c>
      <c r="V1113">
        <f t="shared" si="70"/>
        <v>8.1670681783412373</v>
      </c>
      <c r="W1113">
        <v>1</v>
      </c>
      <c r="X1113">
        <v>0</v>
      </c>
      <c r="Y1113">
        <v>0</v>
      </c>
      <c r="Z1113">
        <f>'Résultat (Ln)'!F$30+'Résultat (Ln)'!F$31*Données!S1113+'Résultat (Ln)'!F$32*Données!T1113+'Résultat (Ln)'!F$33*Données!U1113+'Résultat (Ln)'!F$34*Données!V1113+'Résultat (Ln)'!F$35*Données!W1113+'Résultat (Ln)'!F$36*Données!X1113+'Résultat (Ln)'!F$37*Données!Y1113</f>
        <v>127358.08976329332</v>
      </c>
      <c r="AA1113">
        <f t="shared" si="71"/>
        <v>24641.910236706681</v>
      </c>
    </row>
    <row r="1114" spans="1:27" x14ac:dyDescent="0.25">
      <c r="A1114">
        <v>280000</v>
      </c>
      <c r="B1114">
        <v>1</v>
      </c>
      <c r="C1114">
        <v>25</v>
      </c>
      <c r="D1114">
        <v>0</v>
      </c>
      <c r="E1114">
        <v>350000</v>
      </c>
      <c r="F1114">
        <v>13916</v>
      </c>
      <c r="G1114">
        <v>1</v>
      </c>
      <c r="H1114">
        <v>0</v>
      </c>
      <c r="I1114">
        <v>0</v>
      </c>
      <c r="J1114">
        <v>22</v>
      </c>
      <c r="K1114">
        <v>1</v>
      </c>
      <c r="L1114">
        <f>Résultats!G$32+Résultats!G$33*Données!C1114+Résultats!G$34*Données!D1114+Résultats!G$35*Données!E1114+Résultats!G$36*Données!F1114+Résultats!G$37*Données!G1114+Résultats!G$38*Données!H1114+Résultats!G$39*Données!I1114</f>
        <v>222694.87697215221</v>
      </c>
      <c r="M1114">
        <f t="shared" si="68"/>
        <v>57305.123027847789</v>
      </c>
      <c r="Q1114">
        <v>126000</v>
      </c>
      <c r="R1114">
        <v>1</v>
      </c>
      <c r="S1114">
        <v>34.700000762939453</v>
      </c>
      <c r="T1114">
        <v>0</v>
      </c>
      <c r="U1114">
        <f t="shared" si="69"/>
        <v>12.392552212472792</v>
      </c>
      <c r="V1114">
        <f t="shared" si="70"/>
        <v>8.0336584278861505</v>
      </c>
      <c r="W1114">
        <v>1</v>
      </c>
      <c r="X1114">
        <v>0</v>
      </c>
      <c r="Y1114">
        <v>0</v>
      </c>
      <c r="Z1114">
        <f>'Résultat (Ln)'!F$30+'Résultat (Ln)'!F$31*Données!S1114+'Résultat (Ln)'!F$32*Données!T1114+'Résultat (Ln)'!F$33*Données!U1114+'Résultat (Ln)'!F$34*Données!V1114+'Résultat (Ln)'!F$35*Données!W1114+'Résultat (Ln)'!F$36*Données!X1114+'Résultat (Ln)'!F$37*Données!Y1114</f>
        <v>170825.80125077371</v>
      </c>
      <c r="AA1114">
        <f t="shared" si="71"/>
        <v>-44825.801250773715</v>
      </c>
    </row>
    <row r="1115" spans="1:27" x14ac:dyDescent="0.25">
      <c r="A1115">
        <v>88000</v>
      </c>
      <c r="B1115">
        <v>1</v>
      </c>
      <c r="C1115">
        <v>22</v>
      </c>
      <c r="D1115">
        <v>0</v>
      </c>
      <c r="E1115">
        <v>109900.00152587891</v>
      </c>
      <c r="F1115">
        <v>10000</v>
      </c>
      <c r="G1115">
        <v>0</v>
      </c>
      <c r="H1115">
        <v>0</v>
      </c>
      <c r="I1115">
        <v>0</v>
      </c>
      <c r="J1115">
        <v>9.0100002288818359</v>
      </c>
      <c r="K1115">
        <v>1</v>
      </c>
      <c r="L1115">
        <f>Résultats!G$32+Résultats!G$33*Données!C1115+Résultats!G$34*Données!D1115+Résultats!G$35*Données!E1115+Résultats!G$36*Données!F1115+Résultats!G$37*Données!G1115+Résultats!G$38*Données!H1115+Résultats!G$39*Données!I1115</f>
        <v>92528.392933668656</v>
      </c>
      <c r="M1115">
        <f t="shared" si="68"/>
        <v>-4528.392933668656</v>
      </c>
      <c r="Q1115">
        <v>280000</v>
      </c>
      <c r="R1115">
        <v>1</v>
      </c>
      <c r="S1115">
        <v>25</v>
      </c>
      <c r="T1115">
        <v>0</v>
      </c>
      <c r="U1115">
        <f t="shared" si="69"/>
        <v>12.765688433465597</v>
      </c>
      <c r="V1115">
        <f t="shared" si="70"/>
        <v>9.5407945362718323</v>
      </c>
      <c r="W1115">
        <v>1</v>
      </c>
      <c r="X1115">
        <v>0</v>
      </c>
      <c r="Y1115">
        <v>0</v>
      </c>
      <c r="Z1115">
        <f>'Résultat (Ln)'!F$30+'Résultat (Ln)'!F$31*Données!S1115+'Résultat (Ln)'!F$32*Données!T1115+'Résultat (Ln)'!F$33*Données!U1115+'Résultat (Ln)'!F$34*Données!V1115+'Résultat (Ln)'!F$35*Données!W1115+'Résultat (Ln)'!F$36*Données!X1115+'Résultat (Ln)'!F$37*Données!Y1115</f>
        <v>241239.37860537836</v>
      </c>
      <c r="AA1115">
        <f t="shared" si="71"/>
        <v>38760.621394621645</v>
      </c>
    </row>
    <row r="1116" spans="1:27" x14ac:dyDescent="0.25">
      <c r="A1116">
        <v>121000</v>
      </c>
      <c r="B1116">
        <v>1</v>
      </c>
      <c r="C1116">
        <v>38</v>
      </c>
      <c r="D1116">
        <v>0</v>
      </c>
      <c r="E1116">
        <v>134000</v>
      </c>
      <c r="F1116">
        <v>4330</v>
      </c>
      <c r="G1116">
        <v>1</v>
      </c>
      <c r="H1116">
        <v>0</v>
      </c>
      <c r="I1116">
        <v>0</v>
      </c>
      <c r="J1116">
        <v>27</v>
      </c>
      <c r="K1116">
        <v>1</v>
      </c>
      <c r="L1116">
        <f>Résultats!G$32+Résultats!G$33*Données!C1116+Résultats!G$34*Données!D1116+Résultats!G$35*Données!E1116+Résultats!G$36*Données!F1116+Résultats!G$37*Données!G1116+Résultats!G$38*Données!H1116+Résultats!G$39*Données!I1116</f>
        <v>118190.05617926153</v>
      </c>
      <c r="M1116">
        <f t="shared" si="68"/>
        <v>2809.9438207384665</v>
      </c>
      <c r="Q1116">
        <v>88000</v>
      </c>
      <c r="R1116">
        <v>1</v>
      </c>
      <c r="S1116">
        <v>22</v>
      </c>
      <c r="T1116">
        <v>0</v>
      </c>
      <c r="U1116">
        <f t="shared" si="69"/>
        <v>11.607326154275961</v>
      </c>
      <c r="V1116">
        <f t="shared" si="70"/>
        <v>9.2103403719761836</v>
      </c>
      <c r="W1116">
        <v>0</v>
      </c>
      <c r="X1116">
        <v>0</v>
      </c>
      <c r="Y1116">
        <v>0</v>
      </c>
      <c r="Z1116">
        <f>'Résultat (Ln)'!F$30+'Résultat (Ln)'!F$31*Données!S1116+'Résultat (Ln)'!F$32*Données!T1116+'Résultat (Ln)'!F$33*Données!U1116+'Résultat (Ln)'!F$34*Données!V1116+'Résultat (Ln)'!F$35*Données!W1116+'Résultat (Ln)'!F$36*Données!X1116+'Résultat (Ln)'!F$37*Données!Y1116</f>
        <v>99620.075183692301</v>
      </c>
      <c r="AA1116">
        <f t="shared" si="71"/>
        <v>-11620.075183692301</v>
      </c>
    </row>
    <row r="1117" spans="1:27" x14ac:dyDescent="0.25">
      <c r="A1117">
        <v>240000</v>
      </c>
      <c r="B1117">
        <v>1</v>
      </c>
      <c r="C1117">
        <v>35.900001525878913</v>
      </c>
      <c r="D1117">
        <v>0</v>
      </c>
      <c r="E1117">
        <v>300000</v>
      </c>
      <c r="F1117">
        <v>5434</v>
      </c>
      <c r="G1117">
        <v>1</v>
      </c>
      <c r="H1117">
        <v>0</v>
      </c>
      <c r="I1117">
        <v>1</v>
      </c>
      <c r="J1117">
        <v>28</v>
      </c>
      <c r="K1117">
        <v>1</v>
      </c>
      <c r="L1117">
        <f>Résultats!G$32+Résultats!G$33*Données!C1117+Résultats!G$34*Données!D1117+Résultats!G$35*Données!E1117+Résultats!G$36*Données!F1117+Résultats!G$37*Données!G1117+Résultats!G$38*Données!H1117+Résultats!G$39*Données!I1117</f>
        <v>205356.86684426438</v>
      </c>
      <c r="M1117">
        <f t="shared" si="68"/>
        <v>34643.133155735617</v>
      </c>
      <c r="Q1117">
        <v>121000</v>
      </c>
      <c r="R1117">
        <v>1</v>
      </c>
      <c r="S1117">
        <v>38</v>
      </c>
      <c r="T1117">
        <v>0</v>
      </c>
      <c r="U1117">
        <f t="shared" si="69"/>
        <v>11.805595078933049</v>
      </c>
      <c r="V1117">
        <f t="shared" si="70"/>
        <v>8.3733228209965347</v>
      </c>
      <c r="W1117">
        <v>1</v>
      </c>
      <c r="X1117">
        <v>0</v>
      </c>
      <c r="Y1117">
        <v>0</v>
      </c>
      <c r="Z1117">
        <f>'Résultat (Ln)'!F$30+'Résultat (Ln)'!F$31*Données!S1117+'Résultat (Ln)'!F$32*Données!T1117+'Résultat (Ln)'!F$33*Données!U1117+'Résultat (Ln)'!F$34*Données!V1117+'Résultat (Ln)'!F$35*Données!W1117+'Résultat (Ln)'!F$36*Données!X1117+'Résultat (Ln)'!F$37*Données!Y1117</f>
        <v>121465.49036104708</v>
      </c>
      <c r="AA1117">
        <f t="shared" si="71"/>
        <v>-465.4903610470792</v>
      </c>
    </row>
    <row r="1118" spans="1:27" x14ac:dyDescent="0.25">
      <c r="A1118">
        <v>105000</v>
      </c>
      <c r="B1118">
        <v>1</v>
      </c>
      <c r="C1118">
        <v>39.900001525878913</v>
      </c>
      <c r="D1118">
        <v>0</v>
      </c>
      <c r="E1118">
        <v>230000</v>
      </c>
      <c r="F1118">
        <v>1776</v>
      </c>
      <c r="G1118">
        <v>1</v>
      </c>
      <c r="H1118">
        <v>0</v>
      </c>
      <c r="I1118">
        <v>0</v>
      </c>
      <c r="J1118">
        <v>28.29999923706055</v>
      </c>
      <c r="K1118">
        <v>1</v>
      </c>
      <c r="L1118">
        <f>Résultats!G$32+Résultats!G$33*Données!C1118+Résultats!G$34*Données!D1118+Résultats!G$35*Données!E1118+Résultats!G$36*Données!F1118+Résultats!G$37*Données!G1118+Résultats!G$38*Données!H1118+Résultats!G$39*Données!I1118</f>
        <v>160250.93651274827</v>
      </c>
      <c r="M1118">
        <f t="shared" si="68"/>
        <v>-55250.936512748274</v>
      </c>
      <c r="Q1118">
        <v>240000</v>
      </c>
      <c r="R1118">
        <v>1</v>
      </c>
      <c r="S1118">
        <v>35.900001525878913</v>
      </c>
      <c r="T1118">
        <v>0</v>
      </c>
      <c r="U1118">
        <f t="shared" si="69"/>
        <v>12.611537753638338</v>
      </c>
      <c r="V1118">
        <f t="shared" si="70"/>
        <v>8.6004307899862926</v>
      </c>
      <c r="W1118">
        <v>1</v>
      </c>
      <c r="X1118">
        <v>0</v>
      </c>
      <c r="Y1118">
        <v>1</v>
      </c>
      <c r="Z1118">
        <f>'Résultat (Ln)'!F$30+'Résultat (Ln)'!F$31*Données!S1118+'Résultat (Ln)'!F$32*Données!T1118+'Résultat (Ln)'!F$33*Données!U1118+'Résultat (Ln)'!F$34*Données!V1118+'Résultat (Ln)'!F$35*Données!W1118+'Résultat (Ln)'!F$36*Données!X1118+'Résultat (Ln)'!F$37*Données!Y1118</f>
        <v>225749.04166198391</v>
      </c>
      <c r="AA1118">
        <f t="shared" si="71"/>
        <v>14250.958338016091</v>
      </c>
    </row>
    <row r="1119" spans="1:27" x14ac:dyDescent="0.25">
      <c r="A1119">
        <v>259000</v>
      </c>
      <c r="B1119">
        <v>1</v>
      </c>
      <c r="C1119">
        <v>40</v>
      </c>
      <c r="D1119">
        <v>0</v>
      </c>
      <c r="E1119">
        <v>288000</v>
      </c>
      <c r="F1119">
        <v>6333</v>
      </c>
      <c r="G1119">
        <v>1</v>
      </c>
      <c r="H1119">
        <v>0</v>
      </c>
      <c r="I1119">
        <v>1</v>
      </c>
      <c r="J1119">
        <v>25</v>
      </c>
      <c r="K1119">
        <v>1</v>
      </c>
      <c r="L1119">
        <f>Résultats!G$32+Résultats!G$33*Données!C1119+Résultats!G$34*Données!D1119+Résultats!G$35*Données!E1119+Résultats!G$36*Données!F1119+Résultats!G$37*Données!G1119+Résultats!G$38*Données!H1119+Résultats!G$39*Données!I1119</f>
        <v>206205.04526365822</v>
      </c>
      <c r="M1119">
        <f t="shared" si="68"/>
        <v>52794.954736341781</v>
      </c>
      <c r="Q1119">
        <v>105000</v>
      </c>
      <c r="R1119">
        <v>1</v>
      </c>
      <c r="S1119">
        <v>39.900001525878913</v>
      </c>
      <c r="T1119">
        <v>0</v>
      </c>
      <c r="U1119">
        <f t="shared" si="69"/>
        <v>12.345834587905333</v>
      </c>
      <c r="V1119">
        <f t="shared" si="70"/>
        <v>7.4821189235521155</v>
      </c>
      <c r="W1119">
        <v>1</v>
      </c>
      <c r="X1119">
        <v>0</v>
      </c>
      <c r="Y1119">
        <v>0</v>
      </c>
      <c r="Z1119">
        <f>'Résultat (Ln)'!F$30+'Résultat (Ln)'!F$31*Données!S1119+'Résultat (Ln)'!F$32*Données!T1119+'Résultat (Ln)'!F$33*Données!U1119+'Résultat (Ln)'!F$34*Données!V1119+'Résultat (Ln)'!F$35*Données!W1119+'Résultat (Ln)'!F$36*Données!X1119+'Résultat (Ln)'!F$37*Données!Y1119</f>
        <v>156704.13029351339</v>
      </c>
      <c r="AA1119">
        <f t="shared" si="71"/>
        <v>-51704.130293513386</v>
      </c>
    </row>
    <row r="1120" spans="1:27" x14ac:dyDescent="0.25">
      <c r="A1120">
        <v>187000</v>
      </c>
      <c r="B1120">
        <v>1</v>
      </c>
      <c r="C1120">
        <v>28</v>
      </c>
      <c r="D1120">
        <v>0</v>
      </c>
      <c r="E1120">
        <v>218000</v>
      </c>
      <c r="F1120">
        <v>2625</v>
      </c>
      <c r="G1120">
        <v>1</v>
      </c>
      <c r="H1120">
        <v>1</v>
      </c>
      <c r="I1120">
        <v>1</v>
      </c>
      <c r="J1120">
        <v>22</v>
      </c>
      <c r="K1120">
        <v>1</v>
      </c>
      <c r="L1120">
        <f>Résultats!G$32+Résultats!G$33*Données!C1120+Résultats!G$34*Données!D1120+Résultats!G$35*Données!E1120+Résultats!G$36*Données!F1120+Résultats!G$37*Données!G1120+Résultats!G$38*Données!H1120+Résultats!G$39*Données!I1120</f>
        <v>150923.67987576206</v>
      </c>
      <c r="M1120">
        <f t="shared" si="68"/>
        <v>36076.320124237944</v>
      </c>
      <c r="Q1120">
        <v>259000</v>
      </c>
      <c r="R1120">
        <v>1</v>
      </c>
      <c r="S1120">
        <v>40</v>
      </c>
      <c r="T1120">
        <v>0</v>
      </c>
      <c r="U1120">
        <f t="shared" si="69"/>
        <v>12.570715759118084</v>
      </c>
      <c r="V1120">
        <f t="shared" si="70"/>
        <v>8.7535293365164311</v>
      </c>
      <c r="W1120">
        <v>1</v>
      </c>
      <c r="X1120">
        <v>0</v>
      </c>
      <c r="Y1120">
        <v>1</v>
      </c>
      <c r="Z1120">
        <f>'Résultat (Ln)'!F$30+'Résultat (Ln)'!F$31*Données!S1120+'Résultat (Ln)'!F$32*Données!T1120+'Résultat (Ln)'!F$33*Données!U1120+'Résultat (Ln)'!F$34*Données!V1120+'Résultat (Ln)'!F$35*Données!W1120+'Résultat (Ln)'!F$36*Données!X1120+'Résultat (Ln)'!F$37*Données!Y1120</f>
        <v>230677.24107511659</v>
      </c>
      <c r="AA1120">
        <f t="shared" si="71"/>
        <v>28322.758924883412</v>
      </c>
    </row>
    <row r="1121" spans="1:27" x14ac:dyDescent="0.25">
      <c r="A1121">
        <v>228000</v>
      </c>
      <c r="B1121">
        <v>1</v>
      </c>
      <c r="C1121">
        <v>57.700000762939453</v>
      </c>
      <c r="D1121">
        <v>0</v>
      </c>
      <c r="E1121">
        <v>285000</v>
      </c>
      <c r="F1121">
        <v>9083</v>
      </c>
      <c r="G1121">
        <v>1</v>
      </c>
      <c r="H1121">
        <v>0</v>
      </c>
      <c r="I1121">
        <v>1</v>
      </c>
      <c r="J1121">
        <v>23</v>
      </c>
      <c r="K1121">
        <v>1</v>
      </c>
      <c r="L1121">
        <f>Résultats!G$32+Résultats!G$33*Données!C1121+Résultats!G$34*Données!D1121+Résultats!G$35*Données!E1121+Résultats!G$36*Données!F1121+Résultats!G$37*Données!G1121+Résultats!G$38*Données!H1121+Résultats!G$39*Données!I1121</f>
        <v>230464.56730021865</v>
      </c>
      <c r="M1121">
        <f t="shared" si="68"/>
        <v>-2464.5673002186522</v>
      </c>
      <c r="Q1121">
        <v>187000</v>
      </c>
      <c r="R1121">
        <v>1</v>
      </c>
      <c r="S1121">
        <v>28</v>
      </c>
      <c r="T1121">
        <v>0</v>
      </c>
      <c r="U1121">
        <f t="shared" si="69"/>
        <v>12.292250341771226</v>
      </c>
      <c r="V1121">
        <f t="shared" si="70"/>
        <v>7.8728361750257241</v>
      </c>
      <c r="W1121">
        <v>1</v>
      </c>
      <c r="X1121">
        <v>1</v>
      </c>
      <c r="Y1121">
        <v>1</v>
      </c>
      <c r="Z1121">
        <f>'Résultat (Ln)'!F$30+'Résultat (Ln)'!F$31*Données!S1121+'Résultat (Ln)'!F$32*Données!T1121+'Résultat (Ln)'!F$33*Données!U1121+'Résultat (Ln)'!F$34*Données!V1121+'Résultat (Ln)'!F$35*Données!W1121+'Résultat (Ln)'!F$36*Données!X1121+'Résultat (Ln)'!F$37*Données!Y1121</f>
        <v>161285.21423630658</v>
      </c>
      <c r="AA1121">
        <f t="shared" si="71"/>
        <v>25714.78576369342</v>
      </c>
    </row>
    <row r="1122" spans="1:27" x14ac:dyDescent="0.25">
      <c r="A1122">
        <v>308000</v>
      </c>
      <c r="B1122">
        <v>1</v>
      </c>
      <c r="C1122">
        <v>36</v>
      </c>
      <c r="D1122">
        <v>0</v>
      </c>
      <c r="E1122">
        <v>385000</v>
      </c>
      <c r="F1122">
        <v>8750</v>
      </c>
      <c r="G1122">
        <v>0</v>
      </c>
      <c r="H1122">
        <v>0</v>
      </c>
      <c r="I1122">
        <v>1</v>
      </c>
      <c r="J1122">
        <v>25</v>
      </c>
      <c r="K1122">
        <v>1</v>
      </c>
      <c r="L1122">
        <f>Résultats!G$32+Résultats!G$33*Données!C1122+Résultats!G$34*Données!D1122+Résultats!G$35*Données!E1122+Résultats!G$36*Données!F1122+Résultats!G$37*Données!G1122+Résultats!G$38*Données!H1122+Résultats!G$39*Données!I1122</f>
        <v>244571.84439041463</v>
      </c>
      <c r="M1122">
        <f t="shared" si="68"/>
        <v>63428.155609585374</v>
      </c>
      <c r="Q1122">
        <v>228000</v>
      </c>
      <c r="R1122">
        <v>1</v>
      </c>
      <c r="S1122">
        <v>57.700000762939453</v>
      </c>
      <c r="T1122">
        <v>0</v>
      </c>
      <c r="U1122">
        <f t="shared" si="69"/>
        <v>12.560244459250788</v>
      </c>
      <c r="V1122">
        <f t="shared" si="70"/>
        <v>9.1141598135022139</v>
      </c>
      <c r="W1122">
        <v>1</v>
      </c>
      <c r="X1122">
        <v>0</v>
      </c>
      <c r="Y1122">
        <v>1</v>
      </c>
      <c r="Z1122">
        <f>'Résultat (Ln)'!F$30+'Résultat (Ln)'!F$31*Données!S1122+'Résultat (Ln)'!F$32*Données!T1122+'Résultat (Ln)'!F$33*Données!U1122+'Résultat (Ln)'!F$34*Données!V1122+'Résultat (Ln)'!F$35*Données!W1122+'Résultat (Ln)'!F$36*Données!X1122+'Résultat (Ln)'!F$37*Données!Y1122</f>
        <v>261299.05791202813</v>
      </c>
      <c r="AA1122">
        <f t="shared" si="71"/>
        <v>-33299.057912028133</v>
      </c>
    </row>
    <row r="1123" spans="1:27" x14ac:dyDescent="0.25">
      <c r="A1123">
        <v>95000</v>
      </c>
      <c r="B1123">
        <v>1</v>
      </c>
      <c r="C1123">
        <v>28.20000076293945</v>
      </c>
      <c r="D1123">
        <v>0</v>
      </c>
      <c r="E1123">
        <v>190000</v>
      </c>
      <c r="F1123">
        <v>2666</v>
      </c>
      <c r="G1123">
        <v>1</v>
      </c>
      <c r="H1123">
        <v>0</v>
      </c>
      <c r="I1123">
        <v>0</v>
      </c>
      <c r="J1123">
        <v>21.29999923706055</v>
      </c>
      <c r="K1123">
        <v>1</v>
      </c>
      <c r="L1123">
        <f>Résultats!G$32+Résultats!G$33*Données!C1123+Résultats!G$34*Données!D1123+Résultats!G$35*Données!E1123+Résultats!G$36*Données!F1123+Résultats!G$37*Données!G1123+Résultats!G$38*Données!H1123+Résultats!G$39*Données!I1123</f>
        <v>129857.99220932274</v>
      </c>
      <c r="M1123">
        <f t="shared" si="68"/>
        <v>-34857.992209322736</v>
      </c>
      <c r="Q1123">
        <v>308000</v>
      </c>
      <c r="R1123">
        <v>1</v>
      </c>
      <c r="S1123">
        <v>36</v>
      </c>
      <c r="T1123">
        <v>0</v>
      </c>
      <c r="U1123">
        <f t="shared" si="69"/>
        <v>12.860998613269921</v>
      </c>
      <c r="V1123">
        <f t="shared" si="70"/>
        <v>9.0768089793516609</v>
      </c>
      <c r="W1123">
        <v>0</v>
      </c>
      <c r="X1123">
        <v>0</v>
      </c>
      <c r="Y1123">
        <v>1</v>
      </c>
      <c r="Z1123">
        <f>'Résultat (Ln)'!F$30+'Résultat (Ln)'!F$31*Données!S1123+'Résultat (Ln)'!F$32*Données!T1123+'Résultat (Ln)'!F$33*Données!U1123+'Résultat (Ln)'!F$34*Données!V1123+'Résultat (Ln)'!F$35*Données!W1123+'Résultat (Ln)'!F$36*Données!X1123+'Résultat (Ln)'!F$37*Données!Y1123</f>
        <v>261458.71520333239</v>
      </c>
      <c r="AA1123">
        <f t="shared" si="71"/>
        <v>46541.284796667605</v>
      </c>
    </row>
    <row r="1124" spans="1:27" x14ac:dyDescent="0.25">
      <c r="A1124">
        <v>105000</v>
      </c>
      <c r="B1124">
        <v>1</v>
      </c>
      <c r="C1124">
        <v>28</v>
      </c>
      <c r="D1124">
        <v>0</v>
      </c>
      <c r="E1124">
        <v>151000</v>
      </c>
      <c r="F1124">
        <v>5500</v>
      </c>
      <c r="G1124">
        <v>1</v>
      </c>
      <c r="H1124">
        <v>0</v>
      </c>
      <c r="I1124">
        <v>0</v>
      </c>
      <c r="J1124">
        <v>23</v>
      </c>
      <c r="K1124">
        <v>0</v>
      </c>
      <c r="L1124">
        <f>Résultats!G$32+Résultats!G$33*Données!C1124+Résultats!G$34*Données!D1124+Résultats!G$35*Données!E1124+Résultats!G$36*Données!F1124+Résultats!G$37*Données!G1124+Résultats!G$38*Données!H1124+Résultats!G$39*Données!I1124</f>
        <v>116908.76917345305</v>
      </c>
      <c r="M1124">
        <f t="shared" si="68"/>
        <v>-11908.769173453053</v>
      </c>
      <c r="Q1124">
        <v>95000</v>
      </c>
      <c r="R1124">
        <v>1</v>
      </c>
      <c r="S1124">
        <v>28.20000076293945</v>
      </c>
      <c r="T1124">
        <v>0</v>
      </c>
      <c r="U1124">
        <f t="shared" si="69"/>
        <v>12.154779351142624</v>
      </c>
      <c r="V1124">
        <f t="shared" si="70"/>
        <v>7.8883345007386536</v>
      </c>
      <c r="W1124">
        <v>1</v>
      </c>
      <c r="X1124">
        <v>0</v>
      </c>
      <c r="Y1124">
        <v>0</v>
      </c>
      <c r="Z1124">
        <f>'Résultat (Ln)'!F$30+'Résultat (Ln)'!F$31*Données!S1124+'Résultat (Ln)'!F$32*Données!T1124+'Résultat (Ln)'!F$33*Données!U1124+'Résultat (Ln)'!F$34*Données!V1124+'Résultat (Ln)'!F$35*Données!W1124+'Résultat (Ln)'!F$36*Données!X1124+'Résultat (Ln)'!F$37*Données!Y1124</f>
        <v>133318.61364536264</v>
      </c>
      <c r="AA1124">
        <f t="shared" si="71"/>
        <v>-38318.613645362639</v>
      </c>
    </row>
    <row r="1125" spans="1:27" x14ac:dyDescent="0.25">
      <c r="A1125">
        <v>130000</v>
      </c>
      <c r="B1125">
        <v>1</v>
      </c>
      <c r="C1125">
        <v>45</v>
      </c>
      <c r="D1125">
        <v>0</v>
      </c>
      <c r="E1125">
        <v>175000</v>
      </c>
      <c r="F1125">
        <v>2423</v>
      </c>
      <c r="G1125">
        <v>1</v>
      </c>
      <c r="H1125">
        <v>0</v>
      </c>
      <c r="I1125">
        <v>1</v>
      </c>
      <c r="J1125">
        <v>45</v>
      </c>
      <c r="K1125">
        <v>0</v>
      </c>
      <c r="L1125">
        <f>Résultats!G$32+Résultats!G$33*Données!C1125+Résultats!G$34*Données!D1125+Résultats!G$35*Données!E1125+Résultats!G$36*Données!F1125+Résultats!G$37*Données!G1125+Résultats!G$38*Données!H1125+Résultats!G$39*Données!I1125</f>
        <v>151605.92919913554</v>
      </c>
      <c r="M1125">
        <f t="shared" si="68"/>
        <v>-21605.929199135542</v>
      </c>
      <c r="Q1125">
        <v>105000</v>
      </c>
      <c r="R1125">
        <v>1</v>
      </c>
      <c r="S1125">
        <v>28</v>
      </c>
      <c r="T1125">
        <v>0</v>
      </c>
      <c r="U1125">
        <f t="shared" si="69"/>
        <v>11.925035115797062</v>
      </c>
      <c r="V1125">
        <f t="shared" si="70"/>
        <v>8.6125033712205621</v>
      </c>
      <c r="W1125">
        <v>1</v>
      </c>
      <c r="X1125">
        <v>0</v>
      </c>
      <c r="Y1125">
        <v>0</v>
      </c>
      <c r="Z1125">
        <f>'Résultat (Ln)'!F$30+'Résultat (Ln)'!F$31*Données!S1125+'Résultat (Ln)'!F$32*Données!T1125+'Résultat (Ln)'!F$33*Données!U1125+'Résultat (Ln)'!F$34*Données!V1125+'Résultat (Ln)'!F$35*Données!W1125+'Résultat (Ln)'!F$36*Données!X1125+'Résultat (Ln)'!F$37*Données!Y1125</f>
        <v>128756.53124036039</v>
      </c>
      <c r="AA1125">
        <f t="shared" si="71"/>
        <v>-23756.531240360389</v>
      </c>
    </row>
    <row r="1126" spans="1:27" x14ac:dyDescent="0.25">
      <c r="A1126">
        <v>116000</v>
      </c>
      <c r="B1126">
        <v>1</v>
      </c>
      <c r="C1126">
        <v>39</v>
      </c>
      <c r="D1126">
        <v>0</v>
      </c>
      <c r="E1126">
        <v>129000</v>
      </c>
      <c r="F1126">
        <v>3813</v>
      </c>
      <c r="G1126">
        <v>0</v>
      </c>
      <c r="H1126">
        <v>0</v>
      </c>
      <c r="I1126">
        <v>0</v>
      </c>
      <c r="J1126">
        <v>33</v>
      </c>
      <c r="K1126">
        <v>0</v>
      </c>
      <c r="L1126">
        <f>Résultats!G$32+Résultats!G$33*Données!C1126+Résultats!G$34*Données!D1126+Résultats!G$35*Données!E1126+Résultats!G$36*Données!F1126+Résultats!G$37*Données!G1126+Résultats!G$38*Données!H1126+Résultats!G$39*Données!I1126</f>
        <v>108985.50566587178</v>
      </c>
      <c r="M1126">
        <f t="shared" si="68"/>
        <v>7014.4943341282196</v>
      </c>
      <c r="Q1126">
        <v>130000</v>
      </c>
      <c r="R1126">
        <v>1</v>
      </c>
      <c r="S1126">
        <v>45</v>
      </c>
      <c r="T1126">
        <v>0</v>
      </c>
      <c r="U1126">
        <f t="shared" si="69"/>
        <v>12.072541252905651</v>
      </c>
      <c r="V1126">
        <f t="shared" si="70"/>
        <v>7.7927617208165261</v>
      </c>
      <c r="W1126">
        <v>1</v>
      </c>
      <c r="X1126">
        <v>0</v>
      </c>
      <c r="Y1126">
        <v>1</v>
      </c>
      <c r="Z1126">
        <f>'Résultat (Ln)'!F$30+'Résultat (Ln)'!F$31*Données!S1126+'Résultat (Ln)'!F$32*Données!T1126+'Résultat (Ln)'!F$33*Données!U1126+'Résultat (Ln)'!F$34*Données!V1126+'Résultat (Ln)'!F$35*Données!W1126+'Résultat (Ln)'!F$36*Données!X1126+'Résultat (Ln)'!F$37*Données!Y1126</f>
        <v>156439.85801066554</v>
      </c>
      <c r="AA1126">
        <f t="shared" si="71"/>
        <v>-26439.858010665543</v>
      </c>
    </row>
    <row r="1127" spans="1:27" x14ac:dyDescent="0.25">
      <c r="A1127">
        <v>64000</v>
      </c>
      <c r="B1127">
        <v>1</v>
      </c>
      <c r="C1127">
        <v>23</v>
      </c>
      <c r="D1127">
        <v>0</v>
      </c>
      <c r="E1127">
        <v>79000</v>
      </c>
      <c r="F1127">
        <v>4003</v>
      </c>
      <c r="G1127">
        <v>0</v>
      </c>
      <c r="H1127">
        <v>0</v>
      </c>
      <c r="I1127">
        <v>1</v>
      </c>
      <c r="J1127">
        <v>23</v>
      </c>
      <c r="K1127">
        <v>1</v>
      </c>
      <c r="L1127">
        <f>Résultats!G$32+Résultats!G$33*Données!C1127+Résultats!G$34*Données!D1127+Résultats!G$35*Données!E1127+Résultats!G$36*Données!F1127+Résultats!G$37*Données!G1127+Résultats!G$38*Données!H1127+Résultats!G$39*Données!I1127</f>
        <v>77552.752622819462</v>
      </c>
      <c r="M1127">
        <f t="shared" si="68"/>
        <v>-13552.752622819462</v>
      </c>
      <c r="Q1127">
        <v>116000</v>
      </c>
      <c r="R1127">
        <v>1</v>
      </c>
      <c r="S1127">
        <v>39</v>
      </c>
      <c r="T1127">
        <v>0</v>
      </c>
      <c r="U1127">
        <f t="shared" si="69"/>
        <v>11.76756768334381</v>
      </c>
      <c r="V1127">
        <f t="shared" si="70"/>
        <v>8.2461715598575633</v>
      </c>
      <c r="W1127">
        <v>0</v>
      </c>
      <c r="X1127">
        <v>0</v>
      </c>
      <c r="Y1127">
        <v>0</v>
      </c>
      <c r="Z1127">
        <f>'Résultat (Ln)'!F$30+'Résultat (Ln)'!F$31*Données!S1127+'Résultat (Ln)'!F$32*Données!T1127+'Résultat (Ln)'!F$33*Données!U1127+'Résultat (Ln)'!F$34*Données!V1127+'Résultat (Ln)'!F$35*Données!W1127+'Résultat (Ln)'!F$36*Données!X1127+'Résultat (Ln)'!F$37*Données!Y1127</f>
        <v>110531.07432383875</v>
      </c>
      <c r="AA1127">
        <f t="shared" si="71"/>
        <v>5468.9256761612487</v>
      </c>
    </row>
    <row r="1128" spans="1:27" x14ac:dyDescent="0.25">
      <c r="A1128">
        <v>94000</v>
      </c>
      <c r="B1128">
        <v>1</v>
      </c>
      <c r="C1128">
        <v>38</v>
      </c>
      <c r="D1128">
        <v>0</v>
      </c>
      <c r="E1128">
        <v>195000</v>
      </c>
      <c r="F1128">
        <v>3699</v>
      </c>
      <c r="G1128">
        <v>1</v>
      </c>
      <c r="H1128">
        <v>1</v>
      </c>
      <c r="I1128">
        <v>0</v>
      </c>
      <c r="J1128">
        <v>23</v>
      </c>
      <c r="K1128">
        <v>1</v>
      </c>
      <c r="L1128">
        <f>Résultats!G$32+Résultats!G$33*Données!C1128+Résultats!G$34*Données!D1128+Résultats!G$35*Données!E1128+Résultats!G$36*Données!F1128+Résultats!G$37*Données!G1128+Résultats!G$38*Données!H1128+Résultats!G$39*Données!I1128</f>
        <v>143826.18526132207</v>
      </c>
      <c r="M1128">
        <f t="shared" si="68"/>
        <v>-49826.185261322069</v>
      </c>
      <c r="Q1128">
        <v>64000</v>
      </c>
      <c r="R1128">
        <v>1</v>
      </c>
      <c r="S1128">
        <v>23</v>
      </c>
      <c r="T1128">
        <v>0</v>
      </c>
      <c r="U1128">
        <f t="shared" si="69"/>
        <v>11.277203131449159</v>
      </c>
      <c r="V1128">
        <f t="shared" si="70"/>
        <v>8.2947993589925737</v>
      </c>
      <c r="W1128">
        <v>0</v>
      </c>
      <c r="X1128">
        <v>0</v>
      </c>
      <c r="Y1128">
        <v>1</v>
      </c>
      <c r="Z1128">
        <f>'Résultat (Ln)'!F$30+'Résultat (Ln)'!F$31*Données!S1128+'Résultat (Ln)'!F$32*Données!T1128+'Résultat (Ln)'!F$33*Données!U1128+'Résultat (Ln)'!F$34*Données!V1128+'Résultat (Ln)'!F$35*Données!W1128+'Résultat (Ln)'!F$36*Données!X1128+'Résultat (Ln)'!F$37*Données!Y1128</f>
        <v>53864.24903810976</v>
      </c>
      <c r="AA1128">
        <f t="shared" si="71"/>
        <v>10135.75096189024</v>
      </c>
    </row>
    <row r="1129" spans="1:27" x14ac:dyDescent="0.25">
      <c r="A1129">
        <v>85000</v>
      </c>
      <c r="B1129">
        <v>1</v>
      </c>
      <c r="C1129">
        <v>28</v>
      </c>
      <c r="D1129">
        <v>0</v>
      </c>
      <c r="E1129">
        <v>120000</v>
      </c>
      <c r="F1129">
        <v>2707</v>
      </c>
      <c r="G1129">
        <v>0</v>
      </c>
      <c r="H1129">
        <v>0</v>
      </c>
      <c r="I1129">
        <v>0</v>
      </c>
      <c r="J1129">
        <v>13</v>
      </c>
      <c r="K1129">
        <v>0</v>
      </c>
      <c r="L1129">
        <f>Résultats!G$32+Résultats!G$33*Données!C1129+Résultats!G$34*Données!D1129+Résultats!G$35*Données!E1129+Résultats!G$36*Données!F1129+Résultats!G$37*Données!G1129+Résultats!G$38*Données!H1129+Résultats!G$39*Données!I1129</f>
        <v>90004.359250997179</v>
      </c>
      <c r="M1129">
        <f t="shared" si="68"/>
        <v>-5004.3592509971786</v>
      </c>
      <c r="Q1129">
        <v>94000</v>
      </c>
      <c r="R1129">
        <v>1</v>
      </c>
      <c r="S1129">
        <v>38</v>
      </c>
      <c r="T1129">
        <v>0</v>
      </c>
      <c r="U1129">
        <f t="shared" si="69"/>
        <v>12.180754837545884</v>
      </c>
      <c r="V1129">
        <f t="shared" si="70"/>
        <v>8.2158177918324533</v>
      </c>
      <c r="W1129">
        <v>1</v>
      </c>
      <c r="X1129">
        <v>1</v>
      </c>
      <c r="Y1129">
        <v>0</v>
      </c>
      <c r="Z1129">
        <f>'Résultat (Ln)'!F$30+'Résultat (Ln)'!F$31*Données!S1129+'Résultat (Ln)'!F$32*Données!T1129+'Résultat (Ln)'!F$33*Données!U1129+'Résultat (Ln)'!F$34*Données!V1129+'Résultat (Ln)'!F$35*Données!W1129+'Résultat (Ln)'!F$36*Données!X1129+'Résultat (Ln)'!F$37*Données!Y1129</f>
        <v>157086.06067317625</v>
      </c>
      <c r="AA1129">
        <f t="shared" si="71"/>
        <v>-63086.060673176253</v>
      </c>
    </row>
    <row r="1130" spans="1:27" x14ac:dyDescent="0.25">
      <c r="A1130">
        <v>146000</v>
      </c>
      <c r="B1130">
        <v>1</v>
      </c>
      <c r="C1130">
        <v>40</v>
      </c>
      <c r="D1130">
        <v>0</v>
      </c>
      <c r="E1130">
        <v>160000</v>
      </c>
      <c r="F1130">
        <v>3074</v>
      </c>
      <c r="G1130">
        <v>1</v>
      </c>
      <c r="H1130">
        <v>0</v>
      </c>
      <c r="I1130">
        <v>1</v>
      </c>
      <c r="J1130">
        <v>35</v>
      </c>
      <c r="K1130">
        <v>1</v>
      </c>
      <c r="L1130">
        <f>Résultats!G$32+Résultats!G$33*Données!C1130+Résultats!G$34*Données!D1130+Résultats!G$35*Données!E1130+Résultats!G$36*Données!F1130+Résultats!G$37*Données!G1130+Résultats!G$38*Données!H1130+Résultats!G$39*Données!I1130</f>
        <v>140119.77784856461</v>
      </c>
      <c r="M1130">
        <f t="shared" si="68"/>
        <v>5880.2221514353878</v>
      </c>
      <c r="Q1130">
        <v>85000</v>
      </c>
      <c r="R1130">
        <v>1</v>
      </c>
      <c r="S1130">
        <v>28</v>
      </c>
      <c r="T1130">
        <v>0</v>
      </c>
      <c r="U1130">
        <f t="shared" si="69"/>
        <v>11.695247021764184</v>
      </c>
      <c r="V1130">
        <f t="shared" si="70"/>
        <v>7.9035962896143008</v>
      </c>
      <c r="W1130">
        <v>0</v>
      </c>
      <c r="X1130">
        <v>0</v>
      </c>
      <c r="Y1130">
        <v>0</v>
      </c>
      <c r="Z1130">
        <f>'Résultat (Ln)'!F$30+'Résultat (Ln)'!F$31*Données!S1130+'Résultat (Ln)'!F$32*Données!T1130+'Résultat (Ln)'!F$33*Données!U1130+'Résultat (Ln)'!F$34*Données!V1130+'Résultat (Ln)'!F$35*Données!W1130+'Résultat (Ln)'!F$36*Données!X1130+'Résultat (Ln)'!F$37*Données!Y1130</f>
        <v>79728.374303900753</v>
      </c>
      <c r="AA1130">
        <f t="shared" si="71"/>
        <v>5271.6256960992469</v>
      </c>
    </row>
    <row r="1131" spans="1:27" x14ac:dyDescent="0.25">
      <c r="A1131">
        <v>165000</v>
      </c>
      <c r="B1131">
        <v>1</v>
      </c>
      <c r="C1131">
        <v>17</v>
      </c>
      <c r="D1131">
        <v>0</v>
      </c>
      <c r="E1131">
        <v>316500</v>
      </c>
      <c r="F1131">
        <v>8333</v>
      </c>
      <c r="G1131">
        <v>1</v>
      </c>
      <c r="H1131">
        <v>0</v>
      </c>
      <c r="I1131">
        <v>1</v>
      </c>
      <c r="J1131">
        <v>12</v>
      </c>
      <c r="K1131">
        <v>1</v>
      </c>
      <c r="L1131">
        <f>Résultats!G$32+Résultats!G$33*Données!C1131+Résultats!G$34*Données!D1131+Résultats!G$35*Données!E1131+Résultats!G$36*Données!F1131+Résultats!G$37*Données!G1131+Résultats!G$38*Données!H1131+Résultats!G$39*Données!I1131</f>
        <v>196969.36943263168</v>
      </c>
      <c r="M1131">
        <f t="shared" si="68"/>
        <v>-31969.369432631676</v>
      </c>
      <c r="Q1131">
        <v>146000</v>
      </c>
      <c r="R1131">
        <v>1</v>
      </c>
      <c r="S1131">
        <v>40</v>
      </c>
      <c r="T1131">
        <v>0</v>
      </c>
      <c r="U1131">
        <f t="shared" si="69"/>
        <v>11.982929094215963</v>
      </c>
      <c r="V1131">
        <f t="shared" si="70"/>
        <v>8.0307349240985406</v>
      </c>
      <c r="W1131">
        <v>1</v>
      </c>
      <c r="X1131">
        <v>0</v>
      </c>
      <c r="Y1131">
        <v>1</v>
      </c>
      <c r="Z1131">
        <f>'Résultat (Ln)'!F$30+'Résultat (Ln)'!F$31*Données!S1131+'Résultat (Ln)'!F$32*Données!T1131+'Résultat (Ln)'!F$33*Données!U1131+'Résultat (Ln)'!F$34*Données!V1131+'Résultat (Ln)'!F$35*Données!W1131+'Résultat (Ln)'!F$36*Données!X1131+'Résultat (Ln)'!F$37*Données!Y1131</f>
        <v>147397.77422805017</v>
      </c>
      <c r="AA1131">
        <f t="shared" si="71"/>
        <v>-1397.7742280501698</v>
      </c>
    </row>
    <row r="1132" spans="1:27" x14ac:dyDescent="0.25">
      <c r="A1132">
        <v>180000</v>
      </c>
      <c r="B1132">
        <v>1</v>
      </c>
      <c r="C1132">
        <v>31.89999961853027</v>
      </c>
      <c r="D1132">
        <v>0</v>
      </c>
      <c r="E1132">
        <v>225000</v>
      </c>
      <c r="F1132">
        <v>3335</v>
      </c>
      <c r="G1132">
        <v>0</v>
      </c>
      <c r="H1132">
        <v>0</v>
      </c>
      <c r="I1132">
        <v>0</v>
      </c>
      <c r="J1132">
        <v>25.89999961853027</v>
      </c>
      <c r="K1132">
        <v>1</v>
      </c>
      <c r="L1132">
        <f>Résultats!G$32+Résultats!G$33*Données!C1132+Résultats!G$34*Données!D1132+Résultats!G$35*Données!E1132+Résultats!G$36*Données!F1132+Résultats!G$37*Données!G1132+Résultats!G$38*Données!H1132+Résultats!G$39*Données!I1132</f>
        <v>144731.19696769313</v>
      </c>
      <c r="M1132">
        <f t="shared" si="68"/>
        <v>35268.803032306867</v>
      </c>
      <c r="Q1132">
        <v>165000</v>
      </c>
      <c r="R1132">
        <v>1</v>
      </c>
      <c r="S1132">
        <v>17</v>
      </c>
      <c r="T1132">
        <v>0</v>
      </c>
      <c r="U1132">
        <f t="shared" si="69"/>
        <v>12.665078520566368</v>
      </c>
      <c r="V1132">
        <f t="shared" si="70"/>
        <v>9.0279788143822071</v>
      </c>
      <c r="W1132">
        <v>1</v>
      </c>
      <c r="X1132">
        <v>0</v>
      </c>
      <c r="Y1132">
        <v>1</v>
      </c>
      <c r="Z1132">
        <f>'Résultat (Ln)'!F$30+'Résultat (Ln)'!F$31*Données!S1132+'Résultat (Ln)'!F$32*Données!T1132+'Résultat (Ln)'!F$33*Données!U1132+'Résultat (Ln)'!F$34*Données!V1132+'Résultat (Ln)'!F$35*Données!W1132+'Résultat (Ln)'!F$36*Données!X1132+'Résultat (Ln)'!F$37*Données!Y1132</f>
        <v>220382.72164922903</v>
      </c>
      <c r="AA1132">
        <f t="shared" si="71"/>
        <v>-55382.721649229032</v>
      </c>
    </row>
    <row r="1133" spans="1:27" x14ac:dyDescent="0.25">
      <c r="A1133">
        <v>67000</v>
      </c>
      <c r="B1133">
        <v>1</v>
      </c>
      <c r="C1133">
        <v>37</v>
      </c>
      <c r="D1133">
        <v>0</v>
      </c>
      <c r="E1133">
        <v>96000</v>
      </c>
      <c r="F1133">
        <v>3875</v>
      </c>
      <c r="G1133">
        <v>1</v>
      </c>
      <c r="H1133">
        <v>0</v>
      </c>
      <c r="I1133">
        <v>0</v>
      </c>
      <c r="J1133">
        <v>19</v>
      </c>
      <c r="K1133">
        <v>1</v>
      </c>
      <c r="L1133">
        <f>Résultats!G$32+Résultats!G$33*Données!C1133+Résultats!G$34*Données!D1133+Résultats!G$35*Données!E1133+Résultats!G$36*Données!F1133+Résultats!G$37*Données!G1133+Résultats!G$38*Données!H1133+Résultats!G$39*Données!I1133</f>
        <v>98415.468339165338</v>
      </c>
      <c r="M1133">
        <f t="shared" si="68"/>
        <v>-31415.468339165338</v>
      </c>
      <c r="Q1133">
        <v>180000</v>
      </c>
      <c r="R1133">
        <v>1</v>
      </c>
      <c r="S1133">
        <v>31.89999961853027</v>
      </c>
      <c r="T1133">
        <v>0</v>
      </c>
      <c r="U1133">
        <f t="shared" si="69"/>
        <v>12.323855681186558</v>
      </c>
      <c r="V1133">
        <f t="shared" si="70"/>
        <v>8.1122279583497239</v>
      </c>
      <c r="W1133">
        <v>0</v>
      </c>
      <c r="X1133">
        <v>0</v>
      </c>
      <c r="Y1133">
        <v>0</v>
      </c>
      <c r="Z1133">
        <f>'Résultat (Ln)'!F$30+'Résultat (Ln)'!F$31*Données!S1133+'Résultat (Ln)'!F$32*Données!T1133+'Résultat (Ln)'!F$33*Données!U1133+'Résultat (Ln)'!F$34*Données!V1133+'Résultat (Ln)'!F$35*Données!W1133+'Résultat (Ln)'!F$36*Données!X1133+'Résultat (Ln)'!F$37*Données!Y1133</f>
        <v>157729.63547223827</v>
      </c>
      <c r="AA1133">
        <f t="shared" si="71"/>
        <v>22270.364527761732</v>
      </c>
    </row>
    <row r="1134" spans="1:27" x14ac:dyDescent="0.25">
      <c r="A1134">
        <v>80000</v>
      </c>
      <c r="B1134">
        <v>1</v>
      </c>
      <c r="C1134">
        <v>30.60000038146973</v>
      </c>
      <c r="D1134">
        <v>0</v>
      </c>
      <c r="E1134">
        <v>125000</v>
      </c>
      <c r="F1134">
        <v>4213</v>
      </c>
      <c r="G1134">
        <v>0</v>
      </c>
      <c r="H1134">
        <v>0</v>
      </c>
      <c r="I1134">
        <v>0</v>
      </c>
      <c r="J1134">
        <v>20.60000038146973</v>
      </c>
      <c r="K1134">
        <v>0</v>
      </c>
      <c r="L1134">
        <f>Résultats!G$32+Résultats!G$33*Données!C1134+Résultats!G$34*Données!D1134+Résultats!G$35*Données!E1134+Résultats!G$36*Données!F1134+Résultats!G$37*Données!G1134+Résultats!G$38*Données!H1134+Résultats!G$39*Données!I1134</f>
        <v>98243.976791077643</v>
      </c>
      <c r="M1134">
        <f t="shared" si="68"/>
        <v>-18243.976791077643</v>
      </c>
      <c r="Q1134">
        <v>67000</v>
      </c>
      <c r="R1134">
        <v>1</v>
      </c>
      <c r="S1134">
        <v>37</v>
      </c>
      <c r="T1134">
        <v>0</v>
      </c>
      <c r="U1134">
        <f t="shared" si="69"/>
        <v>11.472103470449973</v>
      </c>
      <c r="V1134">
        <f t="shared" si="70"/>
        <v>8.2623009417874478</v>
      </c>
      <c r="W1134">
        <v>1</v>
      </c>
      <c r="X1134">
        <v>0</v>
      </c>
      <c r="Y1134">
        <v>0</v>
      </c>
      <c r="Z1134">
        <f>'Résultat (Ln)'!F$30+'Résultat (Ln)'!F$31*Données!S1134+'Résultat (Ln)'!F$32*Données!T1134+'Résultat (Ln)'!F$33*Données!U1134+'Résultat (Ln)'!F$34*Données!V1134+'Résultat (Ln)'!F$35*Données!W1134+'Résultat (Ln)'!F$36*Données!X1134+'Résultat (Ln)'!F$37*Données!Y1134</f>
        <v>81380.930904721856</v>
      </c>
      <c r="AA1134">
        <f t="shared" si="71"/>
        <v>-14380.930904721856</v>
      </c>
    </row>
    <row r="1135" spans="1:27" x14ac:dyDescent="0.25">
      <c r="A1135">
        <v>228000</v>
      </c>
      <c r="B1135">
        <v>1</v>
      </c>
      <c r="C1135">
        <v>25</v>
      </c>
      <c r="D1135">
        <v>0</v>
      </c>
      <c r="E1135">
        <v>285000</v>
      </c>
      <c r="F1135">
        <v>4532</v>
      </c>
      <c r="G1135">
        <v>1</v>
      </c>
      <c r="H1135">
        <v>0</v>
      </c>
      <c r="I1135">
        <v>0</v>
      </c>
      <c r="J1135">
        <v>25</v>
      </c>
      <c r="K1135">
        <v>1</v>
      </c>
      <c r="L1135">
        <f>Résultats!G$32+Résultats!G$33*Données!C1135+Résultats!G$34*Données!D1135+Résultats!G$35*Données!E1135+Résultats!G$36*Données!F1135+Résultats!G$37*Données!G1135+Résultats!G$38*Données!H1135+Résultats!G$39*Données!I1135</f>
        <v>174158.71786817929</v>
      </c>
      <c r="M1135">
        <f t="shared" si="68"/>
        <v>53841.282131820713</v>
      </c>
      <c r="Q1135">
        <v>80000</v>
      </c>
      <c r="R1135">
        <v>1</v>
      </c>
      <c r="S1135">
        <v>30.60000038146973</v>
      </c>
      <c r="T1135">
        <v>0</v>
      </c>
      <c r="U1135">
        <f t="shared" si="69"/>
        <v>11.736069016284437</v>
      </c>
      <c r="V1135">
        <f t="shared" si="70"/>
        <v>8.3459302619790172</v>
      </c>
      <c r="W1135">
        <v>0</v>
      </c>
      <c r="X1135">
        <v>0</v>
      </c>
      <c r="Y1135">
        <v>0</v>
      </c>
      <c r="Z1135">
        <f>'Résultat (Ln)'!F$30+'Résultat (Ln)'!F$31*Données!S1135+'Résultat (Ln)'!F$32*Données!T1135+'Résultat (Ln)'!F$33*Données!U1135+'Résultat (Ln)'!F$34*Données!V1135+'Résultat (Ln)'!F$35*Données!W1135+'Résultat (Ln)'!F$36*Données!X1135+'Résultat (Ln)'!F$37*Données!Y1135</f>
        <v>99687.225088324456</v>
      </c>
      <c r="AA1135">
        <f t="shared" si="71"/>
        <v>-19687.225088324456</v>
      </c>
    </row>
    <row r="1136" spans="1:27" x14ac:dyDescent="0.25">
      <c r="A1136">
        <v>98000</v>
      </c>
      <c r="B1136">
        <v>1</v>
      </c>
      <c r="C1136">
        <v>34.5</v>
      </c>
      <c r="D1136">
        <v>0</v>
      </c>
      <c r="E1136">
        <v>163000</v>
      </c>
      <c r="F1136">
        <v>2264</v>
      </c>
      <c r="G1136">
        <v>1</v>
      </c>
      <c r="H1136">
        <v>0</v>
      </c>
      <c r="I1136">
        <v>0</v>
      </c>
      <c r="J1136">
        <v>24.85000038146973</v>
      </c>
      <c r="K1136">
        <v>0</v>
      </c>
      <c r="L1136">
        <f>Résultats!G$32+Résultats!G$33*Données!C1136+Résultats!G$34*Données!D1136+Résultats!G$35*Données!E1136+Résultats!G$36*Données!F1136+Résultats!G$37*Données!G1136+Résultats!G$38*Données!H1136+Résultats!G$39*Données!I1136</f>
        <v>123707.88594620393</v>
      </c>
      <c r="M1136">
        <f t="shared" si="68"/>
        <v>-25707.885946203925</v>
      </c>
      <c r="Q1136">
        <v>228000</v>
      </c>
      <c r="R1136">
        <v>1</v>
      </c>
      <c r="S1136">
        <v>25</v>
      </c>
      <c r="T1136">
        <v>0</v>
      </c>
      <c r="U1136">
        <f t="shared" si="69"/>
        <v>12.560244459250788</v>
      </c>
      <c r="V1136">
        <f t="shared" si="70"/>
        <v>8.4189186221478973</v>
      </c>
      <c r="W1136">
        <v>1</v>
      </c>
      <c r="X1136">
        <v>0</v>
      </c>
      <c r="Y1136">
        <v>0</v>
      </c>
      <c r="Z1136">
        <f>'Résultat (Ln)'!F$30+'Résultat (Ln)'!F$31*Données!S1136+'Résultat (Ln)'!F$32*Données!T1136+'Résultat (Ln)'!F$33*Données!U1136+'Résultat (Ln)'!F$34*Données!V1136+'Résultat (Ln)'!F$35*Données!W1136+'Résultat (Ln)'!F$36*Données!X1136+'Résultat (Ln)'!F$37*Données!Y1136</f>
        <v>187752.79590085449</v>
      </c>
      <c r="AA1136">
        <f t="shared" si="71"/>
        <v>40247.204099145514</v>
      </c>
    </row>
    <row r="1137" spans="1:27" x14ac:dyDescent="0.25">
      <c r="A1137">
        <v>180000</v>
      </c>
      <c r="B1137">
        <v>1</v>
      </c>
      <c r="C1137">
        <v>42</v>
      </c>
      <c r="D1137">
        <v>0</v>
      </c>
      <c r="E1137">
        <v>275000</v>
      </c>
      <c r="F1137">
        <v>5463</v>
      </c>
      <c r="G1137">
        <v>1</v>
      </c>
      <c r="H1137">
        <v>0</v>
      </c>
      <c r="I1137">
        <v>1</v>
      </c>
      <c r="J1137">
        <v>23</v>
      </c>
      <c r="K1137">
        <v>1</v>
      </c>
      <c r="L1137">
        <f>Résultats!G$32+Résultats!G$33*Données!C1137+Résultats!G$34*Données!D1137+Résultats!G$35*Données!E1137+Résultats!G$36*Données!F1137+Résultats!G$37*Données!G1137+Résultats!G$38*Données!H1137+Résultats!G$39*Données!I1137</f>
        <v>200746.11852094208</v>
      </c>
      <c r="M1137">
        <f t="shared" si="68"/>
        <v>-20746.11852094208</v>
      </c>
      <c r="Q1137">
        <v>98000</v>
      </c>
      <c r="R1137">
        <v>1</v>
      </c>
      <c r="S1137">
        <v>34.5</v>
      </c>
      <c r="T1137">
        <v>0</v>
      </c>
      <c r="U1137">
        <f t="shared" si="69"/>
        <v>12.0015054797889</v>
      </c>
      <c r="V1137">
        <f t="shared" si="70"/>
        <v>7.7248884393230739</v>
      </c>
      <c r="W1137">
        <v>1</v>
      </c>
      <c r="X1137">
        <v>0</v>
      </c>
      <c r="Y1137">
        <v>0</v>
      </c>
      <c r="Z1137">
        <f>'Résultat (Ln)'!F$30+'Résultat (Ln)'!F$31*Données!S1137+'Résultat (Ln)'!F$32*Données!T1137+'Résultat (Ln)'!F$33*Données!U1137+'Résultat (Ln)'!F$34*Données!V1137+'Résultat (Ln)'!F$35*Données!W1137+'Résultat (Ln)'!F$36*Données!X1137+'Résultat (Ln)'!F$37*Données!Y1137</f>
        <v>120003.21698257177</v>
      </c>
      <c r="AA1137">
        <f t="shared" si="71"/>
        <v>-22003.216982571772</v>
      </c>
    </row>
    <row r="1138" spans="1:27" x14ac:dyDescent="0.25">
      <c r="A1138">
        <v>270000</v>
      </c>
      <c r="B1138">
        <v>1</v>
      </c>
      <c r="C1138">
        <v>27.60000038146973</v>
      </c>
      <c r="D1138">
        <v>0</v>
      </c>
      <c r="E1138">
        <v>360000</v>
      </c>
      <c r="F1138">
        <v>7965</v>
      </c>
      <c r="G1138">
        <v>1</v>
      </c>
      <c r="H1138">
        <v>0</v>
      </c>
      <c r="I1138">
        <v>0</v>
      </c>
      <c r="J1138">
        <v>25.89999961853027</v>
      </c>
      <c r="K1138">
        <v>1</v>
      </c>
      <c r="L1138">
        <f>Résultats!G$32+Résultats!G$33*Données!C1138+Résultats!G$34*Données!D1138+Résultats!G$35*Données!E1138+Résultats!G$36*Données!F1138+Résultats!G$37*Données!G1138+Résultats!G$38*Données!H1138+Résultats!G$39*Données!I1138</f>
        <v>218819.18046915464</v>
      </c>
      <c r="M1138">
        <f t="shared" si="68"/>
        <v>51180.819530845358</v>
      </c>
      <c r="Q1138">
        <v>180000</v>
      </c>
      <c r="R1138">
        <v>1</v>
      </c>
      <c r="S1138">
        <v>42</v>
      </c>
      <c r="T1138">
        <v>0</v>
      </c>
      <c r="U1138">
        <f t="shared" si="69"/>
        <v>12.524526376648708</v>
      </c>
      <c r="V1138">
        <f t="shared" si="70"/>
        <v>8.6057533683957175</v>
      </c>
      <c r="W1138">
        <v>1</v>
      </c>
      <c r="X1138">
        <v>0</v>
      </c>
      <c r="Y1138">
        <v>1</v>
      </c>
      <c r="Z1138">
        <f>'Résultat (Ln)'!F$30+'Résultat (Ln)'!F$31*Données!S1138+'Résultat (Ln)'!F$32*Données!T1138+'Résultat (Ln)'!F$33*Données!U1138+'Résultat (Ln)'!F$34*Données!V1138+'Résultat (Ln)'!F$35*Données!W1138+'Résultat (Ln)'!F$36*Données!X1138+'Résultat (Ln)'!F$37*Données!Y1138</f>
        <v>224025.53180422474</v>
      </c>
      <c r="AA1138">
        <f t="shared" si="71"/>
        <v>-44025.531804224738</v>
      </c>
    </row>
    <row r="1139" spans="1:27" x14ac:dyDescent="0.25">
      <c r="A1139">
        <v>288000</v>
      </c>
      <c r="B1139">
        <v>1</v>
      </c>
      <c r="C1139">
        <v>20</v>
      </c>
      <c r="D1139">
        <v>0</v>
      </c>
      <c r="E1139">
        <v>320000</v>
      </c>
      <c r="F1139">
        <v>6750</v>
      </c>
      <c r="G1139">
        <v>1</v>
      </c>
      <c r="H1139">
        <v>0</v>
      </c>
      <c r="I1139">
        <v>1</v>
      </c>
      <c r="J1139">
        <v>20</v>
      </c>
      <c r="K1139">
        <v>1</v>
      </c>
      <c r="L1139">
        <f>Résultats!G$32+Résultats!G$33*Données!C1139+Résultats!G$34*Données!D1139+Résultats!G$35*Données!E1139+Résultats!G$36*Données!F1139+Résultats!G$37*Données!G1139+Résultats!G$38*Données!H1139+Résultats!G$39*Données!I1139</f>
        <v>198982.19961034757</v>
      </c>
      <c r="M1139">
        <f t="shared" si="68"/>
        <v>89017.800389652431</v>
      </c>
      <c r="Q1139">
        <v>270000</v>
      </c>
      <c r="R1139">
        <v>1</v>
      </c>
      <c r="S1139">
        <v>27.60000038146973</v>
      </c>
      <c r="T1139">
        <v>0</v>
      </c>
      <c r="U1139">
        <f t="shared" si="69"/>
        <v>12.793859310432293</v>
      </c>
      <c r="V1139">
        <f t="shared" si="70"/>
        <v>8.9828122223441493</v>
      </c>
      <c r="W1139">
        <v>1</v>
      </c>
      <c r="X1139">
        <v>0</v>
      </c>
      <c r="Y1139">
        <v>0</v>
      </c>
      <c r="Z1139">
        <f>'Résultat (Ln)'!F$30+'Résultat (Ln)'!F$31*Données!S1139+'Résultat (Ln)'!F$32*Données!T1139+'Résultat (Ln)'!F$33*Données!U1139+'Résultat (Ln)'!F$34*Données!V1139+'Résultat (Ln)'!F$35*Données!W1139+'Résultat (Ln)'!F$36*Données!X1139+'Résultat (Ln)'!F$37*Données!Y1139</f>
        <v>231787.42229575515</v>
      </c>
      <c r="AA1139">
        <f t="shared" si="71"/>
        <v>38212.577704244846</v>
      </c>
    </row>
    <row r="1140" spans="1:27" x14ac:dyDescent="0.25">
      <c r="A1140">
        <v>100000</v>
      </c>
      <c r="B1140">
        <v>1</v>
      </c>
      <c r="C1140">
        <v>29.20000076293945</v>
      </c>
      <c r="D1140">
        <v>0</v>
      </c>
      <c r="E1140">
        <v>112000</v>
      </c>
      <c r="F1140">
        <v>3000</v>
      </c>
      <c r="G1140">
        <v>1</v>
      </c>
      <c r="H1140">
        <v>0</v>
      </c>
      <c r="I1140">
        <v>1</v>
      </c>
      <c r="J1140">
        <v>20.739999771118161</v>
      </c>
      <c r="K1140">
        <v>1</v>
      </c>
      <c r="L1140">
        <f>Résultats!G$32+Résultats!G$33*Données!C1140+Résultats!G$34*Données!D1140+Résultats!G$35*Données!E1140+Résultats!G$36*Données!F1140+Résultats!G$37*Données!G1140+Résultats!G$38*Données!H1140+Résultats!G$39*Données!I1140</f>
        <v>105156.98546910736</v>
      </c>
      <c r="M1140">
        <f t="shared" si="68"/>
        <v>-5156.985469107356</v>
      </c>
      <c r="Q1140">
        <v>288000</v>
      </c>
      <c r="R1140">
        <v>1</v>
      </c>
      <c r="S1140">
        <v>20</v>
      </c>
      <c r="T1140">
        <v>0</v>
      </c>
      <c r="U1140">
        <f t="shared" si="69"/>
        <v>12.676076274775909</v>
      </c>
      <c r="V1140">
        <f t="shared" si="70"/>
        <v>8.8172977838665751</v>
      </c>
      <c r="W1140">
        <v>1</v>
      </c>
      <c r="X1140">
        <v>0</v>
      </c>
      <c r="Y1140">
        <v>1</v>
      </c>
      <c r="Z1140">
        <f>'Résultat (Ln)'!F$30+'Résultat (Ln)'!F$31*Données!S1140+'Résultat (Ln)'!F$32*Données!T1140+'Résultat (Ln)'!F$33*Données!U1140+'Résultat (Ln)'!F$34*Données!V1140+'Résultat (Ln)'!F$35*Données!W1140+'Résultat (Ln)'!F$36*Données!X1140+'Résultat (Ln)'!F$37*Données!Y1140</f>
        <v>219319.03850305575</v>
      </c>
      <c r="AA1140">
        <f t="shared" si="71"/>
        <v>68680.961496944248</v>
      </c>
    </row>
    <row r="1141" spans="1:27" x14ac:dyDescent="0.25">
      <c r="A1141">
        <v>132000</v>
      </c>
      <c r="B1141">
        <v>1</v>
      </c>
      <c r="C1141">
        <v>14</v>
      </c>
      <c r="D1141">
        <v>0</v>
      </c>
      <c r="E1141">
        <v>132000</v>
      </c>
      <c r="F1141">
        <v>3321</v>
      </c>
      <c r="G1141">
        <v>1</v>
      </c>
      <c r="H1141">
        <v>0</v>
      </c>
      <c r="I1141">
        <v>0</v>
      </c>
      <c r="J1141">
        <v>9</v>
      </c>
      <c r="K1141">
        <v>1</v>
      </c>
      <c r="L1141">
        <f>Résultats!G$32+Résultats!G$33*Données!C1141+Résultats!G$34*Données!D1141+Résultats!G$35*Données!E1141+Résultats!G$36*Données!F1141+Résultats!G$37*Données!G1141+Résultats!G$38*Données!H1141+Résultats!G$39*Données!I1141</f>
        <v>87732.833091043096</v>
      </c>
      <c r="M1141">
        <f t="shared" si="68"/>
        <v>44267.166908956904</v>
      </c>
      <c r="Q1141">
        <v>100000</v>
      </c>
      <c r="R1141">
        <v>1</v>
      </c>
      <c r="S1141">
        <v>29.20000076293945</v>
      </c>
      <c r="T1141">
        <v>0</v>
      </c>
      <c r="U1141">
        <f t="shared" si="69"/>
        <v>11.626254150277232</v>
      </c>
      <c r="V1141">
        <f t="shared" si="70"/>
        <v>8.0063675676502459</v>
      </c>
      <c r="W1141">
        <v>1</v>
      </c>
      <c r="X1141">
        <v>0</v>
      </c>
      <c r="Y1141">
        <v>1</v>
      </c>
      <c r="Z1141">
        <f>'Résultat (Ln)'!F$30+'Résultat (Ln)'!F$31*Données!S1141+'Résultat (Ln)'!F$32*Données!T1141+'Résultat (Ln)'!F$33*Données!U1141+'Résultat (Ln)'!F$34*Données!V1141+'Résultat (Ln)'!F$35*Données!W1141+'Résultat (Ln)'!F$36*Données!X1141+'Résultat (Ln)'!F$37*Données!Y1141</f>
        <v>95282.358225818214</v>
      </c>
      <c r="AA1141">
        <f t="shared" si="71"/>
        <v>4717.6417741817859</v>
      </c>
    </row>
    <row r="1142" spans="1:27" x14ac:dyDescent="0.25">
      <c r="A1142">
        <v>200000</v>
      </c>
      <c r="B1142">
        <v>1</v>
      </c>
      <c r="C1142">
        <v>39</v>
      </c>
      <c r="D1142">
        <v>0</v>
      </c>
      <c r="E1142">
        <v>250000</v>
      </c>
      <c r="F1142">
        <v>5167</v>
      </c>
      <c r="G1142">
        <v>1</v>
      </c>
      <c r="H1142">
        <v>0</v>
      </c>
      <c r="I1142">
        <v>1</v>
      </c>
      <c r="J1142">
        <v>23</v>
      </c>
      <c r="K1142">
        <v>1</v>
      </c>
      <c r="L1142">
        <f>Résultats!G$32+Résultats!G$33*Données!C1142+Résultats!G$34*Données!D1142+Résultats!G$35*Données!E1142+Résultats!G$36*Données!F1142+Résultats!G$37*Données!G1142+Résultats!G$38*Données!H1142+Résultats!G$39*Données!I1142</f>
        <v>185052.69060650966</v>
      </c>
      <c r="M1142">
        <f t="shared" si="68"/>
        <v>14947.309393490345</v>
      </c>
      <c r="Q1142">
        <v>132000</v>
      </c>
      <c r="R1142">
        <v>1</v>
      </c>
      <c r="S1142">
        <v>14</v>
      </c>
      <c r="T1142">
        <v>0</v>
      </c>
      <c r="U1142">
        <f t="shared" si="69"/>
        <v>11.790557201568507</v>
      </c>
      <c r="V1142">
        <f t="shared" si="70"/>
        <v>8.1080212213767471</v>
      </c>
      <c r="W1142">
        <v>1</v>
      </c>
      <c r="X1142">
        <v>0</v>
      </c>
      <c r="Y1142">
        <v>0</v>
      </c>
      <c r="Z1142">
        <f>'Résultat (Ln)'!F$30+'Résultat (Ln)'!F$31*Données!S1142+'Résultat (Ln)'!F$32*Données!T1142+'Résultat (Ln)'!F$33*Données!U1142+'Résultat (Ln)'!F$34*Données!V1142+'Résultat (Ln)'!F$35*Données!W1142+'Résultat (Ln)'!F$36*Données!X1142+'Résultat (Ln)'!F$37*Données!Y1142</f>
        <v>83083.91959756329</v>
      </c>
      <c r="AA1142">
        <f t="shared" si="71"/>
        <v>48916.08040243671</v>
      </c>
    </row>
    <row r="1143" spans="1:27" x14ac:dyDescent="0.25">
      <c r="A1143">
        <v>81000</v>
      </c>
      <c r="B1143">
        <v>1</v>
      </c>
      <c r="C1143">
        <v>33</v>
      </c>
      <c r="D1143">
        <v>0</v>
      </c>
      <c r="E1143">
        <v>101000</v>
      </c>
      <c r="F1143">
        <v>4723</v>
      </c>
      <c r="G1143">
        <v>0</v>
      </c>
      <c r="H1143">
        <v>0</v>
      </c>
      <c r="I1143">
        <v>0</v>
      </c>
      <c r="J1143">
        <v>17</v>
      </c>
      <c r="K1143">
        <v>0</v>
      </c>
      <c r="L1143">
        <f>Résultats!G$32+Résultats!G$33*Données!C1143+Résultats!G$34*Données!D1143+Résultats!G$35*Données!E1143+Résultats!G$36*Données!F1143+Résultats!G$37*Données!G1143+Résultats!G$38*Données!H1143+Résultats!G$39*Données!I1143</f>
        <v>90782.178371169808</v>
      </c>
      <c r="M1143">
        <f t="shared" si="68"/>
        <v>-9782.1783711698081</v>
      </c>
      <c r="Q1143">
        <v>200000</v>
      </c>
      <c r="R1143">
        <v>1</v>
      </c>
      <c r="S1143">
        <v>39</v>
      </c>
      <c r="T1143">
        <v>0</v>
      </c>
      <c r="U1143">
        <f t="shared" si="69"/>
        <v>12.429216196844383</v>
      </c>
      <c r="V1143">
        <f t="shared" si="70"/>
        <v>8.550047528287184</v>
      </c>
      <c r="W1143">
        <v>1</v>
      </c>
      <c r="X1143">
        <v>0</v>
      </c>
      <c r="Y1143">
        <v>1</v>
      </c>
      <c r="Z1143">
        <f>'Résultat (Ln)'!F$30+'Résultat (Ln)'!F$31*Données!S1143+'Résultat (Ln)'!F$32*Données!T1143+'Résultat (Ln)'!F$33*Données!U1143+'Résultat (Ln)'!F$34*Données!V1143+'Résultat (Ln)'!F$35*Données!W1143+'Résultat (Ln)'!F$36*Données!X1143+'Résultat (Ln)'!F$37*Données!Y1143</f>
        <v>208580.26573502136</v>
      </c>
      <c r="AA1143">
        <f t="shared" si="71"/>
        <v>-8580.2657350213558</v>
      </c>
    </row>
    <row r="1144" spans="1:27" x14ac:dyDescent="0.25">
      <c r="A1144">
        <v>170000</v>
      </c>
      <c r="B1144">
        <v>1</v>
      </c>
      <c r="C1144">
        <v>30.39999961853027</v>
      </c>
      <c r="D1144">
        <v>0</v>
      </c>
      <c r="E1144">
        <v>255000</v>
      </c>
      <c r="F1144">
        <v>5678</v>
      </c>
      <c r="G1144">
        <v>1</v>
      </c>
      <c r="H1144">
        <v>0</v>
      </c>
      <c r="I1144">
        <v>0</v>
      </c>
      <c r="J1144">
        <v>28.79999923706055</v>
      </c>
      <c r="K1144">
        <v>1</v>
      </c>
      <c r="L1144">
        <f>Résultats!G$32+Résultats!G$33*Données!C1144+Résultats!G$34*Données!D1144+Résultats!G$35*Données!E1144+Résultats!G$36*Données!F1144+Résultats!G$37*Données!G1144+Résultats!G$38*Données!H1144+Résultats!G$39*Données!I1144</f>
        <v>168573.64373820965</v>
      </c>
      <c r="M1144">
        <f t="shared" si="68"/>
        <v>1426.3562617903517</v>
      </c>
      <c r="Q1144">
        <v>81000</v>
      </c>
      <c r="R1144">
        <v>1</v>
      </c>
      <c r="S1144">
        <v>33</v>
      </c>
      <c r="T1144">
        <v>0</v>
      </c>
      <c r="U1144">
        <f t="shared" si="69"/>
        <v>11.522875795823397</v>
      </c>
      <c r="V1144">
        <f t="shared" si="70"/>
        <v>8.4601994698961178</v>
      </c>
      <c r="W1144">
        <v>0</v>
      </c>
      <c r="X1144">
        <v>0</v>
      </c>
      <c r="Y1144">
        <v>0</v>
      </c>
      <c r="Z1144">
        <f>'Résultat (Ln)'!F$30+'Résultat (Ln)'!F$31*Données!S1144+'Résultat (Ln)'!F$32*Données!T1144+'Résultat (Ln)'!F$33*Données!U1144+'Résultat (Ln)'!F$34*Données!V1144+'Résultat (Ln)'!F$35*Données!W1144+'Résultat (Ln)'!F$36*Données!X1144+'Résultat (Ln)'!F$37*Données!Y1144</f>
        <v>82971.525469555374</v>
      </c>
      <c r="AA1144">
        <f t="shared" si="71"/>
        <v>-1971.525469555374</v>
      </c>
    </row>
    <row r="1145" spans="1:27" x14ac:dyDescent="0.25">
      <c r="A1145">
        <v>61000</v>
      </c>
      <c r="B1145">
        <v>1</v>
      </c>
      <c r="C1145">
        <v>19.20000076293945</v>
      </c>
      <c r="D1145">
        <v>0</v>
      </c>
      <c r="E1145">
        <v>68000</v>
      </c>
      <c r="F1145">
        <v>3445</v>
      </c>
      <c r="G1145">
        <v>0</v>
      </c>
      <c r="H1145">
        <v>0</v>
      </c>
      <c r="I1145">
        <v>1</v>
      </c>
      <c r="J1145">
        <v>17.770000457763668</v>
      </c>
      <c r="K1145">
        <v>0</v>
      </c>
      <c r="L1145">
        <f>Résultats!G$32+Résultats!G$33*Données!C1145+Résultats!G$34*Données!D1145+Résultats!G$35*Données!E1145+Résultats!G$36*Données!F1145+Résultats!G$37*Données!G1145+Résultats!G$38*Données!H1145+Résultats!G$39*Données!I1145</f>
        <v>66970.034753047454</v>
      </c>
      <c r="M1145">
        <f t="shared" si="68"/>
        <v>-5970.0347530474537</v>
      </c>
      <c r="Q1145">
        <v>170000</v>
      </c>
      <c r="R1145">
        <v>1</v>
      </c>
      <c r="S1145">
        <v>30.39999961853027</v>
      </c>
      <c r="T1145">
        <v>0</v>
      </c>
      <c r="U1145">
        <f t="shared" si="69"/>
        <v>12.449018824140563</v>
      </c>
      <c r="V1145">
        <f t="shared" si="70"/>
        <v>8.644354337032917</v>
      </c>
      <c r="W1145">
        <v>1</v>
      </c>
      <c r="X1145">
        <v>0</v>
      </c>
      <c r="Y1145">
        <v>0</v>
      </c>
      <c r="Z1145">
        <f>'Résultat (Ln)'!F$30+'Résultat (Ln)'!F$31*Données!S1145+'Résultat (Ln)'!F$32*Données!T1145+'Résultat (Ln)'!F$33*Données!U1145+'Résultat (Ln)'!F$34*Données!V1145+'Résultat (Ln)'!F$35*Données!W1145+'Résultat (Ln)'!F$36*Données!X1145+'Résultat (Ln)'!F$37*Données!Y1145</f>
        <v>188751.44508539056</v>
      </c>
      <c r="AA1145">
        <f t="shared" si="71"/>
        <v>-18751.445085390558</v>
      </c>
    </row>
    <row r="1146" spans="1:27" x14ac:dyDescent="0.25">
      <c r="A1146">
        <v>61000</v>
      </c>
      <c r="B1146">
        <v>1</v>
      </c>
      <c r="C1146">
        <v>31.10000038146973</v>
      </c>
      <c r="D1146">
        <v>0</v>
      </c>
      <c r="E1146">
        <v>76000</v>
      </c>
      <c r="F1146">
        <v>3056</v>
      </c>
      <c r="G1146">
        <v>0</v>
      </c>
      <c r="H1146">
        <v>0</v>
      </c>
      <c r="I1146">
        <v>1</v>
      </c>
      <c r="J1146">
        <v>23.819999694824219</v>
      </c>
      <c r="K1146">
        <v>0</v>
      </c>
      <c r="L1146">
        <f>Résultats!G$32+Résultats!G$33*Données!C1146+Résultats!G$34*Données!D1146+Résultats!G$35*Données!E1146+Résultats!G$36*Données!F1146+Résultats!G$37*Données!G1146+Résultats!G$38*Données!H1146+Résultats!G$39*Données!I1146</f>
        <v>83621.038690467452</v>
      </c>
      <c r="M1146">
        <f t="shared" si="68"/>
        <v>-22621.038690467452</v>
      </c>
      <c r="Q1146">
        <v>61000</v>
      </c>
      <c r="R1146">
        <v>1</v>
      </c>
      <c r="S1146">
        <v>19.20000076293945</v>
      </c>
      <c r="T1146">
        <v>0</v>
      </c>
      <c r="U1146">
        <f t="shared" si="69"/>
        <v>11.127262984158243</v>
      </c>
      <c r="V1146">
        <f t="shared" si="70"/>
        <v>8.1446791834477583</v>
      </c>
      <c r="W1146">
        <v>0</v>
      </c>
      <c r="X1146">
        <v>0</v>
      </c>
      <c r="Y1146">
        <v>1</v>
      </c>
      <c r="Z1146">
        <f>'Résultat (Ln)'!F$30+'Résultat (Ln)'!F$31*Données!S1146+'Résultat (Ln)'!F$32*Données!T1146+'Résultat (Ln)'!F$33*Données!U1146+'Résultat (Ln)'!F$34*Données!V1146+'Résultat (Ln)'!F$35*Données!W1146+'Résultat (Ln)'!F$36*Données!X1146+'Résultat (Ln)'!F$37*Données!Y1146</f>
        <v>28937.335922362196</v>
      </c>
      <c r="AA1146">
        <f t="shared" si="71"/>
        <v>32062.664077637804</v>
      </c>
    </row>
    <row r="1147" spans="1:27" x14ac:dyDescent="0.25">
      <c r="A1147">
        <v>100000</v>
      </c>
      <c r="B1147">
        <v>1</v>
      </c>
      <c r="C1147">
        <v>36</v>
      </c>
      <c r="D1147">
        <v>0</v>
      </c>
      <c r="E1147">
        <v>138000</v>
      </c>
      <c r="F1147">
        <v>2038</v>
      </c>
      <c r="G1147">
        <v>0</v>
      </c>
      <c r="H1147">
        <v>0</v>
      </c>
      <c r="I1147">
        <v>0</v>
      </c>
      <c r="J1147">
        <v>15</v>
      </c>
      <c r="K1147">
        <v>1</v>
      </c>
      <c r="L1147">
        <f>Résultats!G$32+Résultats!G$33*Données!C1147+Résultats!G$34*Données!D1147+Résultats!G$35*Données!E1147+Résultats!G$36*Données!F1147+Résultats!G$37*Données!G1147+Résultats!G$38*Données!H1147+Résultats!G$39*Données!I1147</f>
        <v>106302.50137235557</v>
      </c>
      <c r="M1147">
        <f t="shared" si="68"/>
        <v>-6302.5013723555749</v>
      </c>
      <c r="Q1147">
        <v>61000</v>
      </c>
      <c r="R1147">
        <v>1</v>
      </c>
      <c r="S1147">
        <v>31.10000038146973</v>
      </c>
      <c r="T1147">
        <v>0</v>
      </c>
      <c r="U1147">
        <f t="shared" si="69"/>
        <v>11.238488619268468</v>
      </c>
      <c r="V1147">
        <f t="shared" si="70"/>
        <v>8.0248621502864115</v>
      </c>
      <c r="W1147">
        <v>0</v>
      </c>
      <c r="X1147">
        <v>0</v>
      </c>
      <c r="Y1147">
        <v>1</v>
      </c>
      <c r="Z1147">
        <f>'Résultat (Ln)'!F$30+'Résultat (Ln)'!F$31*Données!S1147+'Résultat (Ln)'!F$32*Données!T1147+'Résultat (Ln)'!F$33*Données!U1147+'Résultat (Ln)'!F$34*Données!V1147+'Résultat (Ln)'!F$35*Données!W1147+'Résultat (Ln)'!F$36*Données!X1147+'Résultat (Ln)'!F$37*Données!Y1147</f>
        <v>52042.154249811138</v>
      </c>
      <c r="AA1147">
        <f t="shared" si="71"/>
        <v>8957.8457501888624</v>
      </c>
    </row>
    <row r="1148" spans="1:27" x14ac:dyDescent="0.25">
      <c r="A1148">
        <v>125000</v>
      </c>
      <c r="B1148">
        <v>1</v>
      </c>
      <c r="C1148">
        <v>39</v>
      </c>
      <c r="D1148">
        <v>0</v>
      </c>
      <c r="E1148">
        <v>156000</v>
      </c>
      <c r="F1148">
        <v>3500</v>
      </c>
      <c r="G1148">
        <v>1</v>
      </c>
      <c r="H1148">
        <v>0</v>
      </c>
      <c r="I1148">
        <v>0</v>
      </c>
      <c r="J1148">
        <v>25</v>
      </c>
      <c r="K1148">
        <v>1</v>
      </c>
      <c r="L1148">
        <f>Résultats!G$32+Résultats!G$33*Données!C1148+Résultats!G$34*Données!D1148+Résultats!G$35*Données!E1148+Résultats!G$36*Données!F1148+Résultats!G$37*Données!G1148+Résultats!G$38*Données!H1148+Résultats!G$39*Données!I1148</f>
        <v>128003.33495559958</v>
      </c>
      <c r="M1148">
        <f t="shared" si="68"/>
        <v>-3003.334955599581</v>
      </c>
      <c r="Q1148">
        <v>100000</v>
      </c>
      <c r="R1148">
        <v>1</v>
      </c>
      <c r="S1148">
        <v>36</v>
      </c>
      <c r="T1148">
        <v>0</v>
      </c>
      <c r="U1148">
        <f t="shared" si="69"/>
        <v>11.835008964139341</v>
      </c>
      <c r="V1148">
        <f t="shared" si="70"/>
        <v>7.6197242137826704</v>
      </c>
      <c r="W1148">
        <v>0</v>
      </c>
      <c r="X1148">
        <v>0</v>
      </c>
      <c r="Y1148">
        <v>0</v>
      </c>
      <c r="Z1148">
        <f>'Résultat (Ln)'!F$30+'Résultat (Ln)'!F$31*Données!S1148+'Résultat (Ln)'!F$32*Données!T1148+'Résultat (Ln)'!F$33*Données!U1148+'Résultat (Ln)'!F$34*Données!V1148+'Résultat (Ln)'!F$35*Données!W1148+'Résultat (Ln)'!F$36*Données!X1148+'Résultat (Ln)'!F$37*Données!Y1148</f>
        <v>96525.145188330702</v>
      </c>
      <c r="AA1148">
        <f t="shared" si="71"/>
        <v>3474.8548116692982</v>
      </c>
    </row>
    <row r="1149" spans="1:27" x14ac:dyDescent="0.25">
      <c r="A1149">
        <v>55000</v>
      </c>
      <c r="B1149">
        <v>1</v>
      </c>
      <c r="C1149">
        <v>30.10000038146973</v>
      </c>
      <c r="D1149">
        <v>0</v>
      </c>
      <c r="E1149">
        <v>172000</v>
      </c>
      <c r="F1149">
        <v>2362</v>
      </c>
      <c r="G1149">
        <v>0</v>
      </c>
      <c r="H1149">
        <v>0</v>
      </c>
      <c r="I1149">
        <v>0</v>
      </c>
      <c r="J1149">
        <v>27.829999923706058</v>
      </c>
      <c r="K1149">
        <v>0</v>
      </c>
      <c r="L1149">
        <f>Résultats!G$32+Résultats!G$33*Données!C1149+Résultats!G$34*Données!D1149+Résultats!G$35*Données!E1149+Résultats!G$36*Données!F1149+Résultats!G$37*Données!G1149+Résultats!G$38*Données!H1149+Résultats!G$39*Données!I1149</f>
        <v>116029.60081511788</v>
      </c>
      <c r="M1149">
        <f t="shared" si="68"/>
        <v>-61029.600815117883</v>
      </c>
      <c r="Q1149">
        <v>125000</v>
      </c>
      <c r="R1149">
        <v>1</v>
      </c>
      <c r="S1149">
        <v>39</v>
      </c>
      <c r="T1149">
        <v>0</v>
      </c>
      <c r="U1149">
        <f t="shared" si="69"/>
        <v>11.957611286231675</v>
      </c>
      <c r="V1149">
        <f t="shared" si="70"/>
        <v>8.1605182474775049</v>
      </c>
      <c r="W1149">
        <v>1</v>
      </c>
      <c r="X1149">
        <v>0</v>
      </c>
      <c r="Y1149">
        <v>0</v>
      </c>
      <c r="Z1149">
        <f>'Résultat (Ln)'!F$30+'Résultat (Ln)'!F$31*Données!S1149+'Résultat (Ln)'!F$32*Données!T1149+'Résultat (Ln)'!F$33*Données!U1149+'Résultat (Ln)'!F$34*Données!V1149+'Résultat (Ln)'!F$35*Données!W1149+'Résultat (Ln)'!F$36*Données!X1149+'Résultat (Ln)'!F$37*Données!Y1149</f>
        <v>133014.7217787354</v>
      </c>
      <c r="AA1149">
        <f t="shared" si="71"/>
        <v>-8014.721778735402</v>
      </c>
    </row>
    <row r="1150" spans="1:27" x14ac:dyDescent="0.25">
      <c r="A1150">
        <v>200000</v>
      </c>
      <c r="B1150">
        <v>1</v>
      </c>
      <c r="C1150">
        <v>48</v>
      </c>
      <c r="D1150">
        <v>1</v>
      </c>
      <c r="E1150">
        <v>250000</v>
      </c>
      <c r="F1150">
        <v>5333</v>
      </c>
      <c r="G1150">
        <v>0</v>
      </c>
      <c r="H1150">
        <v>0</v>
      </c>
      <c r="I1150">
        <v>0</v>
      </c>
      <c r="J1150">
        <v>26</v>
      </c>
      <c r="K1150">
        <v>1</v>
      </c>
      <c r="L1150">
        <f>Résultats!G$32+Résultats!G$33*Données!C1150+Résultats!G$34*Données!D1150+Résultats!G$35*Données!E1150+Résultats!G$36*Données!F1150+Résultats!G$37*Données!G1150+Résultats!G$38*Données!H1150+Résultats!G$39*Données!I1150</f>
        <v>183618.57009855777</v>
      </c>
      <c r="M1150">
        <f t="shared" si="68"/>
        <v>16381.429901442229</v>
      </c>
      <c r="Q1150">
        <v>55000</v>
      </c>
      <c r="R1150">
        <v>1</v>
      </c>
      <c r="S1150">
        <v>30.10000038146973</v>
      </c>
      <c r="T1150">
        <v>0</v>
      </c>
      <c r="U1150">
        <f t="shared" si="69"/>
        <v>12.05524975579559</v>
      </c>
      <c r="V1150">
        <f t="shared" si="70"/>
        <v>7.7672639967573076</v>
      </c>
      <c r="W1150">
        <v>0</v>
      </c>
      <c r="X1150">
        <v>0</v>
      </c>
      <c r="Y1150">
        <v>0</v>
      </c>
      <c r="Z1150">
        <f>'Résultat (Ln)'!F$30+'Résultat (Ln)'!F$31*Données!S1150+'Résultat (Ln)'!F$32*Données!T1150+'Résultat (Ln)'!F$33*Données!U1150+'Résultat (Ln)'!F$34*Données!V1150+'Résultat (Ln)'!F$35*Données!W1150+'Résultat (Ln)'!F$36*Données!X1150+'Résultat (Ln)'!F$37*Données!Y1150</f>
        <v>117061.81053317024</v>
      </c>
      <c r="AA1150">
        <f t="shared" si="71"/>
        <v>-62061.810533170239</v>
      </c>
    </row>
    <row r="1151" spans="1:27" x14ac:dyDescent="0.25">
      <c r="A1151">
        <v>272000</v>
      </c>
      <c r="B1151">
        <v>1</v>
      </c>
      <c r="C1151">
        <v>38.900001525878913</v>
      </c>
      <c r="D1151">
        <v>0</v>
      </c>
      <c r="E1151">
        <v>340000</v>
      </c>
      <c r="F1151">
        <v>8420</v>
      </c>
      <c r="G1151">
        <v>1</v>
      </c>
      <c r="H1151">
        <v>0</v>
      </c>
      <c r="I1151">
        <v>1</v>
      </c>
      <c r="J1151">
        <v>26.129999160766602</v>
      </c>
      <c r="K1151">
        <v>1</v>
      </c>
      <c r="L1151">
        <f>Résultats!G$32+Résultats!G$33*Données!C1151+Résultats!G$34*Données!D1151+Résultats!G$35*Données!E1151+Résultats!G$36*Données!F1151+Résultats!G$37*Données!G1151+Résultats!G$38*Données!H1151+Résultats!G$39*Données!I1151</f>
        <v>233267.24180266925</v>
      </c>
      <c r="M1151">
        <f t="shared" si="68"/>
        <v>38732.758197330753</v>
      </c>
      <c r="Q1151">
        <v>200000</v>
      </c>
      <c r="R1151">
        <v>1</v>
      </c>
      <c r="S1151">
        <v>48</v>
      </c>
      <c r="T1151">
        <v>1</v>
      </c>
      <c r="U1151">
        <f t="shared" si="69"/>
        <v>12.429216196844383</v>
      </c>
      <c r="V1151">
        <f t="shared" si="70"/>
        <v>8.5816692106006016</v>
      </c>
      <c r="W1151">
        <v>0</v>
      </c>
      <c r="X1151">
        <v>0</v>
      </c>
      <c r="Y1151">
        <v>0</v>
      </c>
      <c r="Z1151">
        <f>'Résultat (Ln)'!F$30+'Résultat (Ln)'!F$31*Données!S1151+'Résultat (Ln)'!F$32*Données!T1151+'Résultat (Ln)'!F$33*Données!U1151+'Résultat (Ln)'!F$34*Données!V1151+'Résultat (Ln)'!F$35*Données!W1151+'Résultat (Ln)'!F$36*Données!X1151+'Résultat (Ln)'!F$37*Données!Y1151</f>
        <v>206213.33982603173</v>
      </c>
      <c r="AA1151">
        <f t="shared" si="71"/>
        <v>-6213.3398260317335</v>
      </c>
    </row>
    <row r="1152" spans="1:27" x14ac:dyDescent="0.25">
      <c r="A1152">
        <v>236000</v>
      </c>
      <c r="B1152">
        <v>1</v>
      </c>
      <c r="C1152">
        <v>29.29999923706055</v>
      </c>
      <c r="D1152">
        <v>0</v>
      </c>
      <c r="E1152">
        <v>295000</v>
      </c>
      <c r="F1152">
        <v>5000</v>
      </c>
      <c r="G1152">
        <v>1</v>
      </c>
      <c r="H1152">
        <v>0</v>
      </c>
      <c r="I1152">
        <v>0</v>
      </c>
      <c r="J1152">
        <v>28.20000076293945</v>
      </c>
      <c r="K1152">
        <v>1</v>
      </c>
      <c r="L1152">
        <f>Résultats!G$32+Résultats!G$33*Données!C1152+Résultats!G$34*Données!D1152+Résultats!G$35*Données!E1152+Résultats!G$36*Données!F1152+Résultats!G$37*Données!G1152+Résultats!G$38*Données!H1152+Résultats!G$39*Données!I1152</f>
        <v>184674.4167959195</v>
      </c>
      <c r="M1152">
        <f t="shared" si="68"/>
        <v>51325.583204080496</v>
      </c>
      <c r="Q1152">
        <v>272000</v>
      </c>
      <c r="R1152">
        <v>1</v>
      </c>
      <c r="S1152">
        <v>38.900001525878913</v>
      </c>
      <c r="T1152">
        <v>0</v>
      </c>
      <c r="U1152">
        <f t="shared" si="69"/>
        <v>12.736700896592344</v>
      </c>
      <c r="V1152">
        <f t="shared" si="70"/>
        <v>9.0383651072363715</v>
      </c>
      <c r="W1152">
        <v>1</v>
      </c>
      <c r="X1152">
        <v>0</v>
      </c>
      <c r="Y1152">
        <v>1</v>
      </c>
      <c r="Z1152">
        <f>'Résultat (Ln)'!F$30+'Résultat (Ln)'!F$31*Données!S1152+'Résultat (Ln)'!F$32*Données!T1152+'Résultat (Ln)'!F$33*Données!U1152+'Résultat (Ln)'!F$34*Données!V1152+'Résultat (Ln)'!F$35*Données!W1152+'Résultat (Ln)'!F$36*Données!X1152+'Résultat (Ln)'!F$37*Données!Y1152</f>
        <v>255114.31372813057</v>
      </c>
      <c r="AA1152">
        <f t="shared" si="71"/>
        <v>16885.686271869432</v>
      </c>
    </row>
    <row r="1153" spans="1:27" x14ac:dyDescent="0.25">
      <c r="A1153">
        <v>153000</v>
      </c>
      <c r="B1153">
        <v>1</v>
      </c>
      <c r="C1153">
        <v>32</v>
      </c>
      <c r="D1153">
        <v>0</v>
      </c>
      <c r="E1153">
        <v>175000</v>
      </c>
      <c r="F1153">
        <v>4333</v>
      </c>
      <c r="G1153">
        <v>1</v>
      </c>
      <c r="H1153">
        <v>0</v>
      </c>
      <c r="I1153">
        <v>0</v>
      </c>
      <c r="J1153">
        <v>30</v>
      </c>
      <c r="K1153">
        <v>0</v>
      </c>
      <c r="L1153">
        <f>Résultats!G$32+Résultats!G$33*Données!C1153+Résultats!G$34*Données!D1153+Résultats!G$35*Données!E1153+Résultats!G$36*Données!F1153+Résultats!G$37*Données!G1153+Résultats!G$38*Données!H1153+Résultats!G$39*Données!I1153</f>
        <v>130448.93128222982</v>
      </c>
      <c r="M1153">
        <f t="shared" si="68"/>
        <v>22551.068717770177</v>
      </c>
      <c r="Q1153">
        <v>236000</v>
      </c>
      <c r="R1153">
        <v>1</v>
      </c>
      <c r="S1153">
        <v>29.29999923706055</v>
      </c>
      <c r="T1153">
        <v>0</v>
      </c>
      <c r="U1153">
        <f t="shared" si="69"/>
        <v>12.594730635321957</v>
      </c>
      <c r="V1153">
        <f t="shared" si="70"/>
        <v>8.5171931914162382</v>
      </c>
      <c r="W1153">
        <v>1</v>
      </c>
      <c r="X1153">
        <v>0</v>
      </c>
      <c r="Y1153">
        <v>0</v>
      </c>
      <c r="Z1153">
        <f>'Résultat (Ln)'!F$30+'Résultat (Ln)'!F$31*Données!S1153+'Résultat (Ln)'!F$32*Données!T1153+'Résultat (Ln)'!F$33*Données!U1153+'Résultat (Ln)'!F$34*Données!V1153+'Résultat (Ln)'!F$35*Données!W1153+'Résultat (Ln)'!F$36*Données!X1153+'Résultat (Ln)'!F$37*Données!Y1153</f>
        <v>199460.5245291607</v>
      </c>
      <c r="AA1153">
        <f t="shared" si="71"/>
        <v>36539.475470839301</v>
      </c>
    </row>
    <row r="1154" spans="1:27" x14ac:dyDescent="0.25">
      <c r="A1154">
        <v>150000</v>
      </c>
      <c r="B1154">
        <v>1</v>
      </c>
      <c r="C1154">
        <v>69.199996948242188</v>
      </c>
      <c r="D1154">
        <v>0</v>
      </c>
      <c r="E1154">
        <v>189000</v>
      </c>
      <c r="F1154">
        <v>5384</v>
      </c>
      <c r="G1154">
        <v>1</v>
      </c>
      <c r="H1154">
        <v>0</v>
      </c>
      <c r="I1154">
        <v>1</v>
      </c>
      <c r="J1154">
        <v>53.599998474121087</v>
      </c>
      <c r="K1154">
        <v>1</v>
      </c>
      <c r="L1154">
        <f>Résultats!G$32+Résultats!G$33*Données!C1154+Résultats!G$34*Données!D1154+Résultats!G$35*Données!E1154+Résultats!G$36*Données!F1154+Résultats!G$37*Données!G1154+Résultats!G$38*Données!H1154+Résultats!G$39*Données!I1154</f>
        <v>191678.88301974055</v>
      </c>
      <c r="M1154">
        <f t="shared" si="68"/>
        <v>-41678.883019740548</v>
      </c>
      <c r="Q1154">
        <v>153000</v>
      </c>
      <c r="R1154">
        <v>1</v>
      </c>
      <c r="S1154">
        <v>32</v>
      </c>
      <c r="T1154">
        <v>0</v>
      </c>
      <c r="U1154">
        <f t="shared" si="69"/>
        <v>12.072541252905651</v>
      </c>
      <c r="V1154">
        <f t="shared" si="70"/>
        <v>8.3740154217399088</v>
      </c>
      <c r="W1154">
        <v>1</v>
      </c>
      <c r="X1154">
        <v>0</v>
      </c>
      <c r="Y1154">
        <v>0</v>
      </c>
      <c r="Z1154">
        <f>'Résultat (Ln)'!F$30+'Résultat (Ln)'!F$31*Données!S1154+'Résultat (Ln)'!F$32*Données!T1154+'Résultat (Ln)'!F$33*Données!U1154+'Résultat (Ln)'!F$34*Données!V1154+'Résultat (Ln)'!F$35*Données!W1154+'Résultat (Ln)'!F$36*Données!X1154+'Résultat (Ln)'!F$37*Données!Y1154</f>
        <v>142768.11539530012</v>
      </c>
      <c r="AA1154">
        <f t="shared" si="71"/>
        <v>10231.884604699881</v>
      </c>
    </row>
    <row r="1155" spans="1:27" x14ac:dyDescent="0.25">
      <c r="A1155">
        <v>137000</v>
      </c>
      <c r="B1155">
        <v>1</v>
      </c>
      <c r="C1155">
        <v>31.5</v>
      </c>
      <c r="D1155">
        <v>0</v>
      </c>
      <c r="E1155">
        <v>152000</v>
      </c>
      <c r="F1155">
        <v>2232</v>
      </c>
      <c r="G1155">
        <v>1</v>
      </c>
      <c r="H1155">
        <v>0</v>
      </c>
      <c r="I1155">
        <v>0</v>
      </c>
      <c r="J1155">
        <v>28.70000076293945</v>
      </c>
      <c r="K1155">
        <v>1</v>
      </c>
      <c r="L1155">
        <f>Résultats!G$32+Résultats!G$33*Données!C1155+Résultats!G$34*Données!D1155+Résultats!G$35*Données!E1155+Résultats!G$36*Données!F1155+Résultats!G$37*Données!G1155+Résultats!G$38*Données!H1155+Résultats!G$39*Données!I1155</f>
        <v>115063.37965774772</v>
      </c>
      <c r="M1155">
        <f t="shared" ref="M1155:M1218" si="72">A1155-L1155</f>
        <v>21936.620342252281</v>
      </c>
      <c r="Q1155">
        <v>150000</v>
      </c>
      <c r="R1155">
        <v>1</v>
      </c>
      <c r="S1155">
        <v>69.199996948242188</v>
      </c>
      <c r="T1155">
        <v>0</v>
      </c>
      <c r="U1155">
        <f t="shared" si="69"/>
        <v>12.149502294041779</v>
      </c>
      <c r="V1155">
        <f t="shared" si="70"/>
        <v>8.5911868713245632</v>
      </c>
      <c r="W1155">
        <v>1</v>
      </c>
      <c r="X1155">
        <v>0</v>
      </c>
      <c r="Y1155">
        <v>1</v>
      </c>
      <c r="Z1155">
        <f>'Résultat (Ln)'!F$30+'Résultat (Ln)'!F$31*Données!S1155+'Résultat (Ln)'!F$32*Données!T1155+'Résultat (Ln)'!F$33*Données!U1155+'Résultat (Ln)'!F$34*Données!V1155+'Résultat (Ln)'!F$35*Données!W1155+'Résultat (Ln)'!F$36*Données!X1155+'Résultat (Ln)'!F$37*Données!Y1155</f>
        <v>216655.59454077494</v>
      </c>
      <c r="AA1155">
        <f t="shared" si="71"/>
        <v>-66655.594540774939</v>
      </c>
    </row>
    <row r="1156" spans="1:27" x14ac:dyDescent="0.25">
      <c r="A1156">
        <v>100000</v>
      </c>
      <c r="B1156">
        <v>1</v>
      </c>
      <c r="C1156">
        <v>35</v>
      </c>
      <c r="D1156">
        <v>0</v>
      </c>
      <c r="E1156">
        <v>125000</v>
      </c>
      <c r="F1156">
        <v>3250</v>
      </c>
      <c r="G1156">
        <v>1</v>
      </c>
      <c r="H1156">
        <v>0</v>
      </c>
      <c r="I1156">
        <v>0</v>
      </c>
      <c r="J1156">
        <v>16</v>
      </c>
      <c r="K1156">
        <v>1</v>
      </c>
      <c r="L1156">
        <f>Résultats!G$32+Résultats!G$33*Données!C1156+Résultats!G$34*Données!D1156+Résultats!G$35*Données!E1156+Résultats!G$36*Données!F1156+Résultats!G$37*Données!G1156+Résultats!G$38*Données!H1156+Résultats!G$39*Données!I1156</f>
        <v>108448.65526883847</v>
      </c>
      <c r="M1156">
        <f t="shared" si="72"/>
        <v>-8448.6552688384691</v>
      </c>
      <c r="Q1156">
        <v>137000</v>
      </c>
      <c r="R1156">
        <v>1</v>
      </c>
      <c r="S1156">
        <v>31.5</v>
      </c>
      <c r="T1156">
        <v>0</v>
      </c>
      <c r="U1156">
        <f t="shared" ref="U1156:U1219" si="73">LN(E1155)</f>
        <v>11.931635799828413</v>
      </c>
      <c r="V1156">
        <f t="shared" ref="V1156:V1219" si="74">LN(F1155)</f>
        <v>7.7106533235012016</v>
      </c>
      <c r="W1156">
        <v>1</v>
      </c>
      <c r="X1156">
        <v>0</v>
      </c>
      <c r="Y1156">
        <v>0</v>
      </c>
      <c r="Z1156">
        <f>'Résultat (Ln)'!F$30+'Résultat (Ln)'!F$31*Données!S1156+'Résultat (Ln)'!F$32*Données!T1156+'Résultat (Ln)'!F$33*Données!U1156+'Résultat (Ln)'!F$34*Données!V1156+'Résultat (Ln)'!F$35*Données!W1156+'Résultat (Ln)'!F$36*Données!X1156+'Résultat (Ln)'!F$37*Données!Y1156</f>
        <v>108448.1390473662</v>
      </c>
      <c r="AA1156">
        <f t="shared" ref="AA1156:AA1219" si="75">Q1156-Z1156</f>
        <v>28551.860952633797</v>
      </c>
    </row>
    <row r="1157" spans="1:27" x14ac:dyDescent="0.25">
      <c r="A1157">
        <v>130000</v>
      </c>
      <c r="B1157">
        <v>1</v>
      </c>
      <c r="C1157">
        <v>20</v>
      </c>
      <c r="D1157">
        <v>0</v>
      </c>
      <c r="E1157">
        <v>185500</v>
      </c>
      <c r="F1157">
        <v>4750</v>
      </c>
      <c r="G1157">
        <v>1</v>
      </c>
      <c r="H1157">
        <v>0</v>
      </c>
      <c r="I1157">
        <v>0</v>
      </c>
      <c r="J1157">
        <v>19</v>
      </c>
      <c r="K1157">
        <v>1</v>
      </c>
      <c r="L1157">
        <f>Résultats!G$32+Résultats!G$33*Données!C1157+Résultats!G$34*Données!D1157+Résultats!G$35*Données!E1157+Résultats!G$36*Données!F1157+Résultats!G$37*Données!G1157+Résultats!G$38*Données!H1157+Résultats!G$39*Données!I1157</f>
        <v>122375.95338539973</v>
      </c>
      <c r="M1157">
        <f t="shared" si="72"/>
        <v>7624.0466146002727</v>
      </c>
      <c r="Q1157">
        <v>100000</v>
      </c>
      <c r="R1157">
        <v>1</v>
      </c>
      <c r="S1157">
        <v>35</v>
      </c>
      <c r="T1157">
        <v>0</v>
      </c>
      <c r="U1157">
        <f t="shared" si="73"/>
        <v>11.736069016284437</v>
      </c>
      <c r="V1157">
        <f t="shared" si="74"/>
        <v>8.0864102753237823</v>
      </c>
      <c r="W1157">
        <v>1</v>
      </c>
      <c r="X1157">
        <v>0</v>
      </c>
      <c r="Y1157">
        <v>0</v>
      </c>
      <c r="Z1157">
        <f>'Résultat (Ln)'!F$30+'Résultat (Ln)'!F$31*Données!S1157+'Résultat (Ln)'!F$32*Données!T1157+'Résultat (Ln)'!F$33*Données!U1157+'Résultat (Ln)'!F$34*Données!V1157+'Résultat (Ln)'!F$35*Données!W1157+'Résultat (Ln)'!F$36*Données!X1157+'Résultat (Ln)'!F$37*Données!Y1157</f>
        <v>102299.79195685168</v>
      </c>
      <c r="AA1157">
        <f t="shared" si="75"/>
        <v>-2299.7919568516809</v>
      </c>
    </row>
    <row r="1158" spans="1:27" x14ac:dyDescent="0.25">
      <c r="A1158">
        <v>150000</v>
      </c>
      <c r="B1158">
        <v>1</v>
      </c>
      <c r="C1158">
        <v>30.39999961853027</v>
      </c>
      <c r="D1158">
        <v>0</v>
      </c>
      <c r="E1158">
        <v>230000</v>
      </c>
      <c r="F1158">
        <v>5708</v>
      </c>
      <c r="G1158">
        <v>0</v>
      </c>
      <c r="H1158">
        <v>0</v>
      </c>
      <c r="I1158">
        <v>0</v>
      </c>
      <c r="J1158">
        <v>27.70000076293945</v>
      </c>
      <c r="K1158">
        <v>1</v>
      </c>
      <c r="L1158">
        <f>Résultats!G$32+Résultats!G$33*Données!C1158+Résultats!G$34*Données!D1158+Résultats!G$35*Données!E1158+Résultats!G$36*Données!F1158+Résultats!G$37*Données!G1158+Résultats!G$38*Données!H1158+Résultats!G$39*Données!I1158</f>
        <v>149941.32716131819</v>
      </c>
      <c r="M1158">
        <f t="shared" si="72"/>
        <v>58.672838681814028</v>
      </c>
      <c r="Q1158">
        <v>130000</v>
      </c>
      <c r="R1158">
        <v>1</v>
      </c>
      <c r="S1158">
        <v>20</v>
      </c>
      <c r="T1158">
        <v>0</v>
      </c>
      <c r="U1158">
        <f t="shared" si="73"/>
        <v>12.130810161029627</v>
      </c>
      <c r="V1158">
        <f t="shared" si="74"/>
        <v>8.4658998970286863</v>
      </c>
      <c r="W1158">
        <v>1</v>
      </c>
      <c r="X1158">
        <v>0</v>
      </c>
      <c r="Y1158">
        <v>0</v>
      </c>
      <c r="Z1158">
        <f>'Résultat (Ln)'!F$30+'Résultat (Ln)'!F$31*Données!S1158+'Résultat (Ln)'!F$32*Données!T1158+'Résultat (Ln)'!F$33*Données!U1158+'Résultat (Ln)'!F$34*Données!V1158+'Résultat (Ln)'!F$35*Données!W1158+'Résultat (Ln)'!F$36*Données!X1158+'Résultat (Ln)'!F$37*Données!Y1158</f>
        <v>136926.76533367767</v>
      </c>
      <c r="AA1158">
        <f t="shared" si="75"/>
        <v>-6926.7653336776712</v>
      </c>
    </row>
    <row r="1159" spans="1:27" x14ac:dyDescent="0.25">
      <c r="A1159">
        <v>257000</v>
      </c>
      <c r="B1159">
        <v>1</v>
      </c>
      <c r="C1159">
        <v>35.099998474121087</v>
      </c>
      <c r="D1159">
        <v>1</v>
      </c>
      <c r="E1159">
        <v>285000</v>
      </c>
      <c r="F1159">
        <v>4708</v>
      </c>
      <c r="G1159">
        <v>1</v>
      </c>
      <c r="H1159">
        <v>0</v>
      </c>
      <c r="I1159">
        <v>1</v>
      </c>
      <c r="J1159">
        <v>35.139999389648438</v>
      </c>
      <c r="K1159">
        <v>1</v>
      </c>
      <c r="L1159">
        <f>Résultats!G$32+Résultats!G$33*Données!C1159+Résultats!G$34*Données!D1159+Résultats!G$35*Données!E1159+Résultats!G$36*Données!F1159+Résultats!G$37*Données!G1159+Résultats!G$38*Données!H1159+Résultats!G$39*Données!I1159</f>
        <v>200875.04309316888</v>
      </c>
      <c r="M1159">
        <f t="shared" si="72"/>
        <v>56124.956906831125</v>
      </c>
      <c r="Q1159">
        <v>150000</v>
      </c>
      <c r="R1159">
        <v>1</v>
      </c>
      <c r="S1159">
        <v>30.39999961853027</v>
      </c>
      <c r="T1159">
        <v>0</v>
      </c>
      <c r="U1159">
        <f t="shared" si="73"/>
        <v>12.345834587905333</v>
      </c>
      <c r="V1159">
        <f t="shared" si="74"/>
        <v>8.6496239785967273</v>
      </c>
      <c r="W1159">
        <v>0</v>
      </c>
      <c r="X1159">
        <v>0</v>
      </c>
      <c r="Y1159">
        <v>0</v>
      </c>
      <c r="Z1159">
        <f>'Résultat (Ln)'!F$30+'Résultat (Ln)'!F$31*Données!S1159+'Résultat (Ln)'!F$32*Données!T1159+'Résultat (Ln)'!F$33*Données!U1159+'Résultat (Ln)'!F$34*Données!V1159+'Résultat (Ln)'!F$35*Données!W1159+'Résultat (Ln)'!F$36*Données!X1159+'Résultat (Ln)'!F$37*Données!Y1159</f>
        <v>173324.31285209986</v>
      </c>
      <c r="AA1159">
        <f t="shared" si="75"/>
        <v>-23324.312852099858</v>
      </c>
    </row>
    <row r="1160" spans="1:27" x14ac:dyDescent="0.25">
      <c r="A1160">
        <v>95000</v>
      </c>
      <c r="B1160">
        <v>1</v>
      </c>
      <c r="C1160">
        <v>19</v>
      </c>
      <c r="D1160">
        <v>0</v>
      </c>
      <c r="E1160">
        <v>109000</v>
      </c>
      <c r="F1160">
        <v>3013</v>
      </c>
      <c r="G1160">
        <v>1</v>
      </c>
      <c r="H1160">
        <v>0</v>
      </c>
      <c r="I1160">
        <v>1</v>
      </c>
      <c r="J1160">
        <v>19</v>
      </c>
      <c r="K1160">
        <v>1</v>
      </c>
      <c r="L1160">
        <f>Résultats!G$32+Résultats!G$33*Données!C1160+Résultats!G$34*Données!D1160+Résultats!G$35*Données!E1160+Résultats!G$36*Données!F1160+Résultats!G$37*Données!G1160+Résultats!G$38*Données!H1160+Résultats!G$39*Données!I1160</f>
        <v>92064.878155477505</v>
      </c>
      <c r="M1160">
        <f t="shared" si="72"/>
        <v>2935.1218445224949</v>
      </c>
      <c r="Q1160">
        <v>257000</v>
      </c>
      <c r="R1160">
        <v>1</v>
      </c>
      <c r="S1160">
        <v>35.099998474121087</v>
      </c>
      <c r="T1160">
        <v>1</v>
      </c>
      <c r="U1160">
        <f t="shared" si="73"/>
        <v>12.560244459250788</v>
      </c>
      <c r="V1160">
        <f t="shared" si="74"/>
        <v>8.4570184683801681</v>
      </c>
      <c r="W1160">
        <v>1</v>
      </c>
      <c r="X1160">
        <v>0</v>
      </c>
      <c r="Y1160">
        <v>1</v>
      </c>
      <c r="Z1160">
        <f>'Résultat (Ln)'!F$30+'Résultat (Ln)'!F$31*Données!S1160+'Résultat (Ln)'!F$32*Données!T1160+'Résultat (Ln)'!F$33*Données!U1160+'Résultat (Ln)'!F$34*Données!V1160+'Résultat (Ln)'!F$35*Données!W1160+'Résultat (Ln)'!F$36*Données!X1160+'Résultat (Ln)'!F$37*Données!Y1160</f>
        <v>219599.69114139632</v>
      </c>
      <c r="AA1160">
        <f t="shared" si="75"/>
        <v>37400.308858603676</v>
      </c>
    </row>
    <row r="1161" spans="1:27" x14ac:dyDescent="0.25">
      <c r="A1161">
        <v>130000</v>
      </c>
      <c r="B1161">
        <v>1</v>
      </c>
      <c r="C1161">
        <v>29</v>
      </c>
      <c r="D1161">
        <v>0</v>
      </c>
      <c r="E1161">
        <v>130000</v>
      </c>
      <c r="F1161">
        <v>4405</v>
      </c>
      <c r="G1161">
        <v>1</v>
      </c>
      <c r="H1161">
        <v>0</v>
      </c>
      <c r="I1161">
        <v>1</v>
      </c>
      <c r="J1161">
        <v>17</v>
      </c>
      <c r="K1161">
        <v>1</v>
      </c>
      <c r="L1161">
        <f>Résultats!G$32+Résultats!G$33*Données!C1161+Résultats!G$34*Données!D1161+Résultats!G$35*Données!E1161+Résultats!G$36*Données!F1161+Résultats!G$37*Données!G1161+Résultats!G$38*Données!H1161+Résultats!G$39*Données!I1161</f>
        <v>116055.00060191196</v>
      </c>
      <c r="M1161">
        <f t="shared" si="72"/>
        <v>13944.999398088039</v>
      </c>
      <c r="Q1161">
        <v>95000</v>
      </c>
      <c r="R1161">
        <v>1</v>
      </c>
      <c r="S1161">
        <v>19</v>
      </c>
      <c r="T1161">
        <v>0</v>
      </c>
      <c r="U1161">
        <f t="shared" si="73"/>
        <v>11.59910316121128</v>
      </c>
      <c r="V1161">
        <f t="shared" si="74"/>
        <v>8.0106915391303009</v>
      </c>
      <c r="W1161">
        <v>1</v>
      </c>
      <c r="X1161">
        <v>0</v>
      </c>
      <c r="Y1161">
        <v>1</v>
      </c>
      <c r="Z1161">
        <f>'Résultat (Ln)'!F$30+'Résultat (Ln)'!F$31*Données!S1161+'Résultat (Ln)'!F$32*Données!T1161+'Résultat (Ln)'!F$33*Données!U1161+'Résultat (Ln)'!F$34*Données!V1161+'Résultat (Ln)'!F$35*Données!W1161+'Résultat (Ln)'!F$36*Données!X1161+'Résultat (Ln)'!F$37*Données!Y1161</f>
        <v>80028.342962310955</v>
      </c>
      <c r="AA1161">
        <f t="shared" si="75"/>
        <v>14971.657037689045</v>
      </c>
    </row>
    <row r="1162" spans="1:27" x14ac:dyDescent="0.25">
      <c r="A1162">
        <v>141000</v>
      </c>
      <c r="B1162">
        <v>1</v>
      </c>
      <c r="C1162">
        <v>36</v>
      </c>
      <c r="D1162">
        <v>0</v>
      </c>
      <c r="E1162">
        <v>176000</v>
      </c>
      <c r="F1162">
        <v>6822</v>
      </c>
      <c r="G1162">
        <v>0</v>
      </c>
      <c r="H1162">
        <v>0</v>
      </c>
      <c r="I1162">
        <v>1</v>
      </c>
      <c r="J1162">
        <v>22</v>
      </c>
      <c r="K1162">
        <v>1</v>
      </c>
      <c r="L1162">
        <f>Résultats!G$32+Résultats!G$33*Données!C1162+Résultats!G$34*Données!D1162+Résultats!G$35*Données!E1162+Résultats!G$36*Données!F1162+Résultats!G$37*Données!G1162+Résultats!G$38*Données!H1162+Résultats!G$39*Données!I1162</f>
        <v>143242.55719665979</v>
      </c>
      <c r="M1162">
        <f t="shared" si="72"/>
        <v>-2242.5571966597927</v>
      </c>
      <c r="Q1162">
        <v>130000</v>
      </c>
      <c r="R1162">
        <v>1</v>
      </c>
      <c r="S1162">
        <v>29</v>
      </c>
      <c r="T1162">
        <v>0</v>
      </c>
      <c r="U1162">
        <f t="shared" si="73"/>
        <v>11.77528972943772</v>
      </c>
      <c r="V1162">
        <f t="shared" si="74"/>
        <v>8.3904955383702795</v>
      </c>
      <c r="W1162">
        <v>1</v>
      </c>
      <c r="X1162">
        <v>0</v>
      </c>
      <c r="Y1162">
        <v>1</v>
      </c>
      <c r="Z1162">
        <f>'Résultat (Ln)'!F$30+'Résultat (Ln)'!F$31*Données!S1162+'Résultat (Ln)'!F$32*Données!T1162+'Résultat (Ln)'!F$33*Données!U1162+'Résultat (Ln)'!F$34*Données!V1162+'Résultat (Ln)'!F$35*Données!W1162+'Résultat (Ln)'!F$36*Données!X1162+'Résultat (Ln)'!F$37*Données!Y1162</f>
        <v>121787.07592692658</v>
      </c>
      <c r="AA1162">
        <f t="shared" si="75"/>
        <v>8212.9240730734164</v>
      </c>
    </row>
    <row r="1163" spans="1:27" x14ac:dyDescent="0.25">
      <c r="A1163">
        <v>133000</v>
      </c>
      <c r="B1163">
        <v>1</v>
      </c>
      <c r="C1163">
        <v>28</v>
      </c>
      <c r="D1163">
        <v>0</v>
      </c>
      <c r="E1163">
        <v>167000</v>
      </c>
      <c r="F1163">
        <v>6216</v>
      </c>
      <c r="G1163">
        <v>0</v>
      </c>
      <c r="H1163">
        <v>0</v>
      </c>
      <c r="I1163">
        <v>0</v>
      </c>
      <c r="J1163">
        <v>23</v>
      </c>
      <c r="K1163">
        <v>1</v>
      </c>
      <c r="L1163">
        <f>Résultats!G$32+Résultats!G$33*Données!C1163+Résultats!G$34*Données!D1163+Résultats!G$35*Données!E1163+Résultats!G$36*Données!F1163+Résultats!G$37*Données!G1163+Résultats!G$38*Données!H1163+Résultats!G$39*Données!I1163</f>
        <v>118750.85874504749</v>
      </c>
      <c r="M1163">
        <f t="shared" si="72"/>
        <v>14249.141254952512</v>
      </c>
      <c r="Q1163">
        <v>141000</v>
      </c>
      <c r="R1163">
        <v>1</v>
      </c>
      <c r="S1163">
        <v>36</v>
      </c>
      <c r="T1163">
        <v>0</v>
      </c>
      <c r="U1163">
        <f t="shared" si="73"/>
        <v>12.078239274020289</v>
      </c>
      <c r="V1163">
        <f t="shared" si="74"/>
        <v>8.8279079629785908</v>
      </c>
      <c r="W1163">
        <v>0</v>
      </c>
      <c r="X1163">
        <v>0</v>
      </c>
      <c r="Y1163">
        <v>1</v>
      </c>
      <c r="Z1163">
        <f>'Résultat (Ln)'!F$30+'Résultat (Ln)'!F$31*Données!S1163+'Résultat (Ln)'!F$32*Données!T1163+'Résultat (Ln)'!F$33*Données!U1163+'Résultat (Ln)'!F$34*Données!V1163+'Résultat (Ln)'!F$35*Données!W1163+'Résultat (Ln)'!F$36*Données!X1163+'Résultat (Ln)'!F$37*Données!Y1163</f>
        <v>170569.75813324066</v>
      </c>
      <c r="AA1163">
        <f t="shared" si="75"/>
        <v>-29569.758133240655</v>
      </c>
    </row>
    <row r="1164" spans="1:27" x14ac:dyDescent="0.25">
      <c r="A1164">
        <v>160000</v>
      </c>
      <c r="B1164">
        <v>1</v>
      </c>
      <c r="C1164">
        <v>37</v>
      </c>
      <c r="D1164">
        <v>0</v>
      </c>
      <c r="E1164">
        <v>209000</v>
      </c>
      <c r="F1164">
        <v>4315</v>
      </c>
      <c r="G1164">
        <v>1</v>
      </c>
      <c r="H1164">
        <v>0</v>
      </c>
      <c r="I1164">
        <v>0</v>
      </c>
      <c r="J1164">
        <v>36.090000152587891</v>
      </c>
      <c r="K1164">
        <v>1</v>
      </c>
      <c r="L1164">
        <f>Résultats!G$32+Résultats!G$33*Données!C1164+Résultats!G$34*Données!D1164+Résultats!G$35*Données!E1164+Résultats!G$36*Données!F1164+Résultats!G$37*Données!G1164+Résultats!G$38*Données!H1164+Résultats!G$39*Données!I1164</f>
        <v>152033.81414010396</v>
      </c>
      <c r="M1164">
        <f t="shared" si="72"/>
        <v>7966.1858598960389</v>
      </c>
      <c r="Q1164">
        <v>133000</v>
      </c>
      <c r="R1164">
        <v>1</v>
      </c>
      <c r="S1164">
        <v>28</v>
      </c>
      <c r="T1164">
        <v>0</v>
      </c>
      <c r="U1164">
        <f t="shared" si="73"/>
        <v>12.025749091398891</v>
      </c>
      <c r="V1164">
        <f t="shared" si="74"/>
        <v>8.7348818920474827</v>
      </c>
      <c r="W1164">
        <v>0</v>
      </c>
      <c r="X1164">
        <v>0</v>
      </c>
      <c r="Y1164">
        <v>0</v>
      </c>
      <c r="Z1164">
        <f>'Résultat (Ln)'!F$30+'Résultat (Ln)'!F$31*Données!S1164+'Résultat (Ln)'!F$32*Données!T1164+'Résultat (Ln)'!F$33*Données!U1164+'Résultat (Ln)'!F$34*Données!V1164+'Résultat (Ln)'!F$35*Données!W1164+'Résultat (Ln)'!F$36*Données!X1164+'Résultat (Ln)'!F$37*Données!Y1164</f>
        <v>138470.79468303855</v>
      </c>
      <c r="AA1164">
        <f t="shared" si="75"/>
        <v>-5470.7946830385481</v>
      </c>
    </row>
    <row r="1165" spans="1:27" x14ac:dyDescent="0.25">
      <c r="A1165">
        <v>118000</v>
      </c>
      <c r="B1165">
        <v>1</v>
      </c>
      <c r="C1165">
        <v>36</v>
      </c>
      <c r="D1165">
        <v>1</v>
      </c>
      <c r="E1165">
        <v>124000</v>
      </c>
      <c r="F1165">
        <v>3754</v>
      </c>
      <c r="G1165">
        <v>1</v>
      </c>
      <c r="H1165">
        <v>0</v>
      </c>
      <c r="I1165">
        <v>0</v>
      </c>
      <c r="J1165">
        <v>15.57999992370606</v>
      </c>
      <c r="K1165">
        <v>1</v>
      </c>
      <c r="L1165">
        <f>Résultats!G$32+Résultats!G$33*Données!C1165+Résultats!G$34*Données!D1165+Résultats!G$35*Données!E1165+Résultats!G$36*Données!F1165+Résultats!G$37*Données!G1165+Résultats!G$38*Données!H1165+Résultats!G$39*Données!I1165</f>
        <v>114955.26592691508</v>
      </c>
      <c r="M1165">
        <f t="shared" si="72"/>
        <v>3044.7340730849246</v>
      </c>
      <c r="Q1165">
        <v>160000</v>
      </c>
      <c r="R1165">
        <v>1</v>
      </c>
      <c r="S1165">
        <v>37</v>
      </c>
      <c r="T1165">
        <v>0</v>
      </c>
      <c r="U1165">
        <f t="shared" si="73"/>
        <v>12.250089530946948</v>
      </c>
      <c r="V1165">
        <f t="shared" si="74"/>
        <v>8.3698526035175291</v>
      </c>
      <c r="W1165">
        <v>1</v>
      </c>
      <c r="X1165">
        <v>0</v>
      </c>
      <c r="Y1165">
        <v>0</v>
      </c>
      <c r="Z1165">
        <f>'Résultat (Ln)'!F$30+'Résultat (Ln)'!F$31*Données!S1165+'Résultat (Ln)'!F$32*Données!T1165+'Résultat (Ln)'!F$33*Données!U1165+'Résultat (Ln)'!F$34*Données!V1165+'Résultat (Ln)'!F$35*Données!W1165+'Résultat (Ln)'!F$36*Données!X1165+'Résultat (Ln)'!F$37*Données!Y1165</f>
        <v>167793.95893098682</v>
      </c>
      <c r="AA1165">
        <f t="shared" si="75"/>
        <v>-7793.958930986817</v>
      </c>
    </row>
    <row r="1166" spans="1:27" x14ac:dyDescent="0.25">
      <c r="A1166">
        <v>150000</v>
      </c>
      <c r="B1166">
        <v>1</v>
      </c>
      <c r="C1166">
        <v>45</v>
      </c>
      <c r="D1166">
        <v>0</v>
      </c>
      <c r="E1166">
        <v>275000</v>
      </c>
      <c r="F1166">
        <v>2914</v>
      </c>
      <c r="G1166">
        <v>1</v>
      </c>
      <c r="H1166">
        <v>0</v>
      </c>
      <c r="I1166">
        <v>0</v>
      </c>
      <c r="J1166">
        <v>34</v>
      </c>
      <c r="K1166">
        <v>1</v>
      </c>
      <c r="L1166">
        <f>Résultats!G$32+Résultats!G$33*Données!C1166+Résultats!G$34*Données!D1166+Résultats!G$35*Données!E1166+Résultats!G$36*Données!F1166+Résultats!G$37*Données!G1166+Résultats!G$38*Données!H1166+Résultats!G$39*Données!I1166</f>
        <v>189327.25280601488</v>
      </c>
      <c r="M1166">
        <f t="shared" si="72"/>
        <v>-39327.252806014876</v>
      </c>
      <c r="Q1166">
        <v>118000</v>
      </c>
      <c r="R1166">
        <v>1</v>
      </c>
      <c r="S1166">
        <v>36</v>
      </c>
      <c r="T1166">
        <v>1</v>
      </c>
      <c r="U1166">
        <f t="shared" si="73"/>
        <v>11.728036844587175</v>
      </c>
      <c r="V1166">
        <f t="shared" si="74"/>
        <v>8.230577217146454</v>
      </c>
      <c r="W1166">
        <v>1</v>
      </c>
      <c r="X1166">
        <v>0</v>
      </c>
      <c r="Y1166">
        <v>0</v>
      </c>
      <c r="Z1166">
        <f>'Résultat (Ln)'!F$30+'Résultat (Ln)'!F$31*Données!S1166+'Résultat (Ln)'!F$32*Données!T1166+'Résultat (Ln)'!F$33*Données!U1166+'Résultat (Ln)'!F$34*Données!V1166+'Résultat (Ln)'!F$35*Données!W1166+'Résultat (Ln)'!F$36*Données!X1166+'Résultat (Ln)'!F$37*Données!Y1166</f>
        <v>111052.90791955414</v>
      </c>
      <c r="AA1166">
        <f t="shared" si="75"/>
        <v>6947.0920804458583</v>
      </c>
    </row>
    <row r="1167" spans="1:27" x14ac:dyDescent="0.25">
      <c r="A1167">
        <v>138000</v>
      </c>
      <c r="B1167">
        <v>1</v>
      </c>
      <c r="C1167">
        <v>39</v>
      </c>
      <c r="D1167">
        <v>0</v>
      </c>
      <c r="E1167">
        <v>172000</v>
      </c>
      <c r="F1167">
        <v>1986</v>
      </c>
      <c r="G1167">
        <v>1</v>
      </c>
      <c r="H1167">
        <v>1</v>
      </c>
      <c r="I1167">
        <v>1</v>
      </c>
      <c r="J1167">
        <v>27</v>
      </c>
      <c r="K1167">
        <v>1</v>
      </c>
      <c r="L1167">
        <f>Résultats!G$32+Résultats!G$33*Données!C1167+Résultats!G$34*Données!D1167+Résultats!G$35*Données!E1167+Résultats!G$36*Données!F1167+Résultats!G$37*Données!G1167+Résultats!G$38*Données!H1167+Résultats!G$39*Données!I1167</f>
        <v>140840.95756039862</v>
      </c>
      <c r="M1167">
        <f t="shared" si="72"/>
        <v>-2840.9575603986159</v>
      </c>
      <c r="Q1167">
        <v>150000</v>
      </c>
      <c r="R1167">
        <v>1</v>
      </c>
      <c r="S1167">
        <v>45</v>
      </c>
      <c r="T1167">
        <v>0</v>
      </c>
      <c r="U1167">
        <f t="shared" si="73"/>
        <v>12.524526376648708</v>
      </c>
      <c r="V1167">
        <f t="shared" si="74"/>
        <v>7.9772819867551501</v>
      </c>
      <c r="W1167">
        <v>1</v>
      </c>
      <c r="X1167">
        <v>0</v>
      </c>
      <c r="Y1167">
        <v>0</v>
      </c>
      <c r="Z1167">
        <f>'Résultat (Ln)'!F$30+'Résultat (Ln)'!F$31*Données!S1167+'Résultat (Ln)'!F$32*Données!T1167+'Résultat (Ln)'!F$33*Données!U1167+'Résultat (Ln)'!F$34*Données!V1167+'Résultat (Ln)'!F$35*Données!W1167+'Résultat (Ln)'!F$36*Données!X1167+'Résultat (Ln)'!F$37*Données!Y1167</f>
        <v>195978.7455902216</v>
      </c>
      <c r="AA1167">
        <f t="shared" si="75"/>
        <v>-45978.745590221602</v>
      </c>
    </row>
    <row r="1168" spans="1:27" x14ac:dyDescent="0.25">
      <c r="A1168">
        <v>118000</v>
      </c>
      <c r="B1168">
        <v>1</v>
      </c>
      <c r="C1168">
        <v>27</v>
      </c>
      <c r="D1168">
        <v>0</v>
      </c>
      <c r="E1168">
        <v>167899.9938964844</v>
      </c>
      <c r="F1168">
        <v>2747</v>
      </c>
      <c r="G1168">
        <v>1</v>
      </c>
      <c r="H1168">
        <v>0</v>
      </c>
      <c r="I1168">
        <v>0</v>
      </c>
      <c r="J1168">
        <v>23</v>
      </c>
      <c r="K1168">
        <v>1</v>
      </c>
      <c r="L1168">
        <f>Résultats!G$32+Résultats!G$33*Données!C1168+Résultats!G$34*Données!D1168+Résultats!G$35*Données!E1168+Résultats!G$36*Données!F1168+Résultats!G$37*Données!G1168+Résultats!G$38*Données!H1168+Résultats!G$39*Données!I1168</f>
        <v>118316.87756692026</v>
      </c>
      <c r="M1168">
        <f t="shared" si="72"/>
        <v>-316.87756692025869</v>
      </c>
      <c r="Q1168">
        <v>138000</v>
      </c>
      <c r="R1168">
        <v>1</v>
      </c>
      <c r="S1168">
        <v>39</v>
      </c>
      <c r="T1168">
        <v>0</v>
      </c>
      <c r="U1168">
        <f t="shared" si="73"/>
        <v>12.05524975579559</v>
      </c>
      <c r="V1168">
        <f t="shared" si="74"/>
        <v>7.5938778446051183</v>
      </c>
      <c r="W1168">
        <v>1</v>
      </c>
      <c r="X1168">
        <v>1</v>
      </c>
      <c r="Y1168">
        <v>1</v>
      </c>
      <c r="Z1168">
        <f>'Résultat (Ln)'!F$30+'Résultat (Ln)'!F$31*Données!S1168+'Résultat (Ln)'!F$32*Données!T1168+'Résultat (Ln)'!F$33*Données!U1168+'Résultat (Ln)'!F$34*Données!V1168+'Résultat (Ln)'!F$35*Données!W1168+'Résultat (Ln)'!F$36*Données!X1168+'Résultat (Ln)'!F$37*Données!Y1168</f>
        <v>141498.64529481632</v>
      </c>
      <c r="AA1168">
        <f t="shared" si="75"/>
        <v>-3498.6452948163205</v>
      </c>
    </row>
    <row r="1169" spans="1:27" x14ac:dyDescent="0.25">
      <c r="A1169">
        <v>96000</v>
      </c>
      <c r="B1169">
        <v>1</v>
      </c>
      <c r="C1169">
        <v>39.400001525878913</v>
      </c>
      <c r="D1169">
        <v>0</v>
      </c>
      <c r="E1169">
        <v>129000</v>
      </c>
      <c r="F1169">
        <v>2500</v>
      </c>
      <c r="G1169">
        <v>0</v>
      </c>
      <c r="H1169">
        <v>0</v>
      </c>
      <c r="I1169">
        <v>1</v>
      </c>
      <c r="J1169">
        <v>39.380001068115227</v>
      </c>
      <c r="K1169">
        <v>1</v>
      </c>
      <c r="L1169">
        <f>Résultats!G$32+Résultats!G$33*Données!C1169+Résultats!G$34*Données!D1169+Résultats!G$35*Données!E1169+Résultats!G$36*Données!F1169+Résultats!G$37*Données!G1169+Résultats!G$38*Données!H1169+Résultats!G$39*Données!I1169</f>
        <v>116826.11761598219</v>
      </c>
      <c r="M1169">
        <f t="shared" si="72"/>
        <v>-20826.117615982192</v>
      </c>
      <c r="Q1169">
        <v>118000</v>
      </c>
      <c r="R1169">
        <v>1</v>
      </c>
      <c r="S1169">
        <v>27</v>
      </c>
      <c r="T1169">
        <v>0</v>
      </c>
      <c r="U1169">
        <f t="shared" si="73"/>
        <v>12.031123806713543</v>
      </c>
      <c r="V1169">
        <f t="shared" si="74"/>
        <v>7.9182646860952737</v>
      </c>
      <c r="W1169">
        <v>1</v>
      </c>
      <c r="X1169">
        <v>0</v>
      </c>
      <c r="Y1169">
        <v>0</v>
      </c>
      <c r="Z1169">
        <f>'Résultat (Ln)'!F$30+'Résultat (Ln)'!F$31*Données!S1169+'Résultat (Ln)'!F$32*Données!T1169+'Résultat (Ln)'!F$33*Données!U1169+'Résultat (Ln)'!F$34*Données!V1169+'Résultat (Ln)'!F$35*Données!W1169+'Résultat (Ln)'!F$36*Données!X1169+'Résultat (Ln)'!F$37*Données!Y1169</f>
        <v>119436.25320694786</v>
      </c>
      <c r="AA1169">
        <f t="shared" si="75"/>
        <v>-1436.2532069478621</v>
      </c>
    </row>
    <row r="1170" spans="1:27" x14ac:dyDescent="0.25">
      <c r="A1170">
        <v>124000</v>
      </c>
      <c r="B1170">
        <v>1</v>
      </c>
      <c r="C1170">
        <v>43</v>
      </c>
      <c r="D1170">
        <v>0</v>
      </c>
      <c r="E1170">
        <v>165000</v>
      </c>
      <c r="F1170">
        <v>5124</v>
      </c>
      <c r="G1170">
        <v>0</v>
      </c>
      <c r="H1170">
        <v>0</v>
      </c>
      <c r="I1170">
        <v>0</v>
      </c>
      <c r="J1170">
        <v>34</v>
      </c>
      <c r="K1170">
        <v>1</v>
      </c>
      <c r="L1170">
        <f>Résultats!G$32+Résultats!G$33*Données!C1170+Résultats!G$34*Données!D1170+Résultats!G$35*Données!E1170+Résultats!G$36*Données!F1170+Résultats!G$37*Données!G1170+Résultats!G$38*Données!H1170+Résultats!G$39*Données!I1170</f>
        <v>132930.94409106291</v>
      </c>
      <c r="M1170">
        <f t="shared" si="72"/>
        <v>-8930.9440910629055</v>
      </c>
      <c r="Q1170">
        <v>96000</v>
      </c>
      <c r="R1170">
        <v>1</v>
      </c>
      <c r="S1170">
        <v>39.400001525878913</v>
      </c>
      <c r="T1170">
        <v>0</v>
      </c>
      <c r="U1170">
        <f t="shared" si="73"/>
        <v>11.76756768334381</v>
      </c>
      <c r="V1170">
        <f t="shared" si="74"/>
        <v>7.8240460108562919</v>
      </c>
      <c r="W1170">
        <v>0</v>
      </c>
      <c r="X1170">
        <v>0</v>
      </c>
      <c r="Y1170">
        <v>1</v>
      </c>
      <c r="Z1170">
        <f>'Résultat (Ln)'!F$30+'Résultat (Ln)'!F$31*Données!S1170+'Résultat (Ln)'!F$32*Données!T1170+'Résultat (Ln)'!F$33*Données!U1170+'Résultat (Ln)'!F$34*Données!V1170+'Résultat (Ln)'!F$35*Données!W1170+'Résultat (Ln)'!F$36*Données!X1170+'Résultat (Ln)'!F$37*Données!Y1170</f>
        <v>113267.97777891799</v>
      </c>
      <c r="AA1170">
        <f t="shared" si="75"/>
        <v>-17267.977778917993</v>
      </c>
    </row>
    <row r="1171" spans="1:27" x14ac:dyDescent="0.25">
      <c r="A1171">
        <v>100000</v>
      </c>
      <c r="B1171">
        <v>1</v>
      </c>
      <c r="C1171">
        <v>25</v>
      </c>
      <c r="D1171">
        <v>0</v>
      </c>
      <c r="E1171">
        <v>170000</v>
      </c>
      <c r="F1171">
        <v>3550</v>
      </c>
      <c r="G1171">
        <v>0</v>
      </c>
      <c r="H1171">
        <v>0</v>
      </c>
      <c r="I1171">
        <v>0</v>
      </c>
      <c r="J1171">
        <v>17</v>
      </c>
      <c r="K1171">
        <v>0</v>
      </c>
      <c r="L1171">
        <f>Résultats!G$32+Résultats!G$33*Données!C1171+Résultats!G$34*Données!D1171+Résultats!G$35*Données!E1171+Résultats!G$36*Données!F1171+Résultats!G$37*Données!G1171+Résultats!G$38*Données!H1171+Résultats!G$39*Données!I1171</f>
        <v>111539.56629660714</v>
      </c>
      <c r="M1171">
        <f t="shared" si="72"/>
        <v>-11539.56629660714</v>
      </c>
      <c r="Q1171">
        <v>124000</v>
      </c>
      <c r="R1171">
        <v>1</v>
      </c>
      <c r="S1171">
        <v>43</v>
      </c>
      <c r="T1171">
        <v>0</v>
      </c>
      <c r="U1171">
        <f t="shared" si="73"/>
        <v>12.013700752882718</v>
      </c>
      <c r="V1171">
        <f t="shared" si="74"/>
        <v>8.5416906630166256</v>
      </c>
      <c r="W1171">
        <v>0</v>
      </c>
      <c r="X1171">
        <v>0</v>
      </c>
      <c r="Y1171">
        <v>0</v>
      </c>
      <c r="Z1171">
        <f>'Résultat (Ln)'!F$30+'Résultat (Ln)'!F$31*Données!S1171+'Résultat (Ln)'!F$32*Données!T1171+'Résultat (Ln)'!F$33*Données!U1171+'Résultat (Ln)'!F$34*Données!V1171+'Résultat (Ln)'!F$35*Données!W1171+'Résultat (Ln)'!F$36*Données!X1171+'Résultat (Ln)'!F$37*Données!Y1171</f>
        <v>150091.67955797134</v>
      </c>
      <c r="AA1171">
        <f t="shared" si="75"/>
        <v>-26091.679557971336</v>
      </c>
    </row>
    <row r="1172" spans="1:27" x14ac:dyDescent="0.25">
      <c r="A1172">
        <v>175000</v>
      </c>
      <c r="B1172">
        <v>1</v>
      </c>
      <c r="C1172">
        <v>0</v>
      </c>
      <c r="D1172">
        <v>0</v>
      </c>
      <c r="E1172">
        <v>278000</v>
      </c>
      <c r="F1172">
        <v>6325</v>
      </c>
      <c r="G1172">
        <v>1</v>
      </c>
      <c r="H1172">
        <v>0</v>
      </c>
      <c r="I1172">
        <v>0</v>
      </c>
      <c r="J1172">
        <v>29</v>
      </c>
      <c r="K1172">
        <v>1</v>
      </c>
      <c r="L1172">
        <f>Résultats!G$32+Résultats!G$33*Données!C1172+Résultats!G$34*Données!D1172+Résultats!G$35*Données!E1172+Résultats!G$36*Données!F1172+Résultats!G$37*Données!G1172+Résultats!G$38*Données!H1172+Résultats!G$39*Données!I1172</f>
        <v>145647.73825632784</v>
      </c>
      <c r="M1172">
        <f t="shared" si="72"/>
        <v>29352.261743672163</v>
      </c>
      <c r="Q1172">
        <v>100000</v>
      </c>
      <c r="R1172">
        <v>1</v>
      </c>
      <c r="S1172">
        <v>25</v>
      </c>
      <c r="T1172">
        <v>0</v>
      </c>
      <c r="U1172">
        <f t="shared" si="73"/>
        <v>12.043553716032399</v>
      </c>
      <c r="V1172">
        <f t="shared" si="74"/>
        <v>8.174702882469461</v>
      </c>
      <c r="W1172">
        <v>0</v>
      </c>
      <c r="X1172">
        <v>0</v>
      </c>
      <c r="Y1172">
        <v>0</v>
      </c>
      <c r="Z1172">
        <f>'Résultat (Ln)'!F$30+'Résultat (Ln)'!F$31*Données!S1172+'Résultat (Ln)'!F$32*Données!T1172+'Résultat (Ln)'!F$33*Données!U1172+'Résultat (Ln)'!F$34*Données!V1172+'Résultat (Ln)'!F$35*Données!W1172+'Résultat (Ln)'!F$36*Données!X1172+'Résultat (Ln)'!F$37*Données!Y1172</f>
        <v>121002.58411668509</v>
      </c>
      <c r="AA1172">
        <f t="shared" si="75"/>
        <v>-21002.584116685088</v>
      </c>
    </row>
    <row r="1173" spans="1:27" x14ac:dyDescent="0.25">
      <c r="A1173">
        <v>570000</v>
      </c>
      <c r="B1173">
        <v>1</v>
      </c>
      <c r="C1173">
        <v>23</v>
      </c>
      <c r="D1173">
        <v>1</v>
      </c>
      <c r="E1173">
        <v>765000</v>
      </c>
      <c r="F1173">
        <v>19730</v>
      </c>
      <c r="G1173">
        <v>1</v>
      </c>
      <c r="H1173">
        <v>0</v>
      </c>
      <c r="I1173">
        <v>0</v>
      </c>
      <c r="J1173">
        <v>23</v>
      </c>
      <c r="K1173">
        <v>1</v>
      </c>
      <c r="L1173">
        <f>Résultats!G$32+Résultats!G$33*Données!C1173+Résultats!G$34*Données!D1173+Résultats!G$35*Données!E1173+Résultats!G$36*Données!F1173+Résultats!G$37*Données!G1173+Résultats!G$38*Données!H1173+Résultats!G$39*Données!I1173</f>
        <v>430297.68717284896</v>
      </c>
      <c r="M1173">
        <f t="shared" si="72"/>
        <v>139702.31282715104</v>
      </c>
      <c r="Q1173">
        <v>175000</v>
      </c>
      <c r="R1173">
        <v>1</v>
      </c>
      <c r="S1173">
        <v>0</v>
      </c>
      <c r="T1173">
        <v>0</v>
      </c>
      <c r="U1173">
        <f t="shared" si="73"/>
        <v>12.535376392672774</v>
      </c>
      <c r="V1173">
        <f t="shared" si="74"/>
        <v>8.7522653135957214</v>
      </c>
      <c r="W1173">
        <v>1</v>
      </c>
      <c r="X1173">
        <v>0</v>
      </c>
      <c r="Y1173">
        <v>0</v>
      </c>
      <c r="Z1173">
        <f>'Résultat (Ln)'!F$30+'Résultat (Ln)'!F$31*Données!S1173+'Résultat (Ln)'!F$32*Données!T1173+'Résultat (Ln)'!F$33*Données!U1173+'Résultat (Ln)'!F$34*Données!V1173+'Résultat (Ln)'!F$35*Données!W1173+'Résultat (Ln)'!F$36*Données!X1173+'Résultat (Ln)'!F$37*Données!Y1173</f>
        <v>163884.9974482425</v>
      </c>
      <c r="AA1173">
        <f t="shared" si="75"/>
        <v>11115.002551757498</v>
      </c>
    </row>
    <row r="1174" spans="1:27" x14ac:dyDescent="0.25">
      <c r="A1174">
        <v>212000</v>
      </c>
      <c r="B1174">
        <v>1</v>
      </c>
      <c r="C1174">
        <v>29.20000076293945</v>
      </c>
      <c r="D1174">
        <v>0</v>
      </c>
      <c r="E1174">
        <v>235000</v>
      </c>
      <c r="F1174">
        <v>7830</v>
      </c>
      <c r="G1174">
        <v>1</v>
      </c>
      <c r="H1174">
        <v>0</v>
      </c>
      <c r="I1174">
        <v>1</v>
      </c>
      <c r="J1174">
        <v>20.930000305175781</v>
      </c>
      <c r="K1174">
        <v>1</v>
      </c>
      <c r="L1174">
        <f>Résultats!G$32+Résultats!G$33*Données!C1174+Résultats!G$34*Données!D1174+Résultats!G$35*Données!E1174+Résultats!G$36*Données!F1174+Résultats!G$37*Données!G1174+Résultats!G$38*Données!H1174+Résultats!G$39*Données!I1174</f>
        <v>171951.75049244027</v>
      </c>
      <c r="M1174">
        <f t="shared" si="72"/>
        <v>40048.249507559725</v>
      </c>
      <c r="Q1174">
        <v>570000</v>
      </c>
      <c r="R1174">
        <v>1</v>
      </c>
      <c r="S1174">
        <v>23</v>
      </c>
      <c r="T1174">
        <v>1</v>
      </c>
      <c r="U1174">
        <f t="shared" si="73"/>
        <v>13.547631112808673</v>
      </c>
      <c r="V1174">
        <f t="shared" si="74"/>
        <v>9.8898955990166613</v>
      </c>
      <c r="W1174">
        <v>1</v>
      </c>
      <c r="X1174">
        <v>0</v>
      </c>
      <c r="Y1174">
        <v>0</v>
      </c>
      <c r="Z1174">
        <f>'Résultat (Ln)'!F$30+'Résultat (Ln)'!F$31*Données!S1174+'Résultat (Ln)'!F$32*Données!T1174+'Résultat (Ln)'!F$33*Données!U1174+'Résultat (Ln)'!F$34*Données!V1174+'Résultat (Ln)'!F$35*Données!W1174+'Résultat (Ln)'!F$36*Données!X1174+'Résultat (Ln)'!F$37*Données!Y1174</f>
        <v>336755.71315938269</v>
      </c>
      <c r="AA1174">
        <f t="shared" si="75"/>
        <v>233244.28684061731</v>
      </c>
    </row>
    <row r="1175" spans="1:27" x14ac:dyDescent="0.25">
      <c r="A1175">
        <v>99000</v>
      </c>
      <c r="B1175">
        <v>1</v>
      </c>
      <c r="C1175">
        <v>26.29999923706055</v>
      </c>
      <c r="D1175">
        <v>0</v>
      </c>
      <c r="E1175">
        <v>110000</v>
      </c>
      <c r="F1175">
        <v>4014</v>
      </c>
      <c r="G1175">
        <v>1</v>
      </c>
      <c r="H1175">
        <v>0</v>
      </c>
      <c r="I1175">
        <v>0</v>
      </c>
      <c r="J1175">
        <v>26.29999923706055</v>
      </c>
      <c r="K1175">
        <v>1</v>
      </c>
      <c r="L1175">
        <f>Résultats!G$32+Résultats!G$33*Données!C1175+Résultats!G$34*Données!D1175+Résultats!G$35*Données!E1175+Résultats!G$36*Données!F1175+Résultats!G$37*Données!G1175+Résultats!G$38*Données!H1175+Résultats!G$39*Données!I1175</f>
        <v>92931.392611496398</v>
      </c>
      <c r="M1175">
        <f t="shared" si="72"/>
        <v>6068.6073885036021</v>
      </c>
      <c r="Q1175">
        <v>212000</v>
      </c>
      <c r="R1175">
        <v>1</v>
      </c>
      <c r="S1175">
        <v>29.20000076293945</v>
      </c>
      <c r="T1175">
        <v>0</v>
      </c>
      <c r="U1175">
        <f t="shared" si="73"/>
        <v>12.367340793126296</v>
      </c>
      <c r="V1175">
        <f t="shared" si="74"/>
        <v>8.9657177889848487</v>
      </c>
      <c r="W1175">
        <v>1</v>
      </c>
      <c r="X1175">
        <v>0</v>
      </c>
      <c r="Y1175">
        <v>1</v>
      </c>
      <c r="Z1175">
        <f>'Résultat (Ln)'!F$30+'Résultat (Ln)'!F$31*Données!S1175+'Résultat (Ln)'!F$32*Données!T1175+'Résultat (Ln)'!F$33*Données!U1175+'Résultat (Ln)'!F$34*Données!V1175+'Résultat (Ln)'!F$35*Données!W1175+'Résultat (Ln)'!F$36*Données!X1175+'Résultat (Ln)'!F$37*Données!Y1175</f>
        <v>201629.29825828047</v>
      </c>
      <c r="AA1175">
        <f t="shared" si="75"/>
        <v>10370.701741719531</v>
      </c>
    </row>
    <row r="1176" spans="1:27" x14ac:dyDescent="0.25">
      <c r="A1176">
        <v>55000</v>
      </c>
      <c r="B1176">
        <v>1</v>
      </c>
      <c r="C1176">
        <v>12</v>
      </c>
      <c r="D1176">
        <v>0</v>
      </c>
      <c r="E1176">
        <v>55000</v>
      </c>
      <c r="F1176">
        <v>15759</v>
      </c>
      <c r="G1176">
        <v>0</v>
      </c>
      <c r="H1176">
        <v>0</v>
      </c>
      <c r="I1176">
        <v>0</v>
      </c>
      <c r="J1176">
        <v>7</v>
      </c>
      <c r="K1176">
        <v>0</v>
      </c>
      <c r="L1176">
        <f>Résultats!G$32+Résultats!G$33*Données!C1176+Résultats!G$34*Données!D1176+Résultats!G$35*Données!E1176+Résultats!G$36*Données!F1176+Résultats!G$37*Données!G1176+Résultats!G$38*Données!H1176+Résultats!G$39*Données!I1176</f>
        <v>66565.671419238119</v>
      </c>
      <c r="M1176">
        <f t="shared" si="72"/>
        <v>-11565.671419238119</v>
      </c>
      <c r="Q1176">
        <v>99000</v>
      </c>
      <c r="R1176">
        <v>1</v>
      </c>
      <c r="S1176">
        <v>26.29999923706055</v>
      </c>
      <c r="T1176">
        <v>0</v>
      </c>
      <c r="U1176">
        <f t="shared" si="73"/>
        <v>11.608235644774552</v>
      </c>
      <c r="V1176">
        <f t="shared" si="74"/>
        <v>8.2975435293562843</v>
      </c>
      <c r="W1176">
        <v>1</v>
      </c>
      <c r="X1176">
        <v>0</v>
      </c>
      <c r="Y1176">
        <v>0</v>
      </c>
      <c r="Z1176">
        <f>'Résultat (Ln)'!F$30+'Résultat (Ln)'!F$31*Données!S1176+'Résultat (Ln)'!F$32*Données!T1176+'Résultat (Ln)'!F$33*Données!U1176+'Résultat (Ln)'!F$34*Données!V1176+'Résultat (Ln)'!F$35*Données!W1176+'Résultat (Ln)'!F$36*Données!X1176+'Résultat (Ln)'!F$37*Données!Y1176</f>
        <v>83886.263440839379</v>
      </c>
      <c r="AA1176">
        <f t="shared" si="75"/>
        <v>15113.736559160621</v>
      </c>
    </row>
    <row r="1177" spans="1:27" x14ac:dyDescent="0.25">
      <c r="A1177">
        <v>212000</v>
      </c>
      <c r="B1177">
        <v>1</v>
      </c>
      <c r="C1177">
        <v>42.5</v>
      </c>
      <c r="D1177">
        <v>1</v>
      </c>
      <c r="E1177">
        <v>265000</v>
      </c>
      <c r="F1177">
        <v>3507</v>
      </c>
      <c r="G1177">
        <v>1</v>
      </c>
      <c r="H1177">
        <v>0</v>
      </c>
      <c r="I1177">
        <v>1</v>
      </c>
      <c r="J1177">
        <v>30.5</v>
      </c>
      <c r="K1177">
        <v>1</v>
      </c>
      <c r="L1177">
        <f>Résultats!G$32+Résultats!G$33*Données!C1177+Résultats!G$34*Données!D1177+Résultats!G$35*Données!E1177+Résultats!G$36*Données!F1177+Résultats!G$37*Données!G1177+Résultats!G$38*Données!H1177+Résultats!G$39*Données!I1177</f>
        <v>197708.85765164689</v>
      </c>
      <c r="M1177">
        <f t="shared" si="72"/>
        <v>14291.142348353111</v>
      </c>
      <c r="Q1177">
        <v>55000</v>
      </c>
      <c r="R1177">
        <v>1</v>
      </c>
      <c r="S1177">
        <v>12</v>
      </c>
      <c r="T1177">
        <v>0</v>
      </c>
      <c r="U1177">
        <f t="shared" si="73"/>
        <v>10.915088464214607</v>
      </c>
      <c r="V1177">
        <f t="shared" si="74"/>
        <v>9.6651669096220711</v>
      </c>
      <c r="W1177">
        <v>0</v>
      </c>
      <c r="X1177">
        <v>0</v>
      </c>
      <c r="Y1177">
        <v>0</v>
      </c>
      <c r="Z1177">
        <f>'Résultat (Ln)'!F$30+'Résultat (Ln)'!F$31*Données!S1177+'Résultat (Ln)'!F$32*Données!T1177+'Résultat (Ln)'!F$33*Données!U1177+'Résultat (Ln)'!F$34*Données!V1177+'Résultat (Ln)'!F$35*Données!W1177+'Résultat (Ln)'!F$36*Données!X1177+'Résultat (Ln)'!F$37*Données!Y1177</f>
        <v>25950.825099640526</v>
      </c>
      <c r="AA1177">
        <f t="shared" si="75"/>
        <v>29049.174900359474</v>
      </c>
    </row>
    <row r="1178" spans="1:27" x14ac:dyDescent="0.25">
      <c r="A1178">
        <v>95000</v>
      </c>
      <c r="B1178">
        <v>1</v>
      </c>
      <c r="C1178">
        <v>40</v>
      </c>
      <c r="D1178">
        <v>0</v>
      </c>
      <c r="E1178">
        <v>118000</v>
      </c>
      <c r="F1178">
        <v>4566</v>
      </c>
      <c r="G1178">
        <v>1</v>
      </c>
      <c r="H1178">
        <v>0</v>
      </c>
      <c r="I1178">
        <v>1</v>
      </c>
      <c r="J1178">
        <v>12</v>
      </c>
      <c r="K1178">
        <v>1</v>
      </c>
      <c r="L1178">
        <f>Résultats!G$32+Résultats!G$33*Données!C1178+Résultats!G$34*Données!D1178+Résultats!G$35*Données!E1178+Résultats!G$36*Données!F1178+Résultats!G$37*Données!G1178+Résultats!G$38*Données!H1178+Résultats!G$39*Données!I1178</f>
        <v>123398.91931402228</v>
      </c>
      <c r="M1178">
        <f t="shared" si="72"/>
        <v>-28398.919314022278</v>
      </c>
      <c r="Q1178">
        <v>212000</v>
      </c>
      <c r="R1178">
        <v>1</v>
      </c>
      <c r="S1178">
        <v>42.5</v>
      </c>
      <c r="T1178">
        <v>1</v>
      </c>
      <c r="U1178">
        <f t="shared" si="73"/>
        <v>12.487485104968359</v>
      </c>
      <c r="V1178">
        <f t="shared" si="74"/>
        <v>8.1625162501401789</v>
      </c>
      <c r="W1178">
        <v>1</v>
      </c>
      <c r="X1178">
        <v>0</v>
      </c>
      <c r="Y1178">
        <v>1</v>
      </c>
      <c r="Z1178">
        <f>'Résultat (Ln)'!F$30+'Résultat (Ln)'!F$31*Données!S1178+'Résultat (Ln)'!F$32*Données!T1178+'Résultat (Ln)'!F$33*Données!U1178+'Résultat (Ln)'!F$34*Données!V1178+'Résultat (Ln)'!F$35*Données!W1178+'Résultat (Ln)'!F$36*Données!X1178+'Résultat (Ln)'!F$37*Données!Y1178</f>
        <v>212583.76777172773</v>
      </c>
      <c r="AA1178">
        <f t="shared" si="75"/>
        <v>-583.76777172772563</v>
      </c>
    </row>
    <row r="1179" spans="1:27" x14ac:dyDescent="0.25">
      <c r="A1179">
        <v>155000</v>
      </c>
      <c r="B1179">
        <v>1</v>
      </c>
      <c r="C1179">
        <v>45</v>
      </c>
      <c r="D1179">
        <v>0</v>
      </c>
      <c r="E1179">
        <v>193000</v>
      </c>
      <c r="F1179">
        <v>5185</v>
      </c>
      <c r="G1179">
        <v>1</v>
      </c>
      <c r="H1179">
        <v>0</v>
      </c>
      <c r="I1179">
        <v>0</v>
      </c>
      <c r="J1179">
        <v>30</v>
      </c>
      <c r="K1179">
        <v>1</v>
      </c>
      <c r="L1179">
        <f>Résultats!G$32+Résultats!G$33*Données!C1179+Résultats!G$34*Données!D1179+Résultats!G$35*Données!E1179+Résultats!G$36*Données!F1179+Résultats!G$37*Données!G1179+Résultats!G$38*Données!H1179+Résultats!G$39*Données!I1179</f>
        <v>155437.79988249147</v>
      </c>
      <c r="M1179">
        <f t="shared" si="72"/>
        <v>-437.79988249146845</v>
      </c>
      <c r="Q1179">
        <v>95000</v>
      </c>
      <c r="R1179">
        <v>1</v>
      </c>
      <c r="S1179">
        <v>40</v>
      </c>
      <c r="T1179">
        <v>0</v>
      </c>
      <c r="U1179">
        <f t="shared" si="73"/>
        <v>11.678439903447801</v>
      </c>
      <c r="V1179">
        <f t="shared" si="74"/>
        <v>8.4263928270897406</v>
      </c>
      <c r="W1179">
        <v>1</v>
      </c>
      <c r="X1179">
        <v>0</v>
      </c>
      <c r="Y1179">
        <v>1</v>
      </c>
      <c r="Z1179">
        <f>'Résultat (Ln)'!F$30+'Résultat (Ln)'!F$31*Données!S1179+'Résultat (Ln)'!F$32*Données!T1179+'Résultat (Ln)'!F$33*Données!U1179+'Résultat (Ln)'!F$34*Données!V1179+'Résultat (Ln)'!F$35*Données!W1179+'Résultat (Ln)'!F$36*Données!X1179+'Résultat (Ln)'!F$37*Données!Y1179</f>
        <v>125854.42256418576</v>
      </c>
      <c r="AA1179">
        <f t="shared" si="75"/>
        <v>-30854.422564185763</v>
      </c>
    </row>
    <row r="1180" spans="1:27" x14ac:dyDescent="0.25">
      <c r="A1180">
        <v>120000</v>
      </c>
      <c r="B1180">
        <v>1</v>
      </c>
      <c r="C1180">
        <v>37</v>
      </c>
      <c r="D1180">
        <v>0</v>
      </c>
      <c r="E1180">
        <v>168250</v>
      </c>
      <c r="F1180">
        <v>4472</v>
      </c>
      <c r="G1180">
        <v>0</v>
      </c>
      <c r="H1180">
        <v>0</v>
      </c>
      <c r="I1180">
        <v>1</v>
      </c>
      <c r="J1180">
        <v>27</v>
      </c>
      <c r="K1180">
        <v>1</v>
      </c>
      <c r="L1180">
        <f>Résultats!G$32+Résultats!G$33*Données!C1180+Résultats!G$34*Données!D1180+Résultats!G$35*Données!E1180+Résultats!G$36*Données!F1180+Résultats!G$37*Données!G1180+Résultats!G$38*Données!H1180+Résultats!G$39*Données!I1180</f>
        <v>136218.53943403851</v>
      </c>
      <c r="M1180">
        <f t="shared" si="72"/>
        <v>-16218.53943403851</v>
      </c>
      <c r="Q1180">
        <v>155000</v>
      </c>
      <c r="R1180">
        <v>1</v>
      </c>
      <c r="S1180">
        <v>45</v>
      </c>
      <c r="T1180">
        <v>0</v>
      </c>
      <c r="U1180">
        <f t="shared" si="73"/>
        <v>12.170445467887022</v>
      </c>
      <c r="V1180">
        <f t="shared" si="74"/>
        <v>8.5535251206636271</v>
      </c>
      <c r="W1180">
        <v>1</v>
      </c>
      <c r="X1180">
        <v>0</v>
      </c>
      <c r="Y1180">
        <v>0</v>
      </c>
      <c r="Z1180">
        <f>'Résultat (Ln)'!F$30+'Résultat (Ln)'!F$31*Données!S1180+'Résultat (Ln)'!F$32*Données!T1180+'Résultat (Ln)'!F$33*Données!U1180+'Résultat (Ln)'!F$34*Données!V1180+'Résultat (Ln)'!F$35*Données!W1180+'Résultat (Ln)'!F$36*Données!X1180+'Résultat (Ln)'!F$37*Données!Y1180</f>
        <v>174184.0376118329</v>
      </c>
      <c r="AA1180">
        <f t="shared" si="75"/>
        <v>-19184.0376118329</v>
      </c>
    </row>
    <row r="1181" spans="1:27" x14ac:dyDescent="0.25">
      <c r="A1181">
        <v>110000</v>
      </c>
      <c r="B1181">
        <v>1</v>
      </c>
      <c r="C1181">
        <v>35.799999237060547</v>
      </c>
      <c r="D1181">
        <v>0</v>
      </c>
      <c r="E1181">
        <v>160000</v>
      </c>
      <c r="F1181">
        <v>2264</v>
      </c>
      <c r="G1181">
        <v>1</v>
      </c>
      <c r="H1181">
        <v>0</v>
      </c>
      <c r="I1181">
        <v>1</v>
      </c>
      <c r="J1181">
        <v>31.60000038146973</v>
      </c>
      <c r="K1181">
        <v>1</v>
      </c>
      <c r="L1181">
        <f>Résultats!G$32+Résultats!G$33*Données!C1181+Résultats!G$34*Données!D1181+Résultats!G$35*Données!E1181+Résultats!G$36*Données!F1181+Résultats!G$37*Données!G1181+Résultats!G$38*Données!H1181+Résultats!G$39*Données!I1181</f>
        <v>133725.75361364198</v>
      </c>
      <c r="M1181">
        <f t="shared" si="72"/>
        <v>-23725.75361364198</v>
      </c>
      <c r="Q1181">
        <v>120000</v>
      </c>
      <c r="R1181">
        <v>1</v>
      </c>
      <c r="S1181">
        <v>37</v>
      </c>
      <c r="T1181">
        <v>0</v>
      </c>
      <c r="U1181">
        <f t="shared" si="73"/>
        <v>12.033206247506975</v>
      </c>
      <c r="V1181">
        <f t="shared" si="74"/>
        <v>8.4055910148349344</v>
      </c>
      <c r="W1181">
        <v>0</v>
      </c>
      <c r="X1181">
        <v>0</v>
      </c>
      <c r="Y1181">
        <v>1</v>
      </c>
      <c r="Z1181">
        <f>'Résultat (Ln)'!F$30+'Résultat (Ln)'!F$31*Données!S1181+'Résultat (Ln)'!F$32*Données!T1181+'Résultat (Ln)'!F$33*Données!U1181+'Résultat (Ln)'!F$34*Données!V1181+'Résultat (Ln)'!F$35*Données!W1181+'Résultat (Ln)'!F$36*Données!X1181+'Résultat (Ln)'!F$37*Données!Y1181</f>
        <v>155120.24466100635</v>
      </c>
      <c r="AA1181">
        <f t="shared" si="75"/>
        <v>-35120.244661006349</v>
      </c>
    </row>
    <row r="1182" spans="1:27" x14ac:dyDescent="0.25">
      <c r="A1182">
        <v>70000</v>
      </c>
      <c r="B1182">
        <v>1</v>
      </c>
      <c r="C1182">
        <v>28</v>
      </c>
      <c r="D1182">
        <v>0</v>
      </c>
      <c r="E1182">
        <v>88000</v>
      </c>
      <c r="F1182">
        <v>3544</v>
      </c>
      <c r="G1182">
        <v>0</v>
      </c>
      <c r="H1182">
        <v>0</v>
      </c>
      <c r="I1182">
        <v>0</v>
      </c>
      <c r="J1182">
        <v>25</v>
      </c>
      <c r="K1182">
        <v>0</v>
      </c>
      <c r="L1182">
        <f>Résultats!G$32+Résultats!G$33*Données!C1182+Résultats!G$34*Données!D1182+Résultats!G$35*Données!E1182+Résultats!G$36*Données!F1182+Résultats!G$37*Données!G1182+Résultats!G$38*Données!H1182+Résultats!G$39*Données!I1182</f>
        <v>76683.782678610965</v>
      </c>
      <c r="M1182">
        <f t="shared" si="72"/>
        <v>-6683.7826786109654</v>
      </c>
      <c r="Q1182">
        <v>110000</v>
      </c>
      <c r="R1182">
        <v>1</v>
      </c>
      <c r="S1182">
        <v>35.799999237060547</v>
      </c>
      <c r="T1182">
        <v>0</v>
      </c>
      <c r="U1182">
        <f t="shared" si="73"/>
        <v>11.982929094215963</v>
      </c>
      <c r="V1182">
        <f t="shared" si="74"/>
        <v>7.7248884393230739</v>
      </c>
      <c r="W1182">
        <v>1</v>
      </c>
      <c r="X1182">
        <v>0</v>
      </c>
      <c r="Y1182">
        <v>1</v>
      </c>
      <c r="Z1182">
        <f>'Résultat (Ln)'!F$30+'Résultat (Ln)'!F$31*Données!S1182+'Résultat (Ln)'!F$32*Données!T1182+'Résultat (Ln)'!F$33*Données!U1182+'Résultat (Ln)'!F$34*Données!V1182+'Résultat (Ln)'!F$35*Données!W1182+'Résultat (Ln)'!F$36*Données!X1182+'Résultat (Ln)'!F$37*Données!Y1182</f>
        <v>133687.49405796593</v>
      </c>
      <c r="AA1182">
        <f t="shared" si="75"/>
        <v>-23687.494057965931</v>
      </c>
    </row>
    <row r="1183" spans="1:27" x14ac:dyDescent="0.25">
      <c r="A1183">
        <v>380000</v>
      </c>
      <c r="B1183">
        <v>1</v>
      </c>
      <c r="C1183">
        <v>29</v>
      </c>
      <c r="D1183">
        <v>0</v>
      </c>
      <c r="E1183">
        <v>484000</v>
      </c>
      <c r="F1183">
        <v>9323</v>
      </c>
      <c r="G1183">
        <v>1</v>
      </c>
      <c r="H1183">
        <v>0</v>
      </c>
      <c r="I1183">
        <v>1</v>
      </c>
      <c r="J1183">
        <v>21</v>
      </c>
      <c r="K1183">
        <v>1</v>
      </c>
      <c r="L1183">
        <f>Résultats!G$32+Résultats!G$33*Données!C1183+Résultats!G$34*Données!D1183+Résultats!G$35*Données!E1183+Résultats!G$36*Données!F1183+Résultats!G$37*Données!G1183+Résultats!G$38*Données!H1183+Résultats!G$39*Données!I1183</f>
        <v>290886.49597680656</v>
      </c>
      <c r="M1183">
        <f t="shared" si="72"/>
        <v>89113.50402319344</v>
      </c>
      <c r="Q1183">
        <v>70000</v>
      </c>
      <c r="R1183">
        <v>1</v>
      </c>
      <c r="S1183">
        <v>28</v>
      </c>
      <c r="T1183">
        <v>0</v>
      </c>
      <c r="U1183">
        <f t="shared" si="73"/>
        <v>11.385092093460344</v>
      </c>
      <c r="V1183">
        <f t="shared" si="74"/>
        <v>8.1730113117249719</v>
      </c>
      <c r="W1183">
        <v>0</v>
      </c>
      <c r="X1183">
        <v>0</v>
      </c>
      <c r="Y1183">
        <v>0</v>
      </c>
      <c r="Z1183">
        <f>'Résultat (Ln)'!F$30+'Résultat (Ln)'!F$31*Données!S1183+'Résultat (Ln)'!F$32*Données!T1183+'Résultat (Ln)'!F$33*Données!U1183+'Résultat (Ln)'!F$34*Données!V1183+'Résultat (Ln)'!F$35*Données!W1183+'Résultat (Ln)'!F$36*Données!X1183+'Résultat (Ln)'!F$37*Données!Y1183</f>
        <v>54037.099005813827</v>
      </c>
      <c r="AA1183">
        <f t="shared" si="75"/>
        <v>15962.900994186173</v>
      </c>
    </row>
    <row r="1184" spans="1:27" x14ac:dyDescent="0.25">
      <c r="A1184">
        <v>230000</v>
      </c>
      <c r="B1184">
        <v>1</v>
      </c>
      <c r="C1184">
        <v>22</v>
      </c>
      <c r="D1184">
        <v>1</v>
      </c>
      <c r="E1184">
        <v>287000</v>
      </c>
      <c r="F1184">
        <v>17500</v>
      </c>
      <c r="G1184">
        <v>1</v>
      </c>
      <c r="H1184">
        <v>0</v>
      </c>
      <c r="I1184">
        <v>1</v>
      </c>
      <c r="J1184">
        <v>13</v>
      </c>
      <c r="K1184">
        <v>1</v>
      </c>
      <c r="L1184">
        <f>Résultats!G$32+Résultats!G$33*Données!C1184+Résultats!G$34*Données!D1184+Résultats!G$35*Données!E1184+Résultats!G$36*Données!F1184+Résultats!G$37*Données!G1184+Résultats!G$38*Données!H1184+Résultats!G$39*Données!I1184</f>
        <v>211549.54539955215</v>
      </c>
      <c r="M1184">
        <f t="shared" si="72"/>
        <v>18450.454600447847</v>
      </c>
      <c r="Q1184">
        <v>380000</v>
      </c>
      <c r="R1184">
        <v>1</v>
      </c>
      <c r="S1184">
        <v>29</v>
      </c>
      <c r="T1184">
        <v>0</v>
      </c>
      <c r="U1184">
        <f t="shared" si="73"/>
        <v>13.089840185698769</v>
      </c>
      <c r="V1184">
        <f t="shared" si="74"/>
        <v>9.1402397442966929</v>
      </c>
      <c r="W1184">
        <v>1</v>
      </c>
      <c r="X1184">
        <v>0</v>
      </c>
      <c r="Y1184">
        <v>1</v>
      </c>
      <c r="Z1184">
        <f>'Résultat (Ln)'!F$30+'Résultat (Ln)'!F$31*Données!S1184+'Résultat (Ln)'!F$32*Données!T1184+'Résultat (Ln)'!F$33*Données!U1184+'Résultat (Ln)'!F$34*Données!V1184+'Résultat (Ln)'!F$35*Données!W1184+'Résultat (Ln)'!F$36*Données!X1184+'Résultat (Ln)'!F$37*Données!Y1184</f>
        <v>283728.22734621644</v>
      </c>
      <c r="AA1184">
        <f t="shared" si="75"/>
        <v>96271.772653783555</v>
      </c>
    </row>
    <row r="1185" spans="1:27" x14ac:dyDescent="0.25">
      <c r="A1185">
        <v>79000</v>
      </c>
      <c r="B1185">
        <v>1</v>
      </c>
      <c r="C1185">
        <v>17.5</v>
      </c>
      <c r="D1185">
        <v>0</v>
      </c>
      <c r="E1185">
        <v>104900.00152587891</v>
      </c>
      <c r="F1185">
        <v>2639</v>
      </c>
      <c r="G1185">
        <v>1</v>
      </c>
      <c r="H1185">
        <v>0</v>
      </c>
      <c r="I1185">
        <v>0</v>
      </c>
      <c r="J1185">
        <v>17.120000839233398</v>
      </c>
      <c r="K1185">
        <v>1</v>
      </c>
      <c r="L1185">
        <f>Résultats!G$32+Résultats!G$33*Données!C1185+Résultats!G$34*Données!D1185+Résultats!G$35*Données!E1185+Résultats!G$36*Données!F1185+Résultats!G$37*Données!G1185+Résultats!G$38*Données!H1185+Résultats!G$39*Données!I1185</f>
        <v>77777.175565995814</v>
      </c>
      <c r="M1185">
        <f t="shared" si="72"/>
        <v>1222.8244340041856</v>
      </c>
      <c r="Q1185">
        <v>230000</v>
      </c>
      <c r="R1185">
        <v>1</v>
      </c>
      <c r="S1185">
        <v>22</v>
      </c>
      <c r="T1185">
        <v>1</v>
      </c>
      <c r="U1185">
        <f t="shared" si="73"/>
        <v>12.567237494741757</v>
      </c>
      <c r="V1185">
        <f t="shared" si="74"/>
        <v>9.7699561599116063</v>
      </c>
      <c r="W1185">
        <v>1</v>
      </c>
      <c r="X1185">
        <v>0</v>
      </c>
      <c r="Y1185">
        <v>1</v>
      </c>
      <c r="Z1185">
        <f>'Résultat (Ln)'!F$30+'Résultat (Ln)'!F$31*Données!S1185+'Résultat (Ln)'!F$32*Données!T1185+'Résultat (Ln)'!F$33*Données!U1185+'Résultat (Ln)'!F$34*Données!V1185+'Résultat (Ln)'!F$35*Données!W1185+'Résultat (Ln)'!F$36*Données!X1185+'Résultat (Ln)'!F$37*Données!Y1185</f>
        <v>241162.95727044405</v>
      </c>
      <c r="AA1185">
        <f t="shared" si="75"/>
        <v>-11162.957270444051</v>
      </c>
    </row>
    <row r="1186" spans="1:27" x14ac:dyDescent="0.25">
      <c r="A1186">
        <v>145000</v>
      </c>
      <c r="B1186">
        <v>1</v>
      </c>
      <c r="C1186">
        <v>36</v>
      </c>
      <c r="D1186">
        <v>0</v>
      </c>
      <c r="E1186">
        <v>245000</v>
      </c>
      <c r="F1186">
        <v>2333</v>
      </c>
      <c r="G1186">
        <v>1</v>
      </c>
      <c r="H1186">
        <v>0</v>
      </c>
      <c r="I1186">
        <v>1</v>
      </c>
      <c r="J1186">
        <v>36</v>
      </c>
      <c r="K1186">
        <v>1</v>
      </c>
      <c r="L1186">
        <f>Résultats!G$32+Résultats!G$33*Données!C1186+Résultats!G$34*Données!D1186+Résultats!G$35*Données!E1186+Résultats!G$36*Données!F1186+Résultats!G$37*Données!G1186+Résultats!G$38*Données!H1186+Résultats!G$39*Données!I1186</f>
        <v>173780.22373124133</v>
      </c>
      <c r="M1186">
        <f t="shared" si="72"/>
        <v>-28780.223731241334</v>
      </c>
      <c r="Q1186">
        <v>79000</v>
      </c>
      <c r="R1186">
        <v>1</v>
      </c>
      <c r="S1186">
        <v>17.5</v>
      </c>
      <c r="T1186">
        <v>0</v>
      </c>
      <c r="U1186">
        <f t="shared" si="73"/>
        <v>11.560762808930422</v>
      </c>
      <c r="V1186">
        <f t="shared" si="74"/>
        <v>7.8781553365033243</v>
      </c>
      <c r="W1186">
        <v>1</v>
      </c>
      <c r="X1186">
        <v>0</v>
      </c>
      <c r="Y1186">
        <v>0</v>
      </c>
      <c r="Z1186">
        <f>'Résultat (Ln)'!F$30+'Résultat (Ln)'!F$31*Données!S1186+'Résultat (Ln)'!F$32*Données!T1186+'Résultat (Ln)'!F$33*Données!U1186+'Résultat (Ln)'!F$34*Données!V1186+'Résultat (Ln)'!F$35*Données!W1186+'Résultat (Ln)'!F$36*Données!X1186+'Résultat (Ln)'!F$37*Données!Y1186</f>
        <v>56281.351921138783</v>
      </c>
      <c r="AA1186">
        <f t="shared" si="75"/>
        <v>22718.648078861217</v>
      </c>
    </row>
    <row r="1187" spans="1:27" x14ac:dyDescent="0.25">
      <c r="A1187">
        <v>111000</v>
      </c>
      <c r="B1187">
        <v>1</v>
      </c>
      <c r="C1187">
        <v>42</v>
      </c>
      <c r="D1187">
        <v>0</v>
      </c>
      <c r="E1187">
        <v>124000</v>
      </c>
      <c r="F1187">
        <v>3062</v>
      </c>
      <c r="G1187">
        <v>0</v>
      </c>
      <c r="H1187">
        <v>0</v>
      </c>
      <c r="I1187">
        <v>0</v>
      </c>
      <c r="J1187">
        <v>26</v>
      </c>
      <c r="K1187">
        <v>1</v>
      </c>
      <c r="L1187">
        <f>Résultats!G$32+Résultats!G$33*Données!C1187+Résultats!G$34*Données!D1187+Résultats!G$35*Données!E1187+Résultats!G$36*Données!F1187+Résultats!G$37*Données!G1187+Résultats!G$38*Données!H1187+Résultats!G$39*Données!I1187</f>
        <v>108641.47214817924</v>
      </c>
      <c r="M1187">
        <f t="shared" si="72"/>
        <v>2358.5278518207633</v>
      </c>
      <c r="Q1187">
        <v>145000</v>
      </c>
      <c r="R1187">
        <v>1</v>
      </c>
      <c r="S1187">
        <v>36</v>
      </c>
      <c r="T1187">
        <v>0</v>
      </c>
      <c r="U1187">
        <f t="shared" si="73"/>
        <v>12.409013489526863</v>
      </c>
      <c r="V1187">
        <f t="shared" si="74"/>
        <v>7.75491027202143</v>
      </c>
      <c r="W1187">
        <v>1</v>
      </c>
      <c r="X1187">
        <v>0</v>
      </c>
      <c r="Y1187">
        <v>1</v>
      </c>
      <c r="Z1187">
        <f>'Résultat (Ln)'!F$30+'Résultat (Ln)'!F$31*Données!S1187+'Résultat (Ln)'!F$32*Données!T1187+'Résultat (Ln)'!F$33*Données!U1187+'Résultat (Ln)'!F$34*Données!V1187+'Résultat (Ln)'!F$35*Données!W1187+'Résultat (Ln)'!F$36*Données!X1187+'Résultat (Ln)'!F$37*Données!Y1187</f>
        <v>180448.24737060524</v>
      </c>
      <c r="AA1187">
        <f t="shared" si="75"/>
        <v>-35448.247370605241</v>
      </c>
    </row>
    <row r="1188" spans="1:27" x14ac:dyDescent="0.25">
      <c r="A1188">
        <v>102000</v>
      </c>
      <c r="B1188">
        <v>1</v>
      </c>
      <c r="C1188">
        <v>31</v>
      </c>
      <c r="D1188">
        <v>0</v>
      </c>
      <c r="E1188">
        <v>107000</v>
      </c>
      <c r="F1188">
        <v>2875</v>
      </c>
      <c r="G1188">
        <v>0</v>
      </c>
      <c r="H1188">
        <v>0</v>
      </c>
      <c r="I1188">
        <v>0</v>
      </c>
      <c r="J1188">
        <v>21</v>
      </c>
      <c r="K1188">
        <v>0</v>
      </c>
      <c r="L1188">
        <f>Résultats!G$32+Résultats!G$33*Données!C1188+Résultats!G$34*Données!D1188+Résultats!G$35*Données!E1188+Résultats!G$36*Données!F1188+Résultats!G$37*Données!G1188+Résultats!G$38*Données!H1188+Résultats!G$39*Données!I1188</f>
        <v>87705.526173053295</v>
      </c>
      <c r="M1188">
        <f t="shared" si="72"/>
        <v>14294.473826946705</v>
      </c>
      <c r="Q1188">
        <v>111000</v>
      </c>
      <c r="R1188">
        <v>1</v>
      </c>
      <c r="S1188">
        <v>42</v>
      </c>
      <c r="T1188">
        <v>0</v>
      </c>
      <c r="U1188">
        <f t="shared" si="73"/>
        <v>11.728036844587175</v>
      </c>
      <c r="V1188">
        <f t="shared" si="74"/>
        <v>8.0268235762176285</v>
      </c>
      <c r="W1188">
        <v>0</v>
      </c>
      <c r="X1188">
        <v>0</v>
      </c>
      <c r="Y1188">
        <v>0</v>
      </c>
      <c r="Z1188">
        <f>'Résultat (Ln)'!F$30+'Résultat (Ln)'!F$31*Données!S1188+'Résultat (Ln)'!F$32*Données!T1188+'Résultat (Ln)'!F$33*Données!U1188+'Résultat (Ln)'!F$34*Données!V1188+'Résultat (Ln)'!F$35*Données!W1188+'Résultat (Ln)'!F$36*Données!X1188+'Résultat (Ln)'!F$37*Données!Y1188</f>
        <v>103807.87846360315</v>
      </c>
      <c r="AA1188">
        <f t="shared" si="75"/>
        <v>7192.1215363968513</v>
      </c>
    </row>
    <row r="1189" spans="1:27" x14ac:dyDescent="0.25">
      <c r="A1189">
        <v>155000</v>
      </c>
      <c r="B1189">
        <v>1</v>
      </c>
      <c r="C1189">
        <v>41</v>
      </c>
      <c r="D1189">
        <v>0</v>
      </c>
      <c r="E1189">
        <v>124000</v>
      </c>
      <c r="F1189">
        <v>1767</v>
      </c>
      <c r="G1189">
        <v>0</v>
      </c>
      <c r="H1189">
        <v>0</v>
      </c>
      <c r="I1189">
        <v>0</v>
      </c>
      <c r="J1189">
        <v>29</v>
      </c>
      <c r="K1189">
        <v>0</v>
      </c>
      <c r="L1189">
        <f>Résultats!G$32+Résultats!G$33*Données!C1189+Résultats!G$34*Données!D1189+Résultats!G$35*Données!E1189+Résultats!G$36*Données!F1189+Résultats!G$37*Données!G1189+Résultats!G$38*Données!H1189+Résultats!G$39*Données!I1189</f>
        <v>104983.36713040773</v>
      </c>
      <c r="M1189">
        <f t="shared" si="72"/>
        <v>50016.632869592271</v>
      </c>
      <c r="Q1189">
        <v>102000</v>
      </c>
      <c r="R1189">
        <v>1</v>
      </c>
      <c r="S1189">
        <v>31</v>
      </c>
      <c r="T1189">
        <v>0</v>
      </c>
      <c r="U1189">
        <f t="shared" si="73"/>
        <v>11.580584113444043</v>
      </c>
      <c r="V1189">
        <f t="shared" si="74"/>
        <v>7.9638079532314512</v>
      </c>
      <c r="W1189">
        <v>0</v>
      </c>
      <c r="X1189">
        <v>0</v>
      </c>
      <c r="Y1189">
        <v>0</v>
      </c>
      <c r="Z1189">
        <f>'Résultat (Ln)'!F$30+'Résultat (Ln)'!F$31*Données!S1189+'Résultat (Ln)'!F$32*Données!T1189+'Résultat (Ln)'!F$33*Données!U1189+'Résultat (Ln)'!F$34*Données!V1189+'Résultat (Ln)'!F$35*Données!W1189+'Résultat (Ln)'!F$36*Données!X1189+'Résultat (Ln)'!F$37*Données!Y1189</f>
        <v>72791.82565818209</v>
      </c>
      <c r="AA1189">
        <f t="shared" si="75"/>
        <v>29208.17434181791</v>
      </c>
    </row>
    <row r="1190" spans="1:27" x14ac:dyDescent="0.25">
      <c r="A1190">
        <v>125000</v>
      </c>
      <c r="B1190">
        <v>1</v>
      </c>
      <c r="C1190">
        <v>22</v>
      </c>
      <c r="D1190">
        <v>0</v>
      </c>
      <c r="E1190">
        <v>193000</v>
      </c>
      <c r="F1190">
        <v>3747</v>
      </c>
      <c r="G1190">
        <v>1</v>
      </c>
      <c r="H1190">
        <v>0</v>
      </c>
      <c r="I1190">
        <v>0</v>
      </c>
      <c r="J1190">
        <v>21</v>
      </c>
      <c r="K1190">
        <v>1</v>
      </c>
      <c r="L1190">
        <f>Résultats!G$32+Résultats!G$33*Données!C1190+Résultats!G$34*Données!D1190+Résultats!G$35*Données!E1190+Résultats!G$36*Données!F1190+Résultats!G$37*Données!G1190+Résultats!G$38*Données!H1190+Résultats!G$39*Données!I1190</f>
        <v>126231.84293082675</v>
      </c>
      <c r="M1190">
        <f t="shared" si="72"/>
        <v>-1231.8429308267514</v>
      </c>
      <c r="Q1190">
        <v>155000</v>
      </c>
      <c r="R1190">
        <v>1</v>
      </c>
      <c r="S1190">
        <v>41</v>
      </c>
      <c r="T1190">
        <v>0</v>
      </c>
      <c r="U1190">
        <f t="shared" si="73"/>
        <v>11.728036844587175</v>
      </c>
      <c r="V1190">
        <f t="shared" si="74"/>
        <v>7.4770384723196965</v>
      </c>
      <c r="W1190">
        <v>0</v>
      </c>
      <c r="X1190">
        <v>0</v>
      </c>
      <c r="Y1190">
        <v>0</v>
      </c>
      <c r="Z1190">
        <f>'Résultat (Ln)'!F$30+'Résultat (Ln)'!F$31*Données!S1190+'Résultat (Ln)'!F$32*Données!T1190+'Résultat (Ln)'!F$33*Données!U1190+'Résultat (Ln)'!F$34*Données!V1190+'Résultat (Ln)'!F$35*Données!W1190+'Résultat (Ln)'!F$36*Données!X1190+'Résultat (Ln)'!F$37*Données!Y1190</f>
        <v>87166.678340253507</v>
      </c>
      <c r="AA1190">
        <f t="shared" si="75"/>
        <v>67833.321659746493</v>
      </c>
    </row>
    <row r="1191" spans="1:27" x14ac:dyDescent="0.25">
      <c r="A1191">
        <v>110000</v>
      </c>
      <c r="B1191">
        <v>1</v>
      </c>
      <c r="C1191">
        <v>37.5</v>
      </c>
      <c r="D1191">
        <v>0</v>
      </c>
      <c r="E1191">
        <v>137000</v>
      </c>
      <c r="F1191">
        <v>2764</v>
      </c>
      <c r="G1191">
        <v>0</v>
      </c>
      <c r="H1191">
        <v>0</v>
      </c>
      <c r="I1191">
        <v>0</v>
      </c>
      <c r="J1191">
        <v>26.969999313354489</v>
      </c>
      <c r="K1191">
        <v>0</v>
      </c>
      <c r="L1191">
        <f>Résultats!G$32+Résultats!G$33*Données!C1191+Résultats!G$34*Données!D1191+Résultats!G$35*Données!E1191+Résultats!G$36*Données!F1191+Résultats!G$37*Données!G1191+Résultats!G$38*Données!H1191+Résultats!G$39*Données!I1191</f>
        <v>108965.38729989828</v>
      </c>
      <c r="M1191">
        <f t="shared" si="72"/>
        <v>1034.6127001017157</v>
      </c>
      <c r="Q1191">
        <v>125000</v>
      </c>
      <c r="R1191">
        <v>1</v>
      </c>
      <c r="S1191">
        <v>22</v>
      </c>
      <c r="T1191">
        <v>0</v>
      </c>
      <c r="U1191">
        <f t="shared" si="73"/>
        <v>12.170445467887022</v>
      </c>
      <c r="V1191">
        <f t="shared" si="74"/>
        <v>8.2287107987936867</v>
      </c>
      <c r="W1191">
        <v>1</v>
      </c>
      <c r="X1191">
        <v>0</v>
      </c>
      <c r="Y1191">
        <v>0</v>
      </c>
      <c r="Z1191">
        <f>'Résultat (Ln)'!F$30+'Résultat (Ln)'!F$31*Données!S1191+'Résultat (Ln)'!F$32*Données!T1191+'Résultat (Ln)'!F$33*Données!U1191+'Résultat (Ln)'!F$34*Données!V1191+'Résultat (Ln)'!F$35*Données!W1191+'Résultat (Ln)'!F$36*Données!X1191+'Résultat (Ln)'!F$37*Données!Y1191</f>
        <v>136967.42011710186</v>
      </c>
      <c r="AA1191">
        <f t="shared" si="75"/>
        <v>-11967.420117101865</v>
      </c>
    </row>
    <row r="1192" spans="1:27" x14ac:dyDescent="0.25">
      <c r="A1192">
        <v>75000</v>
      </c>
      <c r="B1192">
        <v>1</v>
      </c>
      <c r="C1192">
        <v>32.400001525878913</v>
      </c>
      <c r="D1192">
        <v>0</v>
      </c>
      <c r="E1192">
        <v>97500</v>
      </c>
      <c r="F1192">
        <v>3817</v>
      </c>
      <c r="G1192">
        <v>1</v>
      </c>
      <c r="H1192">
        <v>0</v>
      </c>
      <c r="I1192">
        <v>0</v>
      </c>
      <c r="J1192">
        <v>15.60000038146973</v>
      </c>
      <c r="K1192">
        <v>1</v>
      </c>
      <c r="L1192">
        <f>Résultats!G$32+Résultats!G$33*Données!C1192+Résultats!G$34*Données!D1192+Résultats!G$35*Données!E1192+Résultats!G$36*Données!F1192+Résultats!G$37*Données!G1192+Résultats!G$38*Données!H1192+Résultats!G$39*Données!I1192</f>
        <v>93719.624583750774</v>
      </c>
      <c r="M1192">
        <f t="shared" si="72"/>
        <v>-18719.624583750774</v>
      </c>
      <c r="Q1192">
        <v>110000</v>
      </c>
      <c r="R1192">
        <v>1</v>
      </c>
      <c r="S1192">
        <v>37.5</v>
      </c>
      <c r="T1192">
        <v>0</v>
      </c>
      <c r="U1192">
        <f t="shared" si="73"/>
        <v>11.827736204810263</v>
      </c>
      <c r="V1192">
        <f t="shared" si="74"/>
        <v>7.9244341848875601</v>
      </c>
      <c r="W1192">
        <v>0</v>
      </c>
      <c r="X1192">
        <v>0</v>
      </c>
      <c r="Y1192">
        <v>0</v>
      </c>
      <c r="Z1192">
        <f>'Résultat (Ln)'!F$30+'Résultat (Ln)'!F$31*Données!S1192+'Résultat (Ln)'!F$32*Données!T1192+'Résultat (Ln)'!F$33*Données!U1192+'Résultat (Ln)'!F$34*Données!V1192+'Résultat (Ln)'!F$35*Données!W1192+'Résultat (Ln)'!F$36*Données!X1192+'Résultat (Ln)'!F$37*Données!Y1192</f>
        <v>106124.43182594923</v>
      </c>
      <c r="AA1192">
        <f t="shared" si="75"/>
        <v>3875.5681740507716</v>
      </c>
    </row>
    <row r="1193" spans="1:27" x14ac:dyDescent="0.25">
      <c r="A1193">
        <v>120000</v>
      </c>
      <c r="B1193">
        <v>1</v>
      </c>
      <c r="C1193">
        <v>25</v>
      </c>
      <c r="D1193">
        <v>0</v>
      </c>
      <c r="E1193">
        <v>162000</v>
      </c>
      <c r="F1193">
        <v>4817</v>
      </c>
      <c r="G1193">
        <v>1</v>
      </c>
      <c r="H1193">
        <v>0</v>
      </c>
      <c r="I1193">
        <v>0</v>
      </c>
      <c r="J1193">
        <v>25</v>
      </c>
      <c r="K1193">
        <v>1</v>
      </c>
      <c r="L1193">
        <f>Résultats!G$32+Résultats!G$33*Données!C1193+Résultats!G$34*Données!D1193+Résultats!G$35*Données!E1193+Résultats!G$36*Données!F1193+Résultats!G$37*Données!G1193+Résultats!G$38*Données!H1193+Résultats!G$39*Données!I1193</f>
        <v>117275.73522068745</v>
      </c>
      <c r="M1193">
        <f t="shared" si="72"/>
        <v>2724.2647793125507</v>
      </c>
      <c r="Q1193">
        <v>75000</v>
      </c>
      <c r="R1193">
        <v>1</v>
      </c>
      <c r="S1193">
        <v>32.400001525878913</v>
      </c>
      <c r="T1193">
        <v>0</v>
      </c>
      <c r="U1193">
        <f t="shared" si="73"/>
        <v>11.487607656985938</v>
      </c>
      <c r="V1193">
        <f t="shared" si="74"/>
        <v>8.2472200527452291</v>
      </c>
      <c r="W1193">
        <v>1</v>
      </c>
      <c r="X1193">
        <v>0</v>
      </c>
      <c r="Y1193">
        <v>0</v>
      </c>
      <c r="Z1193">
        <f>'Résultat (Ln)'!F$30+'Résultat (Ln)'!F$31*Données!S1193+'Résultat (Ln)'!F$32*Données!T1193+'Résultat (Ln)'!F$33*Données!U1193+'Résultat (Ln)'!F$34*Données!V1193+'Résultat (Ln)'!F$35*Données!W1193+'Résultat (Ln)'!F$36*Données!X1193+'Résultat (Ln)'!F$37*Données!Y1193</f>
        <v>76998.568876305144</v>
      </c>
      <c r="AA1193">
        <f t="shared" si="75"/>
        <v>-1998.5688763051439</v>
      </c>
    </row>
    <row r="1194" spans="1:27" x14ac:dyDescent="0.25">
      <c r="A1194">
        <v>108000</v>
      </c>
      <c r="B1194">
        <v>1</v>
      </c>
      <c r="C1194">
        <v>32</v>
      </c>
      <c r="D1194">
        <v>0</v>
      </c>
      <c r="E1194">
        <v>113000</v>
      </c>
      <c r="F1194">
        <v>2166</v>
      </c>
      <c r="G1194">
        <v>1</v>
      </c>
      <c r="H1194">
        <v>1</v>
      </c>
      <c r="I1194">
        <v>0</v>
      </c>
      <c r="J1194">
        <v>25</v>
      </c>
      <c r="K1194">
        <v>1</v>
      </c>
      <c r="L1194">
        <f>Résultats!G$32+Résultats!G$33*Données!C1194+Résultats!G$34*Données!D1194+Résultats!G$35*Données!E1194+Résultats!G$36*Données!F1194+Résultats!G$37*Données!G1194+Résultats!G$38*Données!H1194+Résultats!G$39*Données!I1194</f>
        <v>95673.366923757159</v>
      </c>
      <c r="M1194">
        <f t="shared" si="72"/>
        <v>12326.633076242841</v>
      </c>
      <c r="Q1194">
        <v>120000</v>
      </c>
      <c r="R1194">
        <v>1</v>
      </c>
      <c r="S1194">
        <v>25</v>
      </c>
      <c r="T1194">
        <v>0</v>
      </c>
      <c r="U1194">
        <f t="shared" si="73"/>
        <v>11.99535161421452</v>
      </c>
      <c r="V1194">
        <f t="shared" si="74"/>
        <v>8.4799066066302213</v>
      </c>
      <c r="W1194">
        <v>1</v>
      </c>
      <c r="X1194">
        <v>0</v>
      </c>
      <c r="Y1194">
        <v>0</v>
      </c>
      <c r="Z1194">
        <f>'Résultat (Ln)'!F$30+'Résultat (Ln)'!F$31*Données!S1194+'Résultat (Ln)'!F$32*Données!T1194+'Résultat (Ln)'!F$33*Données!U1194+'Résultat (Ln)'!F$34*Données!V1194+'Résultat (Ln)'!F$35*Données!W1194+'Résultat (Ln)'!F$36*Données!X1194+'Résultat (Ln)'!F$37*Données!Y1194</f>
        <v>128909.2438095915</v>
      </c>
      <c r="AA1194">
        <f t="shared" si="75"/>
        <v>-8909.2438095914986</v>
      </c>
    </row>
    <row r="1195" spans="1:27" x14ac:dyDescent="0.25">
      <c r="A1195">
        <v>77000</v>
      </c>
      <c r="B1195">
        <v>1</v>
      </c>
      <c r="C1195">
        <v>49</v>
      </c>
      <c r="D1195">
        <v>0</v>
      </c>
      <c r="E1195">
        <v>378000</v>
      </c>
      <c r="F1195">
        <v>9000</v>
      </c>
      <c r="G1195">
        <v>1</v>
      </c>
      <c r="H1195">
        <v>0</v>
      </c>
      <c r="I1195">
        <v>0</v>
      </c>
      <c r="J1195">
        <v>27</v>
      </c>
      <c r="K1195">
        <v>1</v>
      </c>
      <c r="L1195">
        <f>Résultats!G$32+Résultats!G$33*Données!C1195+Résultats!G$34*Données!D1195+Résultats!G$35*Données!E1195+Résultats!G$36*Données!F1195+Résultats!G$37*Données!G1195+Résultats!G$38*Données!H1195+Résultats!G$39*Données!I1195</f>
        <v>253811.49490375555</v>
      </c>
      <c r="M1195">
        <f t="shared" si="72"/>
        <v>-176811.49490375555</v>
      </c>
      <c r="Q1195">
        <v>108000</v>
      </c>
      <c r="R1195">
        <v>1</v>
      </c>
      <c r="S1195">
        <v>32</v>
      </c>
      <c r="T1195">
        <v>0</v>
      </c>
      <c r="U1195">
        <f t="shared" si="73"/>
        <v>11.635143097694478</v>
      </c>
      <c r="V1195">
        <f t="shared" si="74"/>
        <v>7.6806374275609359</v>
      </c>
      <c r="W1195">
        <v>1</v>
      </c>
      <c r="X1195">
        <v>1</v>
      </c>
      <c r="Y1195">
        <v>0</v>
      </c>
      <c r="Z1195">
        <f>'Résultat (Ln)'!F$30+'Résultat (Ln)'!F$31*Données!S1195+'Résultat (Ln)'!F$32*Données!T1195+'Résultat (Ln)'!F$33*Données!U1195+'Résultat (Ln)'!F$34*Données!V1195+'Résultat (Ln)'!F$35*Données!W1195+'Résultat (Ln)'!F$36*Données!X1195+'Résultat (Ln)'!F$37*Données!Y1195</f>
        <v>76257.097723547602</v>
      </c>
      <c r="AA1195">
        <f t="shared" si="75"/>
        <v>31742.902276452398</v>
      </c>
    </row>
    <row r="1196" spans="1:27" x14ac:dyDescent="0.25">
      <c r="A1196">
        <v>153000</v>
      </c>
      <c r="B1196">
        <v>1</v>
      </c>
      <c r="C1196">
        <v>40</v>
      </c>
      <c r="D1196">
        <v>0</v>
      </c>
      <c r="E1196">
        <v>239000</v>
      </c>
      <c r="F1196">
        <v>3208</v>
      </c>
      <c r="G1196">
        <v>1</v>
      </c>
      <c r="H1196">
        <v>0</v>
      </c>
      <c r="I1196">
        <v>0</v>
      </c>
      <c r="J1196">
        <v>28</v>
      </c>
      <c r="K1196">
        <v>1</v>
      </c>
      <c r="L1196">
        <f>Résultats!G$32+Résultats!G$33*Données!C1196+Résultats!G$34*Données!D1196+Résultats!G$35*Données!E1196+Résultats!G$36*Données!F1196+Résultats!G$37*Données!G1196+Résultats!G$38*Données!H1196+Résultats!G$39*Données!I1196</f>
        <v>167343.29272374409</v>
      </c>
      <c r="M1196">
        <f t="shared" si="72"/>
        <v>-14343.292723744089</v>
      </c>
      <c r="Q1196">
        <v>77000</v>
      </c>
      <c r="R1196">
        <v>1</v>
      </c>
      <c r="S1196">
        <v>49</v>
      </c>
      <c r="T1196">
        <v>0</v>
      </c>
      <c r="U1196">
        <f t="shared" si="73"/>
        <v>12.842649474601725</v>
      </c>
      <c r="V1196">
        <f t="shared" si="74"/>
        <v>9.1049798563183568</v>
      </c>
      <c r="W1196">
        <v>1</v>
      </c>
      <c r="X1196">
        <v>0</v>
      </c>
      <c r="Y1196">
        <v>0</v>
      </c>
      <c r="Z1196">
        <f>'Résultat (Ln)'!F$30+'Résultat (Ln)'!F$31*Données!S1196+'Résultat (Ln)'!F$32*Données!T1196+'Résultat (Ln)'!F$33*Données!U1196+'Résultat (Ln)'!F$34*Données!V1196+'Résultat (Ln)'!F$35*Données!W1196+'Résultat (Ln)'!F$36*Données!X1196+'Résultat (Ln)'!F$37*Données!Y1196</f>
        <v>266595.47601838462</v>
      </c>
      <c r="AA1196">
        <f t="shared" si="75"/>
        <v>-189595.47601838462</v>
      </c>
    </row>
    <row r="1197" spans="1:27" x14ac:dyDescent="0.25">
      <c r="A1197">
        <v>60000</v>
      </c>
      <c r="B1197">
        <v>1</v>
      </c>
      <c r="C1197">
        <v>17.29999923706055</v>
      </c>
      <c r="D1197">
        <v>0</v>
      </c>
      <c r="E1197">
        <v>160000</v>
      </c>
      <c r="F1197">
        <v>10000</v>
      </c>
      <c r="G1197">
        <v>0</v>
      </c>
      <c r="H1197">
        <v>1</v>
      </c>
      <c r="I1197">
        <v>0</v>
      </c>
      <c r="J1197">
        <v>9.6999998092651367</v>
      </c>
      <c r="K1197">
        <v>0</v>
      </c>
      <c r="L1197">
        <f>Résultats!G$32+Résultats!G$33*Données!C1197+Résultats!G$34*Données!D1197+Résultats!G$35*Données!E1197+Résultats!G$36*Données!F1197+Résultats!G$37*Données!G1197+Résultats!G$38*Données!H1197+Résultats!G$39*Données!I1197</f>
        <v>108898.72284425613</v>
      </c>
      <c r="M1197">
        <f t="shared" si="72"/>
        <v>-48898.722844256132</v>
      </c>
      <c r="Q1197">
        <v>153000</v>
      </c>
      <c r="R1197">
        <v>1</v>
      </c>
      <c r="S1197">
        <v>40</v>
      </c>
      <c r="T1197">
        <v>0</v>
      </c>
      <c r="U1197">
        <f t="shared" si="73"/>
        <v>12.384218830913648</v>
      </c>
      <c r="V1197">
        <f t="shared" si="74"/>
        <v>8.0734029689864055</v>
      </c>
      <c r="W1197">
        <v>1</v>
      </c>
      <c r="X1197">
        <v>0</v>
      </c>
      <c r="Y1197">
        <v>0</v>
      </c>
      <c r="Z1197">
        <f>'Résultat (Ln)'!F$30+'Résultat (Ln)'!F$31*Données!S1197+'Résultat (Ln)'!F$32*Données!T1197+'Résultat (Ln)'!F$33*Données!U1197+'Résultat (Ln)'!F$34*Données!V1197+'Résultat (Ln)'!F$35*Données!W1197+'Résultat (Ln)'!F$36*Données!X1197+'Résultat (Ln)'!F$37*Données!Y1197</f>
        <v>177523.98306847544</v>
      </c>
      <c r="AA1197">
        <f t="shared" si="75"/>
        <v>-24523.983068475442</v>
      </c>
    </row>
    <row r="1198" spans="1:27" x14ac:dyDescent="0.25">
      <c r="A1198">
        <v>119000</v>
      </c>
      <c r="B1198">
        <v>1</v>
      </c>
      <c r="C1198">
        <v>35</v>
      </c>
      <c r="D1198">
        <v>0</v>
      </c>
      <c r="E1198">
        <v>125000</v>
      </c>
      <c r="F1198">
        <v>2084</v>
      </c>
      <c r="G1198">
        <v>0</v>
      </c>
      <c r="H1198">
        <v>0</v>
      </c>
      <c r="I1198">
        <v>0</v>
      </c>
      <c r="J1198">
        <v>21</v>
      </c>
      <c r="K1198">
        <v>0</v>
      </c>
      <c r="L1198">
        <f>Résultats!G$32+Résultats!G$33*Données!C1198+Résultats!G$34*Données!D1198+Résultats!G$35*Données!E1198+Résultats!G$36*Données!F1198+Résultats!G$37*Données!G1198+Résultats!G$38*Données!H1198+Résultats!G$39*Données!I1198</f>
        <v>99172.576719318546</v>
      </c>
      <c r="M1198">
        <f t="shared" si="72"/>
        <v>19827.423280681454</v>
      </c>
      <c r="Q1198">
        <v>60000</v>
      </c>
      <c r="R1198">
        <v>1</v>
      </c>
      <c r="S1198">
        <v>17.29999923706055</v>
      </c>
      <c r="T1198">
        <v>0</v>
      </c>
      <c r="U1198">
        <f t="shared" si="73"/>
        <v>11.982929094215963</v>
      </c>
      <c r="V1198">
        <f t="shared" si="74"/>
        <v>9.2103403719761836</v>
      </c>
      <c r="W1198">
        <v>0</v>
      </c>
      <c r="X1198">
        <v>1</v>
      </c>
      <c r="Y1198">
        <v>0</v>
      </c>
      <c r="Z1198">
        <f>'Résultat (Ln)'!F$30+'Résultat (Ln)'!F$31*Données!S1198+'Résultat (Ln)'!F$32*Données!T1198+'Résultat (Ln)'!F$33*Données!U1198+'Résultat (Ln)'!F$34*Données!V1198+'Résultat (Ln)'!F$35*Données!W1198+'Résultat (Ln)'!F$36*Données!X1198+'Résultat (Ln)'!F$37*Données!Y1198</f>
        <v>133961.91250615811</v>
      </c>
      <c r="AA1198">
        <f t="shared" si="75"/>
        <v>-73961.912506158114</v>
      </c>
    </row>
    <row r="1199" spans="1:27" x14ac:dyDescent="0.25">
      <c r="A1199">
        <v>200000</v>
      </c>
      <c r="B1199">
        <v>1</v>
      </c>
      <c r="C1199">
        <v>15</v>
      </c>
      <c r="D1199">
        <v>0</v>
      </c>
      <c r="E1199">
        <v>295000</v>
      </c>
      <c r="F1199">
        <v>12700</v>
      </c>
      <c r="G1199">
        <v>1</v>
      </c>
      <c r="H1199">
        <v>0</v>
      </c>
      <c r="I1199">
        <v>1</v>
      </c>
      <c r="J1199">
        <v>15</v>
      </c>
      <c r="K1199">
        <v>1</v>
      </c>
      <c r="L1199">
        <f>Résultats!G$32+Résultats!G$33*Données!C1199+Résultats!G$34*Données!D1199+Résultats!G$35*Données!E1199+Résultats!G$36*Données!F1199+Résultats!G$37*Données!G1199+Résultats!G$38*Données!H1199+Résultats!G$39*Données!I1199</f>
        <v>193094.85082419054</v>
      </c>
      <c r="M1199">
        <f t="shared" si="72"/>
        <v>6905.1491758094635</v>
      </c>
      <c r="Q1199">
        <v>119000</v>
      </c>
      <c r="R1199">
        <v>1</v>
      </c>
      <c r="S1199">
        <v>35</v>
      </c>
      <c r="T1199">
        <v>0</v>
      </c>
      <c r="U1199">
        <f t="shared" si="73"/>
        <v>11.736069016284437</v>
      </c>
      <c r="V1199">
        <f t="shared" si="74"/>
        <v>7.6420444028732577</v>
      </c>
      <c r="W1199">
        <v>0</v>
      </c>
      <c r="X1199">
        <v>0</v>
      </c>
      <c r="Y1199">
        <v>0</v>
      </c>
      <c r="Z1199">
        <f>'Résultat (Ln)'!F$30+'Résultat (Ln)'!F$31*Données!S1199+'Résultat (Ln)'!F$32*Données!T1199+'Résultat (Ln)'!F$33*Données!U1199+'Résultat (Ln)'!F$34*Données!V1199+'Résultat (Ln)'!F$35*Données!W1199+'Résultat (Ln)'!F$36*Données!X1199+'Résultat (Ln)'!F$37*Données!Y1199</f>
        <v>85323.167870437115</v>
      </c>
      <c r="AA1199">
        <f t="shared" si="75"/>
        <v>33676.832129562885</v>
      </c>
    </row>
    <row r="1200" spans="1:27" x14ac:dyDescent="0.25">
      <c r="A1200">
        <v>110000</v>
      </c>
      <c r="B1200">
        <v>1</v>
      </c>
      <c r="C1200">
        <v>41</v>
      </c>
      <c r="D1200">
        <v>0</v>
      </c>
      <c r="E1200">
        <v>152000</v>
      </c>
      <c r="F1200">
        <v>2940</v>
      </c>
      <c r="G1200">
        <v>0</v>
      </c>
      <c r="H1200">
        <v>0</v>
      </c>
      <c r="I1200">
        <v>1</v>
      </c>
      <c r="J1200">
        <v>38</v>
      </c>
      <c r="K1200">
        <v>1</v>
      </c>
      <c r="L1200">
        <f>Résultats!G$32+Résultats!G$33*Données!C1200+Résultats!G$34*Données!D1200+Résultats!G$35*Données!E1200+Résultats!G$36*Données!F1200+Résultats!G$37*Données!G1200+Résultats!G$38*Données!H1200+Résultats!G$39*Données!I1200</f>
        <v>130256.54009024147</v>
      </c>
      <c r="M1200">
        <f t="shared" si="72"/>
        <v>-20256.540090241469</v>
      </c>
      <c r="Q1200">
        <v>200000</v>
      </c>
      <c r="R1200">
        <v>1</v>
      </c>
      <c r="S1200">
        <v>15</v>
      </c>
      <c r="T1200">
        <v>0</v>
      </c>
      <c r="U1200">
        <f t="shared" si="73"/>
        <v>12.594730635321957</v>
      </c>
      <c r="V1200">
        <f t="shared" si="74"/>
        <v>9.449357272446683</v>
      </c>
      <c r="W1200">
        <v>1</v>
      </c>
      <c r="X1200">
        <v>0</v>
      </c>
      <c r="Y1200">
        <v>1</v>
      </c>
      <c r="Z1200">
        <f>'Résultat (Ln)'!F$30+'Résultat (Ln)'!F$31*Données!S1200+'Résultat (Ln)'!F$32*Données!T1200+'Résultat (Ln)'!F$33*Données!U1200+'Résultat (Ln)'!F$34*Données!V1200+'Résultat (Ln)'!F$35*Données!W1200+'Résultat (Ln)'!F$36*Données!X1200+'Résultat (Ln)'!F$37*Données!Y1200</f>
        <v>222215.55126731875</v>
      </c>
      <c r="AA1200">
        <f t="shared" si="75"/>
        <v>-22215.551267318748</v>
      </c>
    </row>
    <row r="1201" spans="1:27" x14ac:dyDescent="0.25">
      <c r="A1201">
        <v>130000</v>
      </c>
      <c r="B1201">
        <v>1</v>
      </c>
      <c r="C1201">
        <v>43</v>
      </c>
      <c r="D1201">
        <v>0</v>
      </c>
      <c r="E1201">
        <v>173000</v>
      </c>
      <c r="F1201">
        <v>8750</v>
      </c>
      <c r="G1201">
        <v>1</v>
      </c>
      <c r="H1201">
        <v>0</v>
      </c>
      <c r="I1201">
        <v>0</v>
      </c>
      <c r="J1201">
        <v>11</v>
      </c>
      <c r="K1201">
        <v>1</v>
      </c>
      <c r="L1201">
        <f>Résultats!G$32+Résultats!G$33*Données!C1201+Résultats!G$34*Données!D1201+Résultats!G$35*Données!E1201+Résultats!G$36*Données!F1201+Résultats!G$37*Données!G1201+Résultats!G$38*Données!H1201+Résultats!G$39*Données!I1201</f>
        <v>150709.60570972311</v>
      </c>
      <c r="M1201">
        <f t="shared" si="72"/>
        <v>-20709.60570972311</v>
      </c>
      <c r="Q1201">
        <v>110000</v>
      </c>
      <c r="R1201">
        <v>1</v>
      </c>
      <c r="S1201">
        <v>41</v>
      </c>
      <c r="T1201">
        <v>0</v>
      </c>
      <c r="U1201">
        <f t="shared" si="73"/>
        <v>11.931635799828413</v>
      </c>
      <c r="V1201">
        <f t="shared" si="74"/>
        <v>7.9861648603327273</v>
      </c>
      <c r="W1201">
        <v>0</v>
      </c>
      <c r="X1201">
        <v>0</v>
      </c>
      <c r="Y1201">
        <v>1</v>
      </c>
      <c r="Z1201">
        <f>'Résultat (Ln)'!F$30+'Résultat (Ln)'!F$31*Données!S1201+'Résultat (Ln)'!F$32*Données!T1201+'Résultat (Ln)'!F$33*Données!U1201+'Résultat (Ln)'!F$34*Données!V1201+'Résultat (Ln)'!F$35*Données!W1201+'Résultat (Ln)'!F$36*Données!X1201+'Résultat (Ln)'!F$37*Données!Y1201</f>
        <v>137357.36781303093</v>
      </c>
      <c r="AA1201">
        <f t="shared" si="75"/>
        <v>-27357.367813030927</v>
      </c>
    </row>
    <row r="1202" spans="1:27" x14ac:dyDescent="0.25">
      <c r="A1202">
        <v>171000</v>
      </c>
      <c r="B1202">
        <v>1</v>
      </c>
      <c r="C1202">
        <v>32.799999237060547</v>
      </c>
      <c r="D1202">
        <v>0</v>
      </c>
      <c r="E1202">
        <v>189899.9938964844</v>
      </c>
      <c r="F1202">
        <v>4005</v>
      </c>
      <c r="G1202">
        <v>1</v>
      </c>
      <c r="H1202">
        <v>0</v>
      </c>
      <c r="I1202">
        <v>0</v>
      </c>
      <c r="J1202">
        <v>28.45000076293945</v>
      </c>
      <c r="K1202">
        <v>1</v>
      </c>
      <c r="L1202">
        <f>Résultats!G$32+Résultats!G$33*Données!C1202+Résultats!G$34*Données!D1202+Résultats!G$35*Données!E1202+Résultats!G$36*Données!F1202+Résultats!G$37*Données!G1202+Résultats!G$38*Données!H1202+Résultats!G$39*Données!I1202</f>
        <v>137689.87330635561</v>
      </c>
      <c r="M1202">
        <f t="shared" si="72"/>
        <v>33310.126693644386</v>
      </c>
      <c r="Q1202">
        <v>130000</v>
      </c>
      <c r="R1202">
        <v>1</v>
      </c>
      <c r="S1202">
        <v>43</v>
      </c>
      <c r="T1202">
        <v>0</v>
      </c>
      <c r="U1202">
        <f t="shared" si="73"/>
        <v>12.061046873479915</v>
      </c>
      <c r="V1202">
        <f t="shared" si="74"/>
        <v>9.0768089793516609</v>
      </c>
      <c r="W1202">
        <v>1</v>
      </c>
      <c r="X1202">
        <v>0</v>
      </c>
      <c r="Y1202">
        <v>0</v>
      </c>
      <c r="Z1202">
        <f>'Résultat (Ln)'!F$30+'Résultat (Ln)'!F$31*Données!S1202+'Résultat (Ln)'!F$32*Données!T1202+'Résultat (Ln)'!F$33*Données!U1202+'Résultat (Ln)'!F$34*Données!V1202+'Résultat (Ln)'!F$35*Données!W1202+'Résultat (Ln)'!F$36*Données!X1202+'Résultat (Ln)'!F$37*Données!Y1202</f>
        <v>174688.82210286771</v>
      </c>
      <c r="AA1202">
        <f t="shared" si="75"/>
        <v>-44688.822102867707</v>
      </c>
    </row>
    <row r="1203" spans="1:27" x14ac:dyDescent="0.25">
      <c r="A1203">
        <v>171000</v>
      </c>
      <c r="B1203">
        <v>1</v>
      </c>
      <c r="C1203">
        <v>27</v>
      </c>
      <c r="D1203">
        <v>0</v>
      </c>
      <c r="E1203">
        <v>213000</v>
      </c>
      <c r="F1203">
        <v>7091</v>
      </c>
      <c r="G1203">
        <v>0</v>
      </c>
      <c r="H1203">
        <v>0</v>
      </c>
      <c r="I1203">
        <v>0</v>
      </c>
      <c r="J1203">
        <v>25</v>
      </c>
      <c r="K1203">
        <v>1</v>
      </c>
      <c r="L1203">
        <f>Résultats!G$32+Résultats!G$33*Données!C1203+Résultats!G$34*Données!D1203+Résultats!G$35*Données!E1203+Résultats!G$36*Données!F1203+Résultats!G$37*Données!G1203+Résultats!G$38*Données!H1203+Résultats!G$39*Données!I1203</f>
        <v>140777.60266990663</v>
      </c>
      <c r="M1203">
        <f t="shared" si="72"/>
        <v>30222.397330093372</v>
      </c>
      <c r="Q1203">
        <v>171000</v>
      </c>
      <c r="R1203">
        <v>1</v>
      </c>
      <c r="S1203">
        <v>32.799999237060547</v>
      </c>
      <c r="T1203">
        <v>0</v>
      </c>
      <c r="U1203">
        <f t="shared" si="73"/>
        <v>12.154252864659695</v>
      </c>
      <c r="V1203">
        <f t="shared" si="74"/>
        <v>8.2952988595024593</v>
      </c>
      <c r="W1203">
        <v>1</v>
      </c>
      <c r="X1203">
        <v>0</v>
      </c>
      <c r="Y1203">
        <v>0</v>
      </c>
      <c r="Z1203">
        <f>'Résultat (Ln)'!F$30+'Résultat (Ln)'!F$31*Données!S1203+'Résultat (Ln)'!F$32*Données!T1203+'Résultat (Ln)'!F$33*Données!U1203+'Résultat (Ln)'!F$34*Données!V1203+'Résultat (Ln)'!F$35*Données!W1203+'Résultat (Ln)'!F$36*Données!X1203+'Résultat (Ln)'!F$37*Données!Y1203</f>
        <v>150297.20134008527</v>
      </c>
      <c r="AA1203">
        <f t="shared" si="75"/>
        <v>20702.798659914726</v>
      </c>
    </row>
    <row r="1204" spans="1:27" x14ac:dyDescent="0.25">
      <c r="A1204">
        <v>168000</v>
      </c>
      <c r="B1204">
        <v>1</v>
      </c>
      <c r="C1204">
        <v>14.39999961853027</v>
      </c>
      <c r="D1204">
        <v>0</v>
      </c>
      <c r="E1204">
        <v>210000</v>
      </c>
      <c r="F1204">
        <v>4170</v>
      </c>
      <c r="G1204">
        <v>0</v>
      </c>
      <c r="H1204">
        <v>0</v>
      </c>
      <c r="I1204">
        <v>1</v>
      </c>
      <c r="J1204">
        <v>12.47000026702881</v>
      </c>
      <c r="K1204">
        <v>1</v>
      </c>
      <c r="L1204">
        <f>Résultats!G$32+Résultats!G$33*Données!C1204+Résultats!G$34*Données!D1204+Résultats!G$35*Données!E1204+Résultats!G$36*Données!F1204+Résultats!G$37*Données!G1204+Résultats!G$38*Données!H1204+Résultats!G$39*Données!I1204</f>
        <v>129168.67561041842</v>
      </c>
      <c r="M1204">
        <f t="shared" si="72"/>
        <v>38831.324389581583</v>
      </c>
      <c r="Q1204">
        <v>171000</v>
      </c>
      <c r="R1204">
        <v>1</v>
      </c>
      <c r="S1204">
        <v>27</v>
      </c>
      <c r="T1204">
        <v>0</v>
      </c>
      <c r="U1204">
        <f t="shared" si="73"/>
        <v>12.269047444691562</v>
      </c>
      <c r="V1204">
        <f t="shared" si="74"/>
        <v>8.8665816533039958</v>
      </c>
      <c r="W1204">
        <v>0</v>
      </c>
      <c r="X1204">
        <v>0</v>
      </c>
      <c r="Y1204">
        <v>0</v>
      </c>
      <c r="Z1204">
        <f>'Résultat (Ln)'!F$30+'Résultat (Ln)'!F$31*Données!S1204+'Résultat (Ln)'!F$32*Données!T1204+'Résultat (Ln)'!F$33*Données!U1204+'Résultat (Ln)'!F$34*Données!V1204+'Résultat (Ln)'!F$35*Données!W1204+'Résultat (Ln)'!F$36*Données!X1204+'Résultat (Ln)'!F$37*Données!Y1204</f>
        <v>167022.88272299414</v>
      </c>
      <c r="AA1204">
        <f t="shared" si="75"/>
        <v>3977.117277005862</v>
      </c>
    </row>
    <row r="1205" spans="1:27" x14ac:dyDescent="0.25">
      <c r="A1205">
        <v>130000</v>
      </c>
      <c r="B1205">
        <v>1</v>
      </c>
      <c r="C1205">
        <v>37.400001525878913</v>
      </c>
      <c r="D1205">
        <v>0</v>
      </c>
      <c r="E1205">
        <v>230000</v>
      </c>
      <c r="F1205">
        <v>4310</v>
      </c>
      <c r="G1205">
        <v>1</v>
      </c>
      <c r="H1205">
        <v>0</v>
      </c>
      <c r="I1205">
        <v>0</v>
      </c>
      <c r="J1205">
        <v>28.20000076293945</v>
      </c>
      <c r="K1205">
        <v>1</v>
      </c>
      <c r="L1205">
        <f>Résultats!G$32+Résultats!G$33*Données!C1205+Résultats!G$34*Données!D1205+Résultats!G$35*Données!E1205+Résultats!G$36*Données!F1205+Résultats!G$37*Données!G1205+Résultats!G$38*Données!H1205+Résultats!G$39*Données!I1205</f>
        <v>162289.61374977921</v>
      </c>
      <c r="M1205">
        <f t="shared" si="72"/>
        <v>-32289.613749779208</v>
      </c>
      <c r="Q1205">
        <v>168000</v>
      </c>
      <c r="R1205">
        <v>1</v>
      </c>
      <c r="S1205">
        <v>14.39999961853027</v>
      </c>
      <c r="T1205">
        <v>0</v>
      </c>
      <c r="U1205">
        <f t="shared" si="73"/>
        <v>12.254862809699606</v>
      </c>
      <c r="V1205">
        <f t="shared" si="74"/>
        <v>8.3356713147928474</v>
      </c>
      <c r="W1205">
        <v>0</v>
      </c>
      <c r="X1205">
        <v>0</v>
      </c>
      <c r="Y1205">
        <v>1</v>
      </c>
      <c r="Z1205">
        <f>'Résultat (Ln)'!F$30+'Résultat (Ln)'!F$31*Données!S1205+'Résultat (Ln)'!F$32*Données!T1205+'Résultat (Ln)'!F$33*Données!U1205+'Résultat (Ln)'!F$34*Données!V1205+'Résultat (Ln)'!F$35*Données!W1205+'Résultat (Ln)'!F$36*Données!X1205+'Résultat (Ln)'!F$37*Données!Y1205</f>
        <v>149301.76558650241</v>
      </c>
      <c r="AA1205">
        <f t="shared" si="75"/>
        <v>18698.234413497587</v>
      </c>
    </row>
    <row r="1206" spans="1:27" x14ac:dyDescent="0.25">
      <c r="A1206">
        <v>71000</v>
      </c>
      <c r="B1206">
        <v>1</v>
      </c>
      <c r="C1206">
        <v>35</v>
      </c>
      <c r="D1206">
        <v>1</v>
      </c>
      <c r="E1206">
        <v>89000</v>
      </c>
      <c r="F1206">
        <v>3069</v>
      </c>
      <c r="G1206">
        <v>0</v>
      </c>
      <c r="H1206">
        <v>0</v>
      </c>
      <c r="I1206">
        <v>1</v>
      </c>
      <c r="J1206">
        <v>30</v>
      </c>
      <c r="K1206">
        <v>1</v>
      </c>
      <c r="L1206">
        <f>Résultats!G$32+Résultats!G$33*Données!C1206+Résultats!G$34*Données!D1206+Résultats!G$35*Données!E1206+Résultats!G$36*Données!F1206+Résultats!G$37*Données!G1206+Résultats!G$38*Données!H1206+Résultats!G$39*Données!I1206</f>
        <v>99044.685174633065</v>
      </c>
      <c r="M1206">
        <f t="shared" si="72"/>
        <v>-28044.685174633065</v>
      </c>
      <c r="Q1206">
        <v>130000</v>
      </c>
      <c r="R1206">
        <v>1</v>
      </c>
      <c r="S1206">
        <v>37.400001525878913</v>
      </c>
      <c r="T1206">
        <v>0</v>
      </c>
      <c r="U1206">
        <f t="shared" si="73"/>
        <v>12.345834587905333</v>
      </c>
      <c r="V1206">
        <f t="shared" si="74"/>
        <v>8.3686931830977933</v>
      </c>
      <c r="W1206">
        <v>1</v>
      </c>
      <c r="X1206">
        <v>0</v>
      </c>
      <c r="Y1206">
        <v>0</v>
      </c>
      <c r="Z1206">
        <f>'Résultat (Ln)'!F$30+'Résultat (Ln)'!F$31*Données!S1206+'Résultat (Ln)'!F$32*Données!T1206+'Résultat (Ln)'!F$33*Données!U1206+'Résultat (Ln)'!F$34*Données!V1206+'Résultat (Ln)'!F$35*Données!W1206+'Résultat (Ln)'!F$36*Données!X1206+'Résultat (Ln)'!F$37*Données!Y1206</f>
        <v>178513.70592805115</v>
      </c>
      <c r="AA1206">
        <f t="shared" si="75"/>
        <v>-48513.705928051146</v>
      </c>
    </row>
    <row r="1207" spans="1:27" x14ac:dyDescent="0.25">
      <c r="A1207">
        <v>130000</v>
      </c>
      <c r="B1207">
        <v>1</v>
      </c>
      <c r="C1207">
        <v>35</v>
      </c>
      <c r="D1207">
        <v>0</v>
      </c>
      <c r="E1207">
        <v>203000</v>
      </c>
      <c r="F1207">
        <v>5391</v>
      </c>
      <c r="G1207">
        <v>1</v>
      </c>
      <c r="H1207">
        <v>0</v>
      </c>
      <c r="I1207">
        <v>1</v>
      </c>
      <c r="J1207">
        <v>20</v>
      </c>
      <c r="K1207">
        <v>1</v>
      </c>
      <c r="L1207">
        <f>Résultats!G$32+Résultats!G$33*Données!C1207+Résultats!G$34*Données!D1207+Résultats!G$35*Données!E1207+Résultats!G$36*Données!F1207+Résultats!G$37*Données!G1207+Résultats!G$38*Données!H1207+Résultats!G$39*Données!I1207</f>
        <v>158945.26983235485</v>
      </c>
      <c r="M1207">
        <f t="shared" si="72"/>
        <v>-28945.269832354854</v>
      </c>
      <c r="Q1207">
        <v>71000</v>
      </c>
      <c r="R1207">
        <v>1</v>
      </c>
      <c r="S1207">
        <v>35</v>
      </c>
      <c r="T1207">
        <v>1</v>
      </c>
      <c r="U1207">
        <f t="shared" si="73"/>
        <v>11.396391648714276</v>
      </c>
      <c r="V1207">
        <f t="shared" si="74"/>
        <v>8.0291070546197361</v>
      </c>
      <c r="W1207">
        <v>0</v>
      </c>
      <c r="X1207">
        <v>0</v>
      </c>
      <c r="Y1207">
        <v>1</v>
      </c>
      <c r="Z1207">
        <f>'Résultat (Ln)'!F$30+'Résultat (Ln)'!F$31*Données!S1207+'Résultat (Ln)'!F$32*Données!T1207+'Résultat (Ln)'!F$33*Données!U1207+'Résultat (Ln)'!F$34*Données!V1207+'Résultat (Ln)'!F$35*Données!W1207+'Résultat (Ln)'!F$36*Données!X1207+'Résultat (Ln)'!F$37*Données!Y1207</f>
        <v>78202.481945018662</v>
      </c>
      <c r="AA1207">
        <f t="shared" si="75"/>
        <v>-7202.4819450186624</v>
      </c>
    </row>
    <row r="1208" spans="1:27" x14ac:dyDescent="0.25">
      <c r="A1208">
        <v>128000</v>
      </c>
      <c r="B1208">
        <v>1</v>
      </c>
      <c r="C1208">
        <v>39</v>
      </c>
      <c r="D1208">
        <v>0</v>
      </c>
      <c r="E1208">
        <v>160000</v>
      </c>
      <c r="F1208">
        <v>3333</v>
      </c>
      <c r="G1208">
        <v>1</v>
      </c>
      <c r="H1208">
        <v>0</v>
      </c>
      <c r="I1208">
        <v>0</v>
      </c>
      <c r="J1208">
        <v>26</v>
      </c>
      <c r="K1208">
        <v>1</v>
      </c>
      <c r="L1208">
        <f>Résultats!G$32+Résultats!G$33*Données!C1208+Résultats!G$34*Données!D1208+Résultats!G$35*Données!E1208+Résultats!G$36*Données!F1208+Résultats!G$37*Données!G1208+Résultats!G$38*Données!H1208+Résultats!G$39*Données!I1208</f>
        <v>129547.53754020882</v>
      </c>
      <c r="M1208">
        <f t="shared" si="72"/>
        <v>-1547.5375402088248</v>
      </c>
      <c r="Q1208">
        <v>130000</v>
      </c>
      <c r="R1208">
        <v>1</v>
      </c>
      <c r="S1208">
        <v>35</v>
      </c>
      <c r="T1208">
        <v>0</v>
      </c>
      <c r="U1208">
        <f t="shared" si="73"/>
        <v>12.220961258023925</v>
      </c>
      <c r="V1208">
        <f t="shared" si="74"/>
        <v>8.5924861754516684</v>
      </c>
      <c r="W1208">
        <v>1</v>
      </c>
      <c r="X1208">
        <v>0</v>
      </c>
      <c r="Y1208">
        <v>1</v>
      </c>
      <c r="Z1208">
        <f>'Résultat (Ln)'!F$30+'Résultat (Ln)'!F$31*Données!S1208+'Résultat (Ln)'!F$32*Données!T1208+'Résultat (Ln)'!F$33*Données!U1208+'Résultat (Ln)'!F$34*Données!V1208+'Résultat (Ln)'!F$35*Données!W1208+'Résultat (Ln)'!F$36*Données!X1208+'Résultat (Ln)'!F$37*Données!Y1208</f>
        <v>182558.3212456278</v>
      </c>
      <c r="AA1208">
        <f t="shared" si="75"/>
        <v>-52558.321245627798</v>
      </c>
    </row>
    <row r="1209" spans="1:27" x14ac:dyDescent="0.25">
      <c r="A1209">
        <v>115000</v>
      </c>
      <c r="B1209">
        <v>1</v>
      </c>
      <c r="C1209">
        <v>14</v>
      </c>
      <c r="D1209">
        <v>0</v>
      </c>
      <c r="E1209">
        <v>115000</v>
      </c>
      <c r="F1209">
        <v>2610</v>
      </c>
      <c r="G1209">
        <v>1</v>
      </c>
      <c r="H1209">
        <v>0</v>
      </c>
      <c r="I1209">
        <v>0</v>
      </c>
      <c r="J1209">
        <v>9</v>
      </c>
      <c r="K1209">
        <v>1</v>
      </c>
      <c r="L1209">
        <f>Résultats!G$32+Résultats!G$33*Données!C1209+Résultats!G$34*Données!D1209+Résultats!G$35*Données!E1209+Résultats!G$36*Données!F1209+Résultats!G$37*Données!G1209+Résultats!G$38*Données!H1209+Résultats!G$39*Données!I1209</f>
        <v>78416.860706556152</v>
      </c>
      <c r="M1209">
        <f t="shared" si="72"/>
        <v>36583.139293443848</v>
      </c>
      <c r="Q1209">
        <v>128000</v>
      </c>
      <c r="R1209">
        <v>1</v>
      </c>
      <c r="S1209">
        <v>39</v>
      </c>
      <c r="T1209">
        <v>0</v>
      </c>
      <c r="U1209">
        <f t="shared" si="73"/>
        <v>11.982929094215963</v>
      </c>
      <c r="V1209">
        <f t="shared" si="74"/>
        <v>8.1116280783077404</v>
      </c>
      <c r="W1209">
        <v>1</v>
      </c>
      <c r="X1209">
        <v>0</v>
      </c>
      <c r="Y1209">
        <v>0</v>
      </c>
      <c r="Z1209">
        <f>'Résultat (Ln)'!F$30+'Résultat (Ln)'!F$31*Données!S1209+'Résultat (Ln)'!F$32*Données!T1209+'Résultat (Ln)'!F$33*Données!U1209+'Résultat (Ln)'!F$34*Données!V1209+'Résultat (Ln)'!F$35*Données!W1209+'Résultat (Ln)'!F$36*Données!X1209+'Résultat (Ln)'!F$37*Données!Y1209</f>
        <v>134357.51498679171</v>
      </c>
      <c r="AA1209">
        <f t="shared" si="75"/>
        <v>-6357.5149867917062</v>
      </c>
    </row>
    <row r="1210" spans="1:27" x14ac:dyDescent="0.25">
      <c r="A1210">
        <v>79000</v>
      </c>
      <c r="B1210">
        <v>1</v>
      </c>
      <c r="C1210">
        <v>34</v>
      </c>
      <c r="D1210">
        <v>0</v>
      </c>
      <c r="E1210">
        <v>195000</v>
      </c>
      <c r="F1210">
        <v>3249</v>
      </c>
      <c r="G1210">
        <v>1</v>
      </c>
      <c r="H1210">
        <v>0</v>
      </c>
      <c r="I1210">
        <v>0</v>
      </c>
      <c r="J1210">
        <v>27</v>
      </c>
      <c r="K1210">
        <v>1</v>
      </c>
      <c r="L1210">
        <f>Résultats!G$32+Résultats!G$33*Données!C1210+Résultats!G$34*Données!D1210+Résultats!G$35*Données!E1210+Résultats!G$36*Données!F1210+Résultats!G$37*Données!G1210+Résultats!G$38*Données!H1210+Résultats!G$39*Données!I1210</f>
        <v>139984.77590943838</v>
      </c>
      <c r="M1210">
        <f t="shared" si="72"/>
        <v>-60984.77590943838</v>
      </c>
      <c r="Q1210">
        <v>115000</v>
      </c>
      <c r="R1210">
        <v>1</v>
      </c>
      <c r="S1210">
        <v>14</v>
      </c>
      <c r="T1210">
        <v>0</v>
      </c>
      <c r="U1210">
        <f t="shared" si="73"/>
        <v>11.652687407345388</v>
      </c>
      <c r="V1210">
        <f t="shared" si="74"/>
        <v>7.8671055003167387</v>
      </c>
      <c r="W1210">
        <v>1</v>
      </c>
      <c r="X1210">
        <v>0</v>
      </c>
      <c r="Y1210">
        <v>0</v>
      </c>
      <c r="Z1210">
        <f>'Résultat (Ln)'!F$30+'Résultat (Ln)'!F$31*Données!S1210+'Résultat (Ln)'!F$32*Données!T1210+'Résultat (Ln)'!F$33*Données!U1210+'Résultat (Ln)'!F$34*Données!V1210+'Résultat (Ln)'!F$35*Données!W1210+'Résultat (Ln)'!F$36*Données!X1210+'Résultat (Ln)'!F$37*Données!Y1210</f>
        <v>61548.216502961695</v>
      </c>
      <c r="AA1210">
        <f t="shared" si="75"/>
        <v>53451.783497038305</v>
      </c>
    </row>
    <row r="1211" spans="1:27" x14ac:dyDescent="0.25">
      <c r="A1211">
        <v>296000</v>
      </c>
      <c r="B1211">
        <v>1</v>
      </c>
      <c r="C1211">
        <v>40.5</v>
      </c>
      <c r="D1211">
        <v>0</v>
      </c>
      <c r="E1211">
        <v>370000</v>
      </c>
      <c r="F1211">
        <v>5941</v>
      </c>
      <c r="G1211">
        <v>0</v>
      </c>
      <c r="H1211">
        <v>0</v>
      </c>
      <c r="I1211">
        <v>1</v>
      </c>
      <c r="J1211">
        <v>27.60000038146973</v>
      </c>
      <c r="K1211">
        <v>1</v>
      </c>
      <c r="L1211">
        <f>Résultats!G$32+Résultats!G$33*Données!C1211+Résultats!G$34*Données!D1211+Résultats!G$35*Données!E1211+Résultats!G$36*Données!F1211+Résultats!G$37*Données!G1211+Résultats!G$38*Données!H1211+Résultats!G$39*Données!I1211</f>
        <v>237293.31735594699</v>
      </c>
      <c r="M1211">
        <f t="shared" si="72"/>
        <v>58706.682644053013</v>
      </c>
      <c r="Q1211">
        <v>79000</v>
      </c>
      <c r="R1211">
        <v>1</v>
      </c>
      <c r="S1211">
        <v>34</v>
      </c>
      <c r="T1211">
        <v>0</v>
      </c>
      <c r="U1211">
        <f t="shared" si="73"/>
        <v>12.180754837545884</v>
      </c>
      <c r="V1211">
        <f t="shared" si="74"/>
        <v>8.0861025356691005</v>
      </c>
      <c r="W1211">
        <v>1</v>
      </c>
      <c r="X1211">
        <v>0</v>
      </c>
      <c r="Y1211">
        <v>0</v>
      </c>
      <c r="Z1211">
        <f>'Résultat (Ln)'!F$30+'Résultat (Ln)'!F$31*Données!S1211+'Résultat (Ln)'!F$32*Données!T1211+'Résultat (Ln)'!F$33*Données!U1211+'Résultat (Ln)'!F$34*Données!V1211+'Résultat (Ln)'!F$35*Données!W1211+'Résultat (Ln)'!F$36*Données!X1211+'Résultat (Ln)'!F$37*Données!Y1211</f>
        <v>148737.46865972801</v>
      </c>
      <c r="AA1211">
        <f t="shared" si="75"/>
        <v>-69737.468659728009</v>
      </c>
    </row>
    <row r="1212" spans="1:27" x14ac:dyDescent="0.25">
      <c r="A1212">
        <v>132000</v>
      </c>
      <c r="B1212">
        <v>1</v>
      </c>
      <c r="C1212">
        <v>26</v>
      </c>
      <c r="D1212">
        <v>0</v>
      </c>
      <c r="E1212">
        <v>132000</v>
      </c>
      <c r="F1212">
        <v>5849</v>
      </c>
      <c r="G1212">
        <v>1</v>
      </c>
      <c r="H1212">
        <v>0</v>
      </c>
      <c r="I1212">
        <v>0</v>
      </c>
      <c r="J1212">
        <v>20</v>
      </c>
      <c r="K1212">
        <v>1</v>
      </c>
      <c r="L1212">
        <f>Résultats!G$32+Résultats!G$33*Données!C1212+Résultats!G$34*Données!D1212+Résultats!G$35*Données!E1212+Résultats!G$36*Données!F1212+Résultats!G$37*Données!G1212+Résultats!G$38*Données!H1212+Résultats!G$39*Données!I1212</f>
        <v>106415.6041010866</v>
      </c>
      <c r="M1212">
        <f t="shared" si="72"/>
        <v>25584.395898913397</v>
      </c>
      <c r="Q1212">
        <v>296000</v>
      </c>
      <c r="R1212">
        <v>1</v>
      </c>
      <c r="S1212">
        <v>40.5</v>
      </c>
      <c r="T1212">
        <v>0</v>
      </c>
      <c r="U1212">
        <f t="shared" si="73"/>
        <v>12.821258284620408</v>
      </c>
      <c r="V1212">
        <f t="shared" si="74"/>
        <v>8.6896327483557414</v>
      </c>
      <c r="W1212">
        <v>0</v>
      </c>
      <c r="X1212">
        <v>0</v>
      </c>
      <c r="Y1212">
        <v>1</v>
      </c>
      <c r="Z1212">
        <f>'Résultat (Ln)'!F$30+'Résultat (Ln)'!F$31*Données!S1212+'Résultat (Ln)'!F$32*Données!T1212+'Résultat (Ln)'!F$33*Données!U1212+'Résultat (Ln)'!F$34*Données!V1212+'Résultat (Ln)'!F$35*Données!W1212+'Résultat (Ln)'!F$36*Données!X1212+'Résultat (Ln)'!F$37*Données!Y1212</f>
        <v>251839.24814441599</v>
      </c>
      <c r="AA1212">
        <f t="shared" si="75"/>
        <v>44160.751855584007</v>
      </c>
    </row>
    <row r="1213" spans="1:27" x14ac:dyDescent="0.25">
      <c r="A1213">
        <v>156000</v>
      </c>
      <c r="B1213">
        <v>1</v>
      </c>
      <c r="C1213">
        <v>37.599998474121087</v>
      </c>
      <c r="D1213">
        <v>0</v>
      </c>
      <c r="E1213">
        <v>195000</v>
      </c>
      <c r="F1213">
        <v>6000</v>
      </c>
      <c r="G1213">
        <v>0</v>
      </c>
      <c r="H1213">
        <v>0</v>
      </c>
      <c r="I1213">
        <v>1</v>
      </c>
      <c r="J1213">
        <v>27.79999923706055</v>
      </c>
      <c r="K1213">
        <v>0</v>
      </c>
      <c r="L1213">
        <f>Résultats!G$32+Résultats!G$33*Données!C1213+Résultats!G$34*Données!D1213+Résultats!G$35*Données!E1213+Résultats!G$36*Données!F1213+Résultats!G$37*Données!G1213+Résultats!G$38*Données!H1213+Résultats!G$39*Données!I1213</f>
        <v>152359.67894064475</v>
      </c>
      <c r="M1213">
        <f t="shared" si="72"/>
        <v>3640.3210593552503</v>
      </c>
      <c r="Q1213">
        <v>132000</v>
      </c>
      <c r="R1213">
        <v>1</v>
      </c>
      <c r="S1213">
        <v>26</v>
      </c>
      <c r="T1213">
        <v>0</v>
      </c>
      <c r="U1213">
        <f t="shared" si="73"/>
        <v>11.790557201568507</v>
      </c>
      <c r="V1213">
        <f t="shared" si="74"/>
        <v>8.6740259854430253</v>
      </c>
      <c r="W1213">
        <v>1</v>
      </c>
      <c r="X1213">
        <v>0</v>
      </c>
      <c r="Y1213">
        <v>0</v>
      </c>
      <c r="Z1213">
        <f>'Résultat (Ln)'!F$30+'Résultat (Ln)'!F$31*Données!S1213+'Résultat (Ln)'!F$32*Données!T1213+'Résultat (Ln)'!F$33*Données!U1213+'Résultat (Ln)'!F$34*Données!V1213+'Résultat (Ln)'!F$35*Données!W1213+'Résultat (Ln)'!F$36*Données!X1213+'Résultat (Ln)'!F$37*Données!Y1213</f>
        <v>113622.46361500806</v>
      </c>
      <c r="AA1213">
        <f t="shared" si="75"/>
        <v>18377.536384991938</v>
      </c>
    </row>
    <row r="1214" spans="1:27" x14ac:dyDescent="0.25">
      <c r="A1214">
        <v>50000</v>
      </c>
      <c r="B1214">
        <v>1</v>
      </c>
      <c r="C1214">
        <v>34.900001525878913</v>
      </c>
      <c r="D1214">
        <v>0</v>
      </c>
      <c r="E1214">
        <v>180000</v>
      </c>
      <c r="F1214">
        <v>2165</v>
      </c>
      <c r="G1214">
        <v>1</v>
      </c>
      <c r="H1214">
        <v>0</v>
      </c>
      <c r="I1214">
        <v>0</v>
      </c>
      <c r="J1214">
        <v>28.70000076293945</v>
      </c>
      <c r="K1214">
        <v>1</v>
      </c>
      <c r="L1214">
        <f>Résultats!G$32+Résultats!G$33*Données!C1214+Résultats!G$34*Données!D1214+Résultats!G$35*Données!E1214+Résultats!G$36*Données!F1214+Résultats!G$37*Données!G1214+Résultats!G$38*Données!H1214+Résultats!G$39*Données!I1214</f>
        <v>131913.72046880765</v>
      </c>
      <c r="M1214">
        <f t="shared" si="72"/>
        <v>-81913.720468807645</v>
      </c>
      <c r="Q1214">
        <v>156000</v>
      </c>
      <c r="R1214">
        <v>1</v>
      </c>
      <c r="S1214">
        <v>37.599998474121087</v>
      </c>
      <c r="T1214">
        <v>0</v>
      </c>
      <c r="U1214">
        <f t="shared" si="73"/>
        <v>12.180754837545884</v>
      </c>
      <c r="V1214">
        <f t="shared" si="74"/>
        <v>8.6995147482101913</v>
      </c>
      <c r="W1214">
        <v>0</v>
      </c>
      <c r="X1214">
        <v>0</v>
      </c>
      <c r="Y1214">
        <v>1</v>
      </c>
      <c r="Z1214">
        <f>'Résultat (Ln)'!F$30+'Résultat (Ln)'!F$31*Données!S1214+'Résultat (Ln)'!F$32*Données!T1214+'Résultat (Ln)'!F$33*Données!U1214+'Résultat (Ln)'!F$34*Données!V1214+'Résultat (Ln)'!F$35*Données!W1214+'Résultat (Ln)'!F$36*Données!X1214+'Résultat (Ln)'!F$37*Données!Y1214</f>
        <v>179913.34620655759</v>
      </c>
      <c r="AA1214">
        <f t="shared" si="75"/>
        <v>-23913.346206557588</v>
      </c>
    </row>
    <row r="1215" spans="1:27" x14ac:dyDescent="0.25">
      <c r="A1215">
        <v>146000</v>
      </c>
      <c r="B1215">
        <v>1</v>
      </c>
      <c r="C1215">
        <v>36</v>
      </c>
      <c r="D1215">
        <v>0</v>
      </c>
      <c r="E1215">
        <v>225000</v>
      </c>
      <c r="F1215">
        <v>3571</v>
      </c>
      <c r="G1215">
        <v>1</v>
      </c>
      <c r="H1215">
        <v>0</v>
      </c>
      <c r="I1215">
        <v>0</v>
      </c>
      <c r="J1215">
        <v>27</v>
      </c>
      <c r="K1215">
        <v>1</v>
      </c>
      <c r="L1215">
        <f>Résultats!G$32+Résultats!G$33*Données!C1215+Résultats!G$34*Données!D1215+Résultats!G$35*Données!E1215+Résultats!G$36*Données!F1215+Résultats!G$37*Données!G1215+Résultats!G$38*Données!H1215+Résultats!G$39*Données!I1215</f>
        <v>156914.68225962584</v>
      </c>
      <c r="M1215">
        <f t="shared" si="72"/>
        <v>-10914.682259625843</v>
      </c>
      <c r="Q1215">
        <v>50000</v>
      </c>
      <c r="R1215">
        <v>1</v>
      </c>
      <c r="S1215">
        <v>34.900001525878913</v>
      </c>
      <c r="T1215">
        <v>0</v>
      </c>
      <c r="U1215">
        <f t="shared" si="73"/>
        <v>12.100712129872347</v>
      </c>
      <c r="V1215">
        <f t="shared" si="74"/>
        <v>7.6801756404365902</v>
      </c>
      <c r="W1215">
        <v>1</v>
      </c>
      <c r="X1215">
        <v>0</v>
      </c>
      <c r="Y1215">
        <v>0</v>
      </c>
      <c r="Z1215">
        <f>'Résultat (Ln)'!F$30+'Résultat (Ln)'!F$31*Données!S1215+'Résultat (Ln)'!F$32*Données!T1215+'Résultat (Ln)'!F$33*Données!U1215+'Résultat (Ln)'!F$34*Données!V1215+'Résultat (Ln)'!F$35*Données!W1215+'Résultat (Ln)'!F$36*Données!X1215+'Résultat (Ln)'!F$37*Données!Y1215</f>
        <v>129872.54238346712</v>
      </c>
      <c r="AA1215">
        <f t="shared" si="75"/>
        <v>-79872.542383467124</v>
      </c>
    </row>
    <row r="1216" spans="1:27" x14ac:dyDescent="0.25">
      <c r="A1216">
        <v>128000</v>
      </c>
      <c r="B1216">
        <v>1</v>
      </c>
      <c r="C1216">
        <v>25</v>
      </c>
      <c r="D1216">
        <v>0</v>
      </c>
      <c r="E1216">
        <v>170000</v>
      </c>
      <c r="F1216">
        <v>7167</v>
      </c>
      <c r="G1216">
        <v>0</v>
      </c>
      <c r="H1216">
        <v>0</v>
      </c>
      <c r="I1216">
        <v>0</v>
      </c>
      <c r="J1216">
        <v>19</v>
      </c>
      <c r="K1216">
        <v>1</v>
      </c>
      <c r="L1216">
        <f>Résultats!G$32+Résultats!G$33*Données!C1216+Résultats!G$34*Données!D1216+Résultats!G$35*Données!E1216+Résultats!G$36*Données!F1216+Résultats!G$37*Données!G1216+Résultats!G$38*Données!H1216+Résultats!G$39*Données!I1216</f>
        <v>118548.54319854594</v>
      </c>
      <c r="M1216">
        <f t="shared" si="72"/>
        <v>9451.4568014540564</v>
      </c>
      <c r="Q1216">
        <v>146000</v>
      </c>
      <c r="R1216">
        <v>1</v>
      </c>
      <c r="S1216">
        <v>36</v>
      </c>
      <c r="T1216">
        <v>0</v>
      </c>
      <c r="U1216">
        <f t="shared" si="73"/>
        <v>12.323855681186558</v>
      </c>
      <c r="V1216">
        <f t="shared" si="74"/>
        <v>8.1806009475944492</v>
      </c>
      <c r="W1216">
        <v>1</v>
      </c>
      <c r="X1216">
        <v>0</v>
      </c>
      <c r="Y1216">
        <v>0</v>
      </c>
      <c r="Z1216">
        <f>'Résultat (Ln)'!F$30+'Résultat (Ln)'!F$31*Données!S1216+'Résultat (Ln)'!F$32*Données!T1216+'Résultat (Ln)'!F$33*Données!U1216+'Résultat (Ln)'!F$34*Données!V1216+'Résultat (Ln)'!F$35*Données!W1216+'Résultat (Ln)'!F$36*Données!X1216+'Résultat (Ln)'!F$37*Données!Y1216</f>
        <v>169171.60947201136</v>
      </c>
      <c r="AA1216">
        <f t="shared" si="75"/>
        <v>-23171.609472011362</v>
      </c>
    </row>
    <row r="1217" spans="1:27" x14ac:dyDescent="0.25">
      <c r="A1217">
        <v>58000</v>
      </c>
      <c r="B1217">
        <v>1</v>
      </c>
      <c r="C1217">
        <v>30</v>
      </c>
      <c r="D1217">
        <v>0</v>
      </c>
      <c r="E1217">
        <v>98000</v>
      </c>
      <c r="F1217">
        <v>2534</v>
      </c>
      <c r="G1217">
        <v>0</v>
      </c>
      <c r="H1217">
        <v>0</v>
      </c>
      <c r="I1217">
        <v>0</v>
      </c>
      <c r="J1217">
        <v>27.639999389648441</v>
      </c>
      <c r="K1217">
        <v>0</v>
      </c>
      <c r="L1217">
        <f>Résultats!G$32+Résultats!G$33*Données!C1217+Résultats!G$34*Données!D1217+Résultats!G$35*Données!E1217+Résultats!G$36*Données!F1217+Résultats!G$37*Données!G1217+Résultats!G$38*Données!H1217+Résultats!G$39*Données!I1217</f>
        <v>81693.490884159255</v>
      </c>
      <c r="M1217">
        <f t="shared" si="72"/>
        <v>-23693.490884159255</v>
      </c>
      <c r="Q1217">
        <v>128000</v>
      </c>
      <c r="R1217">
        <v>1</v>
      </c>
      <c r="S1217">
        <v>25</v>
      </c>
      <c r="T1217">
        <v>0</v>
      </c>
      <c r="U1217">
        <f t="shared" si="73"/>
        <v>12.043553716032399</v>
      </c>
      <c r="V1217">
        <f t="shared" si="74"/>
        <v>8.877242435993919</v>
      </c>
      <c r="W1217">
        <v>0</v>
      </c>
      <c r="X1217">
        <v>0</v>
      </c>
      <c r="Y1217">
        <v>0</v>
      </c>
      <c r="Z1217">
        <f>'Résultat (Ln)'!F$30+'Résultat (Ln)'!F$31*Données!S1217+'Résultat (Ln)'!F$32*Données!T1217+'Résultat (Ln)'!F$33*Données!U1217+'Résultat (Ln)'!F$34*Données!V1217+'Résultat (Ln)'!F$35*Données!W1217+'Résultat (Ln)'!F$36*Données!X1217+'Résultat (Ln)'!F$37*Données!Y1217</f>
        <v>140705.8629266659</v>
      </c>
      <c r="AA1217">
        <f t="shared" si="75"/>
        <v>-12705.862926665897</v>
      </c>
    </row>
    <row r="1218" spans="1:27" x14ac:dyDescent="0.25">
      <c r="A1218">
        <v>100000</v>
      </c>
      <c r="B1218">
        <v>1</v>
      </c>
      <c r="C1218">
        <v>27</v>
      </c>
      <c r="D1218">
        <v>0</v>
      </c>
      <c r="E1218">
        <v>125000</v>
      </c>
      <c r="F1218">
        <v>4566</v>
      </c>
      <c r="G1218">
        <v>1</v>
      </c>
      <c r="H1218">
        <v>0</v>
      </c>
      <c r="I1218">
        <v>0</v>
      </c>
      <c r="J1218">
        <v>23</v>
      </c>
      <c r="K1218">
        <v>1</v>
      </c>
      <c r="L1218">
        <f>Résultats!G$32+Résultats!G$33*Données!C1218+Résultats!G$34*Données!D1218+Résultats!G$35*Données!E1218+Résultats!G$36*Données!F1218+Résultats!G$37*Données!G1218+Résultats!G$38*Données!H1218+Résultats!G$39*Données!I1218</f>
        <v>101809.42040923127</v>
      </c>
      <c r="M1218">
        <f t="shared" si="72"/>
        <v>-1809.4204092312721</v>
      </c>
      <c r="Q1218">
        <v>58000</v>
      </c>
      <c r="R1218">
        <v>1</v>
      </c>
      <c r="S1218">
        <v>30</v>
      </c>
      <c r="T1218">
        <v>0</v>
      </c>
      <c r="U1218">
        <f t="shared" si="73"/>
        <v>11.492722757652709</v>
      </c>
      <c r="V1218">
        <f t="shared" si="74"/>
        <v>7.837554360881084</v>
      </c>
      <c r="W1218">
        <v>0</v>
      </c>
      <c r="X1218">
        <v>0</v>
      </c>
      <c r="Y1218">
        <v>0</v>
      </c>
      <c r="Z1218">
        <f>'Résultat (Ln)'!F$30+'Résultat (Ln)'!F$31*Données!S1218+'Résultat (Ln)'!F$32*Données!T1218+'Résultat (Ln)'!F$33*Données!U1218+'Résultat (Ln)'!F$34*Données!V1218+'Résultat (Ln)'!F$35*Données!W1218+'Résultat (Ln)'!F$36*Données!X1218+'Résultat (Ln)'!F$37*Données!Y1218</f>
        <v>58610.55478925092</v>
      </c>
      <c r="AA1218">
        <f t="shared" si="75"/>
        <v>-610.55478925092029</v>
      </c>
    </row>
    <row r="1219" spans="1:27" x14ac:dyDescent="0.25">
      <c r="A1219">
        <v>113000</v>
      </c>
      <c r="B1219">
        <v>1</v>
      </c>
      <c r="C1219">
        <v>30</v>
      </c>
      <c r="D1219">
        <v>0</v>
      </c>
      <c r="E1219">
        <v>113000</v>
      </c>
      <c r="F1219">
        <v>3667</v>
      </c>
      <c r="G1219">
        <v>0</v>
      </c>
      <c r="H1219">
        <v>0</v>
      </c>
      <c r="I1219">
        <v>0</v>
      </c>
      <c r="J1219">
        <v>30</v>
      </c>
      <c r="K1219">
        <v>1</v>
      </c>
      <c r="L1219">
        <f>Résultats!G$32+Résultats!G$33*Données!C1219+Résultats!G$34*Données!D1219+Résultats!G$35*Données!E1219+Résultats!G$36*Données!F1219+Résultats!G$37*Données!G1219+Résultats!G$38*Données!H1219+Résultats!G$39*Données!I1219</f>
        <v>90893.302999649895</v>
      </c>
      <c r="M1219">
        <f t="shared" ref="M1219:M1282" si="76">A1219-L1219</f>
        <v>22106.697000350105</v>
      </c>
      <c r="Q1219">
        <v>100000</v>
      </c>
      <c r="R1219">
        <v>1</v>
      </c>
      <c r="S1219">
        <v>27</v>
      </c>
      <c r="T1219">
        <v>0</v>
      </c>
      <c r="U1219">
        <f t="shared" si="73"/>
        <v>11.736069016284437</v>
      </c>
      <c r="V1219">
        <f t="shared" si="74"/>
        <v>8.4263928270897406</v>
      </c>
      <c r="W1219">
        <v>1</v>
      </c>
      <c r="X1219">
        <v>0</v>
      </c>
      <c r="Y1219">
        <v>0</v>
      </c>
      <c r="Z1219">
        <f>'Résultat (Ln)'!F$30+'Résultat (Ln)'!F$31*Données!S1219+'Résultat (Ln)'!F$32*Données!T1219+'Résultat (Ln)'!F$33*Données!U1219+'Résultat (Ln)'!F$34*Données!V1219+'Résultat (Ln)'!F$35*Données!W1219+'Résultat (Ln)'!F$36*Données!X1219+'Résultat (Ln)'!F$37*Données!Y1219</f>
        <v>102058.54443145912</v>
      </c>
      <c r="AA1219">
        <f t="shared" si="75"/>
        <v>-2058.544431459115</v>
      </c>
    </row>
    <row r="1220" spans="1:27" x14ac:dyDescent="0.25">
      <c r="A1220">
        <v>105000</v>
      </c>
      <c r="B1220">
        <v>1</v>
      </c>
      <c r="C1220">
        <v>39</v>
      </c>
      <c r="D1220">
        <v>0</v>
      </c>
      <c r="E1220">
        <v>115000</v>
      </c>
      <c r="F1220">
        <v>3282</v>
      </c>
      <c r="G1220">
        <v>1</v>
      </c>
      <c r="H1220">
        <v>0</v>
      </c>
      <c r="I1220">
        <v>1</v>
      </c>
      <c r="J1220">
        <v>33</v>
      </c>
      <c r="K1220">
        <v>1</v>
      </c>
      <c r="L1220">
        <f>Résultats!G$32+Résultats!G$33*Données!C1220+Résultats!G$34*Données!D1220+Résultats!G$35*Données!E1220+Résultats!G$36*Données!F1220+Résultats!G$37*Données!G1220+Résultats!G$38*Données!H1220+Résultats!G$39*Données!I1220</f>
        <v>118361.27015125621</v>
      </c>
      <c r="M1220">
        <f t="shared" si="76"/>
        <v>-13361.270151256205</v>
      </c>
      <c r="Q1220">
        <v>113000</v>
      </c>
      <c r="R1220">
        <v>1</v>
      </c>
      <c r="S1220">
        <v>30</v>
      </c>
      <c r="T1220">
        <v>0</v>
      </c>
      <c r="U1220">
        <f t="shared" ref="U1220:U1283" si="77">LN(E1219)</f>
        <v>11.635143097694478</v>
      </c>
      <c r="V1220">
        <f t="shared" ref="V1220:V1283" si="78">LN(F1219)</f>
        <v>8.2071291680713259</v>
      </c>
      <c r="W1220">
        <v>0</v>
      </c>
      <c r="X1220">
        <v>0</v>
      </c>
      <c r="Y1220">
        <v>0</v>
      </c>
      <c r="Z1220">
        <f>'Résultat (Ln)'!F$30+'Résultat (Ln)'!F$31*Données!S1220+'Résultat (Ln)'!F$32*Données!T1220+'Résultat (Ln)'!F$33*Données!U1220+'Résultat (Ln)'!F$34*Données!V1220+'Résultat (Ln)'!F$35*Données!W1220+'Résultat (Ln)'!F$36*Données!X1220+'Résultat (Ln)'!F$37*Données!Y1220</f>
        <v>84242.402302331815</v>
      </c>
      <c r="AA1220">
        <f t="shared" ref="AA1220:AA1283" si="79">Q1220-Z1220</f>
        <v>28757.597697668185</v>
      </c>
    </row>
    <row r="1221" spans="1:27" x14ac:dyDescent="0.25">
      <c r="A1221">
        <v>132000</v>
      </c>
      <c r="B1221">
        <v>1</v>
      </c>
      <c r="C1221">
        <v>36</v>
      </c>
      <c r="D1221">
        <v>0</v>
      </c>
      <c r="E1221">
        <v>144000</v>
      </c>
      <c r="F1221">
        <v>2346</v>
      </c>
      <c r="G1221">
        <v>0</v>
      </c>
      <c r="H1221">
        <v>0</v>
      </c>
      <c r="I1221">
        <v>0</v>
      </c>
      <c r="J1221">
        <v>34</v>
      </c>
      <c r="K1221">
        <v>1</v>
      </c>
      <c r="L1221">
        <f>Résultats!G$32+Résultats!G$33*Données!C1221+Résultats!G$34*Données!D1221+Résultats!G$35*Données!E1221+Résultats!G$36*Données!F1221+Résultats!G$37*Données!G1221+Résultats!G$38*Données!H1221+Résultats!G$39*Données!I1221</f>
        <v>109701.05949304407</v>
      </c>
      <c r="M1221">
        <f t="shared" si="76"/>
        <v>22298.940506955929</v>
      </c>
      <c r="Q1221">
        <v>105000</v>
      </c>
      <c r="R1221">
        <v>1</v>
      </c>
      <c r="S1221">
        <v>39</v>
      </c>
      <c r="T1221">
        <v>0</v>
      </c>
      <c r="U1221">
        <f t="shared" si="77"/>
        <v>11.652687407345388</v>
      </c>
      <c r="V1221">
        <f t="shared" si="78"/>
        <v>8.0962082716500365</v>
      </c>
      <c r="W1221">
        <v>1</v>
      </c>
      <c r="X1221">
        <v>0</v>
      </c>
      <c r="Y1221">
        <v>1</v>
      </c>
      <c r="Z1221">
        <f>'Résultat (Ln)'!F$30+'Résultat (Ln)'!F$31*Données!S1221+'Résultat (Ln)'!F$32*Données!T1221+'Résultat (Ln)'!F$33*Données!U1221+'Résultat (Ln)'!F$34*Données!V1221+'Résultat (Ln)'!F$35*Données!W1221+'Résultat (Ln)'!F$36*Données!X1221+'Résultat (Ln)'!F$37*Données!Y1221</f>
        <v>112611.54053418928</v>
      </c>
      <c r="AA1221">
        <f t="shared" si="79"/>
        <v>-7611.5405341892765</v>
      </c>
    </row>
    <row r="1222" spans="1:27" x14ac:dyDescent="0.25">
      <c r="A1222">
        <v>149000</v>
      </c>
      <c r="B1222">
        <v>1</v>
      </c>
      <c r="C1222">
        <v>28.70000076293945</v>
      </c>
      <c r="D1222">
        <v>0</v>
      </c>
      <c r="E1222">
        <v>157000</v>
      </c>
      <c r="F1222">
        <v>3500</v>
      </c>
      <c r="G1222">
        <v>1</v>
      </c>
      <c r="H1222">
        <v>0</v>
      </c>
      <c r="I1222">
        <v>0</v>
      </c>
      <c r="J1222">
        <v>26.89999961853027</v>
      </c>
      <c r="K1222">
        <v>1</v>
      </c>
      <c r="L1222">
        <f>Résultats!G$32+Résultats!G$33*Données!C1222+Résultats!G$34*Données!D1222+Résultats!G$35*Données!E1222+Résultats!G$36*Données!F1222+Résultats!G$37*Données!G1222+Résultats!G$38*Données!H1222+Résultats!G$39*Données!I1222</f>
        <v>116638.98419572551</v>
      </c>
      <c r="M1222">
        <f t="shared" si="76"/>
        <v>32361.015804274488</v>
      </c>
      <c r="Q1222">
        <v>132000</v>
      </c>
      <c r="R1222">
        <v>1</v>
      </c>
      <c r="S1222">
        <v>36</v>
      </c>
      <c r="T1222">
        <v>0</v>
      </c>
      <c r="U1222">
        <f t="shared" si="77"/>
        <v>11.877568578558138</v>
      </c>
      <c r="V1222">
        <f t="shared" si="78"/>
        <v>7.7604670292134204</v>
      </c>
      <c r="W1222">
        <v>0</v>
      </c>
      <c r="X1222">
        <v>0</v>
      </c>
      <c r="Y1222">
        <v>0</v>
      </c>
      <c r="Z1222">
        <f>'Résultat (Ln)'!F$30+'Résultat (Ln)'!F$31*Données!S1222+'Résultat (Ln)'!F$32*Données!T1222+'Résultat (Ln)'!F$33*Données!U1222+'Résultat (Ln)'!F$34*Données!V1222+'Résultat (Ln)'!F$35*Données!W1222+'Résultat (Ln)'!F$36*Données!X1222+'Résultat (Ln)'!F$37*Données!Y1222</f>
        <v>105034.59101250747</v>
      </c>
      <c r="AA1222">
        <f t="shared" si="79"/>
        <v>26965.408987492527</v>
      </c>
    </row>
    <row r="1223" spans="1:27" x14ac:dyDescent="0.25">
      <c r="A1223">
        <v>338000</v>
      </c>
      <c r="B1223">
        <v>1</v>
      </c>
      <c r="C1223">
        <v>35</v>
      </c>
      <c r="D1223">
        <v>0</v>
      </c>
      <c r="E1223">
        <v>488000</v>
      </c>
      <c r="F1223">
        <v>11300</v>
      </c>
      <c r="G1223">
        <v>1</v>
      </c>
      <c r="H1223">
        <v>0</v>
      </c>
      <c r="I1223">
        <v>0</v>
      </c>
      <c r="J1223">
        <v>32</v>
      </c>
      <c r="K1223">
        <v>1</v>
      </c>
      <c r="L1223">
        <f>Résultats!G$32+Résultats!G$33*Données!C1223+Résultats!G$34*Données!D1223+Résultats!G$35*Données!E1223+Résultats!G$36*Données!F1223+Résultats!G$37*Données!G1223+Résultats!G$38*Données!H1223+Résultats!G$39*Données!I1223</f>
        <v>293551.88009133388</v>
      </c>
      <c r="M1223">
        <f t="shared" si="76"/>
        <v>44448.119908666122</v>
      </c>
      <c r="Q1223">
        <v>149000</v>
      </c>
      <c r="R1223">
        <v>1</v>
      </c>
      <c r="S1223">
        <v>28.70000076293945</v>
      </c>
      <c r="T1223">
        <v>0</v>
      </c>
      <c r="U1223">
        <f t="shared" si="77"/>
        <v>11.964001084330445</v>
      </c>
      <c r="V1223">
        <f t="shared" si="78"/>
        <v>8.1605182474775049</v>
      </c>
      <c r="W1223">
        <v>1</v>
      </c>
      <c r="X1223">
        <v>0</v>
      </c>
      <c r="Y1223">
        <v>0</v>
      </c>
      <c r="Z1223">
        <f>'Résultat (Ln)'!F$30+'Résultat (Ln)'!F$31*Données!S1223+'Résultat (Ln)'!F$32*Données!T1223+'Résultat (Ln)'!F$33*Données!U1223+'Résultat (Ln)'!F$34*Données!V1223+'Résultat (Ln)'!F$35*Données!W1223+'Résultat (Ln)'!F$36*Données!X1223+'Résultat (Ln)'!F$37*Données!Y1223</f>
        <v>121112.65875163848</v>
      </c>
      <c r="AA1223">
        <f t="shared" si="79"/>
        <v>27887.341248361525</v>
      </c>
    </row>
    <row r="1224" spans="1:27" x14ac:dyDescent="0.25">
      <c r="A1224">
        <v>60000</v>
      </c>
      <c r="B1224">
        <v>1</v>
      </c>
      <c r="C1224">
        <v>24.10000038146973</v>
      </c>
      <c r="D1224">
        <v>0</v>
      </c>
      <c r="E1224">
        <v>150000</v>
      </c>
      <c r="F1224">
        <v>3144</v>
      </c>
      <c r="G1224">
        <v>0</v>
      </c>
      <c r="H1224">
        <v>6</v>
      </c>
      <c r="I1224">
        <v>0</v>
      </c>
      <c r="J1224">
        <v>22.85000038146973</v>
      </c>
      <c r="K1224">
        <v>0</v>
      </c>
      <c r="L1224">
        <f>Résultats!G$32+Résultats!G$33*Données!C1224+Résultats!G$34*Données!D1224+Résultats!G$35*Données!E1224+Résultats!G$36*Données!F1224+Résultats!G$37*Données!G1224+Résultats!G$38*Données!H1224+Résultats!G$39*Données!I1224</f>
        <v>90628.297474570703</v>
      </c>
      <c r="M1224">
        <f t="shared" si="76"/>
        <v>-30628.297474570703</v>
      </c>
      <c r="Q1224">
        <v>338000</v>
      </c>
      <c r="R1224">
        <v>1</v>
      </c>
      <c r="S1224">
        <v>35</v>
      </c>
      <c r="T1224">
        <v>0</v>
      </c>
      <c r="U1224">
        <f t="shared" si="77"/>
        <v>13.098070684835283</v>
      </c>
      <c r="V1224">
        <f t="shared" si="78"/>
        <v>9.3325580047004326</v>
      </c>
      <c r="W1224">
        <v>1</v>
      </c>
      <c r="X1224">
        <v>0</v>
      </c>
      <c r="Y1224">
        <v>0</v>
      </c>
      <c r="Z1224">
        <f>'Résultat (Ln)'!F$30+'Résultat (Ln)'!F$31*Données!S1224+'Résultat (Ln)'!F$32*Données!T1224+'Résultat (Ln)'!F$33*Données!U1224+'Résultat (Ln)'!F$34*Données!V1224+'Résultat (Ln)'!F$35*Données!W1224+'Résultat (Ln)'!F$36*Données!X1224+'Résultat (Ln)'!F$37*Données!Y1224</f>
        <v>283249.53335823776</v>
      </c>
      <c r="AA1224">
        <f t="shared" si="79"/>
        <v>54750.466641762236</v>
      </c>
    </row>
    <row r="1225" spans="1:27" x14ac:dyDescent="0.25">
      <c r="A1225">
        <v>86000</v>
      </c>
      <c r="B1225">
        <v>1</v>
      </c>
      <c r="C1225">
        <v>37</v>
      </c>
      <c r="D1225">
        <v>0</v>
      </c>
      <c r="E1225">
        <v>108000</v>
      </c>
      <c r="F1225">
        <v>3010</v>
      </c>
      <c r="G1225">
        <v>1</v>
      </c>
      <c r="H1225">
        <v>0</v>
      </c>
      <c r="I1225">
        <v>0</v>
      </c>
      <c r="J1225">
        <v>16</v>
      </c>
      <c r="K1225">
        <v>1</v>
      </c>
      <c r="L1225">
        <f>Résultats!G$32+Résultats!G$33*Données!C1225+Résultats!G$34*Données!D1225+Résultats!G$35*Données!E1225+Résultats!G$36*Données!F1225+Résultats!G$37*Données!G1225+Résultats!G$38*Données!H1225+Résultats!G$39*Données!I1225</f>
        <v>102342.721491858</v>
      </c>
      <c r="M1225">
        <f t="shared" si="76"/>
        <v>-16342.721491857999</v>
      </c>
      <c r="Q1225">
        <v>60000</v>
      </c>
      <c r="R1225">
        <v>1</v>
      </c>
      <c r="S1225">
        <v>24.10000038146973</v>
      </c>
      <c r="T1225">
        <v>0</v>
      </c>
      <c r="U1225">
        <f t="shared" si="77"/>
        <v>11.918390573078392</v>
      </c>
      <c r="V1225">
        <f t="shared" si="78"/>
        <v>8.0532511535490965</v>
      </c>
      <c r="W1225">
        <v>0</v>
      </c>
      <c r="X1225">
        <v>6</v>
      </c>
      <c r="Y1225">
        <v>0</v>
      </c>
      <c r="Z1225">
        <f>'Résultat (Ln)'!F$30+'Résultat (Ln)'!F$31*Données!S1225+'Résultat (Ln)'!F$32*Données!T1225+'Résultat (Ln)'!F$33*Données!U1225+'Résultat (Ln)'!F$34*Données!V1225+'Résultat (Ln)'!F$35*Données!W1225+'Résultat (Ln)'!F$36*Données!X1225+'Résultat (Ln)'!F$37*Données!Y1225</f>
        <v>102014.36924039309</v>
      </c>
      <c r="AA1225">
        <f t="shared" si="79"/>
        <v>-42014.369240393091</v>
      </c>
    </row>
    <row r="1226" spans="1:27" x14ac:dyDescent="0.25">
      <c r="A1226">
        <v>136000</v>
      </c>
      <c r="B1226">
        <v>1</v>
      </c>
      <c r="C1226">
        <v>30</v>
      </c>
      <c r="D1226">
        <v>0</v>
      </c>
      <c r="E1226">
        <v>170000</v>
      </c>
      <c r="F1226">
        <v>2333</v>
      </c>
      <c r="G1226">
        <v>1</v>
      </c>
      <c r="H1226">
        <v>0</v>
      </c>
      <c r="I1226">
        <v>0</v>
      </c>
      <c r="J1226">
        <v>29</v>
      </c>
      <c r="K1226">
        <v>1</v>
      </c>
      <c r="L1226">
        <f>Résultats!G$32+Résultats!G$33*Données!C1226+Résultats!G$34*Données!D1226+Résultats!G$35*Données!E1226+Résultats!G$36*Données!F1226+Résultats!G$37*Données!G1226+Résultats!G$38*Données!H1226+Résultats!G$39*Données!I1226</f>
        <v>121941.24944911963</v>
      </c>
      <c r="M1226">
        <f t="shared" si="76"/>
        <v>14058.750550880373</v>
      </c>
      <c r="Q1226">
        <v>86000</v>
      </c>
      <c r="R1226">
        <v>1</v>
      </c>
      <c r="S1226">
        <v>37</v>
      </c>
      <c r="T1226">
        <v>0</v>
      </c>
      <c r="U1226">
        <f t="shared" si="77"/>
        <v>11.589886506106357</v>
      </c>
      <c r="V1226">
        <f t="shared" si="78"/>
        <v>8.0096953577429222</v>
      </c>
      <c r="W1226">
        <v>1</v>
      </c>
      <c r="X1226">
        <v>0</v>
      </c>
      <c r="Y1226">
        <v>0</v>
      </c>
      <c r="Z1226">
        <f>'Résultat (Ln)'!F$30+'Résultat (Ln)'!F$31*Données!S1226+'Résultat (Ln)'!F$32*Données!T1226+'Résultat (Ln)'!F$33*Données!U1226+'Résultat (Ln)'!F$34*Données!V1226+'Résultat (Ln)'!F$35*Données!W1226+'Résultat (Ln)'!F$36*Données!X1226+'Résultat (Ln)'!F$37*Données!Y1226</f>
        <v>86922.226231744848</v>
      </c>
      <c r="AA1226">
        <f t="shared" si="79"/>
        <v>-922.22623174484761</v>
      </c>
    </row>
    <row r="1227" spans="1:27" x14ac:dyDescent="0.25">
      <c r="A1227">
        <v>80000</v>
      </c>
      <c r="B1227">
        <v>1</v>
      </c>
      <c r="C1227">
        <v>30.10000038146973</v>
      </c>
      <c r="D1227">
        <v>0</v>
      </c>
      <c r="E1227">
        <v>100000</v>
      </c>
      <c r="F1227">
        <v>2896</v>
      </c>
      <c r="G1227">
        <v>1</v>
      </c>
      <c r="H1227">
        <v>0</v>
      </c>
      <c r="I1227">
        <v>1</v>
      </c>
      <c r="J1227">
        <v>21.79999923706055</v>
      </c>
      <c r="K1227">
        <v>1</v>
      </c>
      <c r="L1227">
        <f>Résultats!G$32+Résultats!G$33*Données!C1227+Résultats!G$34*Données!D1227+Résultats!G$35*Données!E1227+Résultats!G$36*Données!F1227+Résultats!G$37*Données!G1227+Résultats!G$38*Données!H1227+Résultats!G$39*Données!I1227</f>
        <v>100385.8192620203</v>
      </c>
      <c r="M1227">
        <f t="shared" si="76"/>
        <v>-20385.819262020304</v>
      </c>
      <c r="Q1227">
        <v>136000</v>
      </c>
      <c r="R1227">
        <v>1</v>
      </c>
      <c r="S1227">
        <v>30</v>
      </c>
      <c r="T1227">
        <v>0</v>
      </c>
      <c r="U1227">
        <f t="shared" si="77"/>
        <v>12.043553716032399</v>
      </c>
      <c r="V1227">
        <f t="shared" si="78"/>
        <v>7.75491027202143</v>
      </c>
      <c r="W1227">
        <v>1</v>
      </c>
      <c r="X1227">
        <v>0</v>
      </c>
      <c r="Y1227">
        <v>0</v>
      </c>
      <c r="Z1227">
        <f>'Résultat (Ln)'!F$30+'Résultat (Ln)'!F$31*Données!S1227+'Résultat (Ln)'!F$32*Données!T1227+'Résultat (Ln)'!F$33*Données!U1227+'Résultat (Ln)'!F$34*Données!V1227+'Résultat (Ln)'!F$35*Données!W1227+'Résultat (Ln)'!F$36*Données!X1227+'Résultat (Ln)'!F$37*Données!Y1227</f>
        <v>119853.40322143443</v>
      </c>
      <c r="AA1227">
        <f t="shared" si="79"/>
        <v>16146.596778565567</v>
      </c>
    </row>
    <row r="1228" spans="1:27" x14ac:dyDescent="0.25">
      <c r="A1228">
        <v>244000</v>
      </c>
      <c r="B1228">
        <v>1</v>
      </c>
      <c r="C1228">
        <v>35</v>
      </c>
      <c r="D1228">
        <v>0</v>
      </c>
      <c r="E1228">
        <v>305000</v>
      </c>
      <c r="F1228">
        <v>9600</v>
      </c>
      <c r="G1228">
        <v>1</v>
      </c>
      <c r="H1228">
        <v>0</v>
      </c>
      <c r="I1228">
        <v>1</v>
      </c>
      <c r="J1228">
        <v>24.39999961853027</v>
      </c>
      <c r="K1228">
        <v>1</v>
      </c>
      <c r="L1228">
        <f>Résultats!G$32+Résultats!G$33*Données!C1228+Résultats!G$34*Données!D1228+Résultats!G$35*Données!E1228+Résultats!G$36*Données!F1228+Résultats!G$37*Données!G1228+Résultats!G$38*Données!H1228+Résultats!G$39*Données!I1228</f>
        <v>214730.65025942837</v>
      </c>
      <c r="M1228">
        <f t="shared" si="76"/>
        <v>29269.349740571633</v>
      </c>
      <c r="Q1228">
        <v>80000</v>
      </c>
      <c r="R1228">
        <v>1</v>
      </c>
      <c r="S1228">
        <v>30.10000038146973</v>
      </c>
      <c r="T1228">
        <v>0</v>
      </c>
      <c r="U1228">
        <f t="shared" si="77"/>
        <v>11.512925464970229</v>
      </c>
      <c r="V1228">
        <f t="shared" si="78"/>
        <v>7.9710857535056068</v>
      </c>
      <c r="W1228">
        <v>1</v>
      </c>
      <c r="X1228">
        <v>0</v>
      </c>
      <c r="Y1228">
        <v>1</v>
      </c>
      <c r="Z1228">
        <f>'Résultat (Ln)'!F$30+'Résultat (Ln)'!F$31*Données!S1228+'Résultat (Ln)'!F$32*Données!T1228+'Résultat (Ln)'!F$33*Données!U1228+'Résultat (Ln)'!F$34*Données!V1228+'Résultat (Ln)'!F$35*Données!W1228+'Résultat (Ln)'!F$36*Données!X1228+'Résultat (Ln)'!F$37*Données!Y1228</f>
        <v>83244.355570634667</v>
      </c>
      <c r="AA1228">
        <f t="shared" si="79"/>
        <v>-3244.3555706346669</v>
      </c>
    </row>
    <row r="1229" spans="1:27" x14ac:dyDescent="0.25">
      <c r="A1229">
        <v>204000</v>
      </c>
      <c r="B1229">
        <v>1</v>
      </c>
      <c r="C1229">
        <v>46.5</v>
      </c>
      <c r="D1229">
        <v>0</v>
      </c>
      <c r="E1229">
        <v>279000</v>
      </c>
      <c r="F1229">
        <v>4350</v>
      </c>
      <c r="G1229">
        <v>1</v>
      </c>
      <c r="H1229">
        <v>0</v>
      </c>
      <c r="I1229">
        <v>1</v>
      </c>
      <c r="J1229">
        <v>34.700000762939453</v>
      </c>
      <c r="K1229">
        <v>1</v>
      </c>
      <c r="L1229">
        <f>Résultats!G$32+Résultats!G$33*Données!C1229+Résultats!G$34*Données!D1229+Résultats!G$35*Données!E1229+Résultats!G$36*Données!F1229+Résultats!G$37*Données!G1229+Résultats!G$38*Données!H1229+Résultats!G$39*Données!I1229</f>
        <v>205626.19096357611</v>
      </c>
      <c r="M1229">
        <f t="shared" si="76"/>
        <v>-1626.1909635761112</v>
      </c>
      <c r="Q1229">
        <v>244000</v>
      </c>
      <c r="R1229">
        <v>1</v>
      </c>
      <c r="S1229">
        <v>35</v>
      </c>
      <c r="T1229">
        <v>0</v>
      </c>
      <c r="U1229">
        <f t="shared" si="77"/>
        <v>12.628067055589549</v>
      </c>
      <c r="V1229">
        <f t="shared" si="78"/>
        <v>9.1695183774559279</v>
      </c>
      <c r="W1229">
        <v>1</v>
      </c>
      <c r="X1229">
        <v>0</v>
      </c>
      <c r="Y1229">
        <v>1</v>
      </c>
      <c r="Z1229">
        <f>'Résultat (Ln)'!F$30+'Résultat (Ln)'!F$31*Données!S1229+'Résultat (Ln)'!F$32*Données!T1229+'Résultat (Ln)'!F$33*Données!U1229+'Résultat (Ln)'!F$34*Données!V1229+'Résultat (Ln)'!F$35*Données!W1229+'Résultat (Ln)'!F$36*Données!X1229+'Résultat (Ln)'!F$37*Données!Y1229</f>
        <v>242381.58341965187</v>
      </c>
      <c r="AA1229">
        <f t="shared" si="79"/>
        <v>1618.4165803481301</v>
      </c>
    </row>
    <row r="1230" spans="1:27" x14ac:dyDescent="0.25">
      <c r="A1230">
        <v>110000</v>
      </c>
      <c r="B1230">
        <v>1</v>
      </c>
      <c r="C1230">
        <v>18</v>
      </c>
      <c r="D1230">
        <v>0</v>
      </c>
      <c r="E1230">
        <v>158000</v>
      </c>
      <c r="F1230">
        <v>2333</v>
      </c>
      <c r="G1230">
        <v>0</v>
      </c>
      <c r="H1230">
        <v>0</v>
      </c>
      <c r="I1230">
        <v>0</v>
      </c>
      <c r="J1230">
        <v>17</v>
      </c>
      <c r="K1230">
        <v>1</v>
      </c>
      <c r="L1230">
        <f>Résultats!G$32+Résultats!G$33*Données!C1230+Résultats!G$34*Données!D1230+Résultats!G$35*Données!E1230+Résultats!G$36*Données!F1230+Résultats!G$37*Données!G1230+Résultats!G$38*Données!H1230+Résultats!G$39*Données!I1230</f>
        <v>95537.147194586738</v>
      </c>
      <c r="M1230">
        <f t="shared" si="76"/>
        <v>14462.852805413262</v>
      </c>
      <c r="Q1230">
        <v>204000</v>
      </c>
      <c r="R1230">
        <v>1</v>
      </c>
      <c r="S1230">
        <v>46.5</v>
      </c>
      <c r="T1230">
        <v>0</v>
      </c>
      <c r="U1230">
        <f t="shared" si="77"/>
        <v>12.538967060803502</v>
      </c>
      <c r="V1230">
        <f t="shared" si="78"/>
        <v>8.3779311240827301</v>
      </c>
      <c r="W1230">
        <v>1</v>
      </c>
      <c r="X1230">
        <v>0</v>
      </c>
      <c r="Y1230">
        <v>1</v>
      </c>
      <c r="Z1230">
        <f>'Résultat (Ln)'!F$30+'Résultat (Ln)'!F$31*Données!S1230+'Résultat (Ln)'!F$32*Données!T1230+'Résultat (Ln)'!F$33*Données!U1230+'Résultat (Ln)'!F$34*Données!V1230+'Résultat (Ln)'!F$35*Données!W1230+'Résultat (Ln)'!F$36*Données!X1230+'Résultat (Ln)'!F$37*Données!Y1230</f>
        <v>224683.23800588585</v>
      </c>
      <c r="AA1230">
        <f t="shared" si="79"/>
        <v>-20683.238005885854</v>
      </c>
    </row>
    <row r="1231" spans="1:27" x14ac:dyDescent="0.25">
      <c r="A1231">
        <v>155000</v>
      </c>
      <c r="B1231">
        <v>1</v>
      </c>
      <c r="C1231">
        <v>29</v>
      </c>
      <c r="D1231">
        <v>0</v>
      </c>
      <c r="E1231">
        <v>204000</v>
      </c>
      <c r="F1231">
        <v>3883</v>
      </c>
      <c r="G1231">
        <v>1</v>
      </c>
      <c r="H1231">
        <v>0</v>
      </c>
      <c r="I1231">
        <v>0</v>
      </c>
      <c r="J1231">
        <v>24</v>
      </c>
      <c r="K1231">
        <v>1</v>
      </c>
      <c r="L1231">
        <f>Résultats!G$32+Résultats!G$33*Données!C1231+Résultats!G$34*Données!D1231+Résultats!G$35*Données!E1231+Résultats!G$36*Données!F1231+Résultats!G$37*Données!G1231+Résultats!G$38*Données!H1231+Résultats!G$39*Données!I1231</f>
        <v>139672.56062179248</v>
      </c>
      <c r="M1231">
        <f t="shared" si="76"/>
        <v>15327.43937820752</v>
      </c>
      <c r="Q1231">
        <v>110000</v>
      </c>
      <c r="R1231">
        <v>1</v>
      </c>
      <c r="S1231">
        <v>18</v>
      </c>
      <c r="T1231">
        <v>0</v>
      </c>
      <c r="U1231">
        <f t="shared" si="77"/>
        <v>11.970350312009105</v>
      </c>
      <c r="V1231">
        <f t="shared" si="78"/>
        <v>7.75491027202143</v>
      </c>
      <c r="W1231">
        <v>0</v>
      </c>
      <c r="X1231">
        <v>0</v>
      </c>
      <c r="Y1231">
        <v>0</v>
      </c>
      <c r="Z1231">
        <f>'Résultat (Ln)'!F$30+'Résultat (Ln)'!F$31*Données!S1231+'Résultat (Ln)'!F$32*Données!T1231+'Résultat (Ln)'!F$33*Données!U1231+'Résultat (Ln)'!F$34*Données!V1231+'Résultat (Ln)'!F$35*Données!W1231+'Résultat (Ln)'!F$36*Données!X1231+'Résultat (Ln)'!F$37*Données!Y1231</f>
        <v>92827.800368154043</v>
      </c>
      <c r="AA1231">
        <f t="shared" si="79"/>
        <v>17172.199631845957</v>
      </c>
    </row>
    <row r="1232" spans="1:27" x14ac:dyDescent="0.25">
      <c r="A1232">
        <v>125000</v>
      </c>
      <c r="B1232">
        <v>1</v>
      </c>
      <c r="C1232">
        <v>24</v>
      </c>
      <c r="D1232">
        <v>0</v>
      </c>
      <c r="E1232">
        <v>178000</v>
      </c>
      <c r="F1232">
        <v>5488</v>
      </c>
      <c r="G1232">
        <v>1</v>
      </c>
      <c r="H1232">
        <v>0</v>
      </c>
      <c r="I1232">
        <v>0</v>
      </c>
      <c r="J1232">
        <v>18</v>
      </c>
      <c r="K1232">
        <v>1</v>
      </c>
      <c r="L1232">
        <f>Résultats!G$32+Résultats!G$33*Données!C1232+Résultats!G$34*Données!D1232+Résultats!G$35*Données!E1232+Résultats!G$36*Données!F1232+Résultats!G$37*Données!G1232+Résultats!G$38*Données!H1232+Résultats!G$39*Données!I1232</f>
        <v>124898.57246275379</v>
      </c>
      <c r="M1232">
        <f t="shared" si="76"/>
        <v>101.42753724621434</v>
      </c>
      <c r="Q1232">
        <v>155000</v>
      </c>
      <c r="R1232">
        <v>1</v>
      </c>
      <c r="S1232">
        <v>29</v>
      </c>
      <c r="T1232">
        <v>0</v>
      </c>
      <c r="U1232">
        <f t="shared" si="77"/>
        <v>12.225875272826354</v>
      </c>
      <c r="V1232">
        <f t="shared" si="78"/>
        <v>8.2643633297316672</v>
      </c>
      <c r="W1232">
        <v>1</v>
      </c>
      <c r="X1232">
        <v>0</v>
      </c>
      <c r="Y1232">
        <v>0</v>
      </c>
      <c r="Z1232">
        <f>'Résultat (Ln)'!F$30+'Résultat (Ln)'!F$31*Données!S1232+'Résultat (Ln)'!F$32*Données!T1232+'Résultat (Ln)'!F$33*Données!U1232+'Résultat (Ln)'!F$34*Données!V1232+'Résultat (Ln)'!F$35*Données!W1232+'Résultat (Ln)'!F$36*Données!X1232+'Résultat (Ln)'!F$37*Données!Y1232</f>
        <v>152463.43973722408</v>
      </c>
      <c r="AA1232">
        <f t="shared" si="79"/>
        <v>2536.5602627759217</v>
      </c>
    </row>
    <row r="1233" spans="1:27" x14ac:dyDescent="0.25">
      <c r="A1233">
        <v>72000</v>
      </c>
      <c r="B1233">
        <v>1</v>
      </c>
      <c r="C1233">
        <v>33</v>
      </c>
      <c r="D1233">
        <v>0</v>
      </c>
      <c r="E1233">
        <v>90000</v>
      </c>
      <c r="F1233">
        <v>2873</v>
      </c>
      <c r="G1233">
        <v>0</v>
      </c>
      <c r="H1233">
        <v>0</v>
      </c>
      <c r="I1233">
        <v>1</v>
      </c>
      <c r="J1233">
        <v>33</v>
      </c>
      <c r="K1233">
        <v>0</v>
      </c>
      <c r="L1233">
        <f>Résultats!G$32+Résultats!G$33*Données!C1233+Résultats!G$34*Données!D1233+Résultats!G$35*Données!E1233+Résultats!G$36*Données!F1233+Résultats!G$37*Données!G1233+Résultats!G$38*Données!H1233+Résultats!G$39*Données!I1233</f>
        <v>91986.24264609153</v>
      </c>
      <c r="M1233">
        <f t="shared" si="76"/>
        <v>-19986.24264609153</v>
      </c>
      <c r="Q1233">
        <v>125000</v>
      </c>
      <c r="R1233">
        <v>1</v>
      </c>
      <c r="S1233">
        <v>24</v>
      </c>
      <c r="T1233">
        <v>0</v>
      </c>
      <c r="U1233">
        <f t="shared" si="77"/>
        <v>12.089538829274222</v>
      </c>
      <c r="V1233">
        <f t="shared" si="78"/>
        <v>8.610319169405722</v>
      </c>
      <c r="W1233">
        <v>1</v>
      </c>
      <c r="X1233">
        <v>0</v>
      </c>
      <c r="Y1233">
        <v>0</v>
      </c>
      <c r="Z1233">
        <f>'Résultat (Ln)'!F$30+'Résultat (Ln)'!F$31*Données!S1233+'Résultat (Ln)'!F$32*Données!T1233+'Résultat (Ln)'!F$33*Données!U1233+'Résultat (Ln)'!F$34*Données!V1233+'Résultat (Ln)'!F$35*Données!W1233+'Résultat (Ln)'!F$36*Données!X1233+'Résultat (Ln)'!F$37*Données!Y1233</f>
        <v>141441.17842985704</v>
      </c>
      <c r="AA1233">
        <f t="shared" si="79"/>
        <v>-16441.178429857042</v>
      </c>
    </row>
    <row r="1234" spans="1:27" x14ac:dyDescent="0.25">
      <c r="A1234">
        <v>142000</v>
      </c>
      <c r="B1234">
        <v>1</v>
      </c>
      <c r="C1234">
        <v>26.60000038146973</v>
      </c>
      <c r="D1234">
        <v>0</v>
      </c>
      <c r="E1234">
        <v>178000</v>
      </c>
      <c r="F1234">
        <v>7254</v>
      </c>
      <c r="G1234">
        <v>0</v>
      </c>
      <c r="H1234">
        <v>1</v>
      </c>
      <c r="I1234">
        <v>0</v>
      </c>
      <c r="J1234">
        <v>25.70000076293945</v>
      </c>
      <c r="K1234">
        <v>0</v>
      </c>
      <c r="L1234">
        <f>Résultats!G$32+Résultats!G$33*Données!C1234+Résultats!G$34*Données!D1234+Résultats!G$35*Données!E1234+Résultats!G$36*Données!F1234+Résultats!G$37*Données!G1234+Résultats!G$38*Données!H1234+Résultats!G$39*Données!I1234</f>
        <v>122665.35341434165</v>
      </c>
      <c r="M1234">
        <f t="shared" si="76"/>
        <v>19334.646585658353</v>
      </c>
      <c r="Q1234">
        <v>72000</v>
      </c>
      <c r="R1234">
        <v>1</v>
      </c>
      <c r="S1234">
        <v>33</v>
      </c>
      <c r="T1234">
        <v>0</v>
      </c>
      <c r="U1234">
        <f t="shared" si="77"/>
        <v>11.407564949312402</v>
      </c>
      <c r="V1234">
        <f t="shared" si="78"/>
        <v>7.9631120589792896</v>
      </c>
      <c r="W1234">
        <v>0</v>
      </c>
      <c r="X1234">
        <v>0</v>
      </c>
      <c r="Y1234">
        <v>1</v>
      </c>
      <c r="Z1234">
        <f>'Résultat (Ln)'!F$30+'Résultat (Ln)'!F$31*Données!S1234+'Résultat (Ln)'!F$32*Données!T1234+'Résultat (Ln)'!F$33*Données!U1234+'Résultat (Ln)'!F$34*Données!V1234+'Résultat (Ln)'!F$35*Données!W1234+'Résultat (Ln)'!F$36*Données!X1234+'Résultat (Ln)'!F$37*Données!Y1234</f>
        <v>70756.434316309605</v>
      </c>
      <c r="AA1234">
        <f t="shared" si="79"/>
        <v>1243.5656836903945</v>
      </c>
    </row>
    <row r="1235" spans="1:27" x14ac:dyDescent="0.25">
      <c r="A1235">
        <v>152000</v>
      </c>
      <c r="B1235">
        <v>1</v>
      </c>
      <c r="C1235">
        <v>30</v>
      </c>
      <c r="D1235">
        <v>0</v>
      </c>
      <c r="E1235">
        <v>190000</v>
      </c>
      <c r="F1235">
        <v>5062</v>
      </c>
      <c r="G1235">
        <v>0</v>
      </c>
      <c r="H1235">
        <v>0</v>
      </c>
      <c r="I1235">
        <v>1</v>
      </c>
      <c r="J1235">
        <v>30</v>
      </c>
      <c r="K1235">
        <v>0</v>
      </c>
      <c r="L1235">
        <f>Résultats!G$32+Résultats!G$33*Données!C1235+Résultats!G$34*Données!D1235+Résultats!G$35*Données!E1235+Résultats!G$36*Données!F1235+Résultats!G$37*Données!G1235+Résultats!G$38*Données!H1235+Résultats!G$39*Données!I1235</f>
        <v>139477.37491963981</v>
      </c>
      <c r="M1235">
        <f t="shared" si="76"/>
        <v>12522.625080360187</v>
      </c>
      <c r="Q1235">
        <v>142000</v>
      </c>
      <c r="R1235">
        <v>1</v>
      </c>
      <c r="S1235">
        <v>26.60000038146973</v>
      </c>
      <c r="T1235">
        <v>0</v>
      </c>
      <c r="U1235">
        <f t="shared" si="77"/>
        <v>12.089538829274222</v>
      </c>
      <c r="V1235">
        <f t="shared" si="78"/>
        <v>8.8893083198428471</v>
      </c>
      <c r="W1235">
        <v>0</v>
      </c>
      <c r="X1235">
        <v>1</v>
      </c>
      <c r="Y1235">
        <v>0</v>
      </c>
      <c r="Z1235">
        <f>'Résultat (Ln)'!F$30+'Résultat (Ln)'!F$31*Données!S1235+'Résultat (Ln)'!F$32*Données!T1235+'Résultat (Ln)'!F$33*Données!U1235+'Résultat (Ln)'!F$34*Données!V1235+'Résultat (Ln)'!F$35*Données!W1235+'Résultat (Ln)'!F$36*Données!X1235+'Résultat (Ln)'!F$37*Données!Y1235</f>
        <v>147751.38741020093</v>
      </c>
      <c r="AA1235">
        <f t="shared" si="79"/>
        <v>-5751.3874102009286</v>
      </c>
    </row>
    <row r="1236" spans="1:27" x14ac:dyDescent="0.25">
      <c r="A1236">
        <v>90000</v>
      </c>
      <c r="B1236">
        <v>1</v>
      </c>
      <c r="C1236">
        <v>37</v>
      </c>
      <c r="D1236">
        <v>0</v>
      </c>
      <c r="E1236">
        <v>100000</v>
      </c>
      <c r="F1236">
        <v>2881</v>
      </c>
      <c r="G1236">
        <v>0</v>
      </c>
      <c r="H1236">
        <v>1</v>
      </c>
      <c r="I1236">
        <v>1</v>
      </c>
      <c r="J1236">
        <v>31</v>
      </c>
      <c r="K1236">
        <v>0</v>
      </c>
      <c r="L1236">
        <f>Résultats!G$32+Résultats!G$33*Données!C1236+Résultats!G$34*Données!D1236+Résultats!G$35*Données!E1236+Résultats!G$36*Données!F1236+Résultats!G$37*Données!G1236+Résultats!G$38*Données!H1236+Résultats!G$39*Données!I1236</f>
        <v>99640.682669037342</v>
      </c>
      <c r="M1236">
        <f t="shared" si="76"/>
        <v>-9640.6826690373418</v>
      </c>
      <c r="Q1236">
        <v>152000</v>
      </c>
      <c r="R1236">
        <v>1</v>
      </c>
      <c r="S1236">
        <v>30</v>
      </c>
      <c r="T1236">
        <v>0</v>
      </c>
      <c r="U1236">
        <f t="shared" si="77"/>
        <v>12.154779351142624</v>
      </c>
      <c r="V1236">
        <f t="shared" si="78"/>
        <v>8.5295169411050686</v>
      </c>
      <c r="W1236">
        <v>0</v>
      </c>
      <c r="X1236">
        <v>0</v>
      </c>
      <c r="Y1236">
        <v>1</v>
      </c>
      <c r="Z1236">
        <f>'Résultat (Ln)'!F$30+'Résultat (Ln)'!F$31*Données!S1236+'Résultat (Ln)'!F$32*Données!T1236+'Résultat (Ln)'!F$33*Données!U1236+'Résultat (Ln)'!F$34*Données!V1236+'Résultat (Ln)'!F$35*Données!W1236+'Résultat (Ln)'!F$36*Données!X1236+'Résultat (Ln)'!F$37*Données!Y1236</f>
        <v>163073.65643734563</v>
      </c>
      <c r="AA1236">
        <f t="shared" si="79"/>
        <v>-11073.656437345635</v>
      </c>
    </row>
    <row r="1237" spans="1:27" x14ac:dyDescent="0.25">
      <c r="A1237">
        <v>185000</v>
      </c>
      <c r="B1237">
        <v>1</v>
      </c>
      <c r="C1237">
        <v>26.60000038146973</v>
      </c>
      <c r="D1237">
        <v>0</v>
      </c>
      <c r="E1237">
        <v>330000</v>
      </c>
      <c r="F1237">
        <v>9167</v>
      </c>
      <c r="G1237">
        <v>0</v>
      </c>
      <c r="H1237">
        <v>0</v>
      </c>
      <c r="I1237">
        <v>0</v>
      </c>
      <c r="J1237">
        <v>21</v>
      </c>
      <c r="K1237">
        <v>1</v>
      </c>
      <c r="L1237">
        <f>Résultats!G$32+Résultats!G$33*Données!C1237+Résultats!G$34*Données!D1237+Résultats!G$35*Données!E1237+Résultats!G$36*Données!F1237+Résultats!G$37*Données!G1237+Résultats!G$38*Données!H1237+Résultats!G$39*Données!I1237</f>
        <v>198974.51396244817</v>
      </c>
      <c r="M1237">
        <f t="shared" si="76"/>
        <v>-13974.513962448167</v>
      </c>
      <c r="Q1237">
        <v>90000</v>
      </c>
      <c r="R1237">
        <v>1</v>
      </c>
      <c r="S1237">
        <v>37</v>
      </c>
      <c r="T1237">
        <v>0</v>
      </c>
      <c r="U1237">
        <f t="shared" si="77"/>
        <v>11.512925464970229</v>
      </c>
      <c r="V1237">
        <f t="shared" si="78"/>
        <v>7.9658927350845286</v>
      </c>
      <c r="W1237">
        <v>0</v>
      </c>
      <c r="X1237">
        <v>1</v>
      </c>
      <c r="Y1237">
        <v>1</v>
      </c>
      <c r="Z1237">
        <f>'Résultat (Ln)'!F$30+'Résultat (Ln)'!F$31*Données!S1237+'Résultat (Ln)'!F$32*Données!T1237+'Résultat (Ln)'!F$33*Données!U1237+'Résultat (Ln)'!F$34*Données!V1237+'Résultat (Ln)'!F$35*Données!W1237+'Résultat (Ln)'!F$36*Données!X1237+'Résultat (Ln)'!F$37*Données!Y1237</f>
        <v>86839.225538716229</v>
      </c>
      <c r="AA1237">
        <f t="shared" si="79"/>
        <v>3160.7744612837705</v>
      </c>
    </row>
    <row r="1238" spans="1:27" x14ac:dyDescent="0.25">
      <c r="A1238">
        <v>187000</v>
      </c>
      <c r="B1238">
        <v>1</v>
      </c>
      <c r="C1238">
        <v>31</v>
      </c>
      <c r="D1238">
        <v>0</v>
      </c>
      <c r="E1238">
        <v>260000</v>
      </c>
      <c r="F1238">
        <v>5184</v>
      </c>
      <c r="G1238">
        <v>0</v>
      </c>
      <c r="H1238">
        <v>0</v>
      </c>
      <c r="I1238">
        <v>1</v>
      </c>
      <c r="J1238">
        <v>26</v>
      </c>
      <c r="K1238">
        <v>0</v>
      </c>
      <c r="L1238">
        <f>Résultats!G$32+Résultats!G$33*Données!C1238+Résultats!G$34*Données!D1238+Résultats!G$35*Données!E1238+Résultats!G$36*Données!F1238+Résultats!G$37*Données!G1238+Résultats!G$38*Données!H1238+Résultats!G$39*Données!I1238</f>
        <v>173549.18416446316</v>
      </c>
      <c r="M1238">
        <f t="shared" si="76"/>
        <v>13450.815835536836</v>
      </c>
      <c r="Q1238">
        <v>185000</v>
      </c>
      <c r="R1238">
        <v>1</v>
      </c>
      <c r="S1238">
        <v>26.60000038146973</v>
      </c>
      <c r="T1238">
        <v>0</v>
      </c>
      <c r="U1238">
        <f t="shared" si="77"/>
        <v>12.706847933442663</v>
      </c>
      <c r="V1238">
        <f t="shared" si="78"/>
        <v>9.1233653579617755</v>
      </c>
      <c r="W1238">
        <v>0</v>
      </c>
      <c r="X1238">
        <v>0</v>
      </c>
      <c r="Y1238">
        <v>0</v>
      </c>
      <c r="Z1238">
        <f>'Résultat (Ln)'!F$30+'Résultat (Ln)'!F$31*Données!S1238+'Résultat (Ln)'!F$32*Données!T1238+'Résultat (Ln)'!F$33*Données!U1238+'Résultat (Ln)'!F$34*Données!V1238+'Résultat (Ln)'!F$35*Données!W1238+'Résultat (Ln)'!F$36*Données!X1238+'Résultat (Ln)'!F$37*Données!Y1238</f>
        <v>220666.04075459333</v>
      </c>
      <c r="AA1238">
        <f t="shared" si="79"/>
        <v>-35666.040754593327</v>
      </c>
    </row>
    <row r="1239" spans="1:27" x14ac:dyDescent="0.25">
      <c r="A1239">
        <v>74000</v>
      </c>
      <c r="B1239">
        <v>1</v>
      </c>
      <c r="C1239">
        <v>40.099998474121087</v>
      </c>
      <c r="D1239">
        <v>1</v>
      </c>
      <c r="E1239">
        <v>84000</v>
      </c>
      <c r="F1239">
        <v>2545</v>
      </c>
      <c r="G1239">
        <v>0</v>
      </c>
      <c r="H1239">
        <v>0</v>
      </c>
      <c r="I1239">
        <v>0</v>
      </c>
      <c r="J1239">
        <v>27.60000038146973</v>
      </c>
      <c r="K1239">
        <v>0</v>
      </c>
      <c r="L1239">
        <f>Résultats!G$32+Résultats!G$33*Données!C1239+Résultats!G$34*Données!D1239+Résultats!G$35*Données!E1239+Résultats!G$36*Données!F1239+Résultats!G$37*Données!G1239+Résultats!G$38*Données!H1239+Résultats!G$39*Données!I1239</f>
        <v>91627.278575413628</v>
      </c>
      <c r="M1239">
        <f t="shared" si="76"/>
        <v>-17627.278575413628</v>
      </c>
      <c r="Q1239">
        <v>187000</v>
      </c>
      <c r="R1239">
        <v>1</v>
      </c>
      <c r="S1239">
        <v>31</v>
      </c>
      <c r="T1239">
        <v>0</v>
      </c>
      <c r="U1239">
        <f t="shared" si="77"/>
        <v>12.468436909997665</v>
      </c>
      <c r="V1239">
        <f t="shared" si="78"/>
        <v>8.5533322380321106</v>
      </c>
      <c r="W1239">
        <v>0</v>
      </c>
      <c r="X1239">
        <v>0</v>
      </c>
      <c r="Y1239">
        <v>1</v>
      </c>
      <c r="Z1239">
        <f>'Résultat (Ln)'!F$30+'Résultat (Ln)'!F$31*Données!S1239+'Résultat (Ln)'!F$32*Données!T1239+'Résultat (Ln)'!F$33*Données!U1239+'Résultat (Ln)'!F$34*Données!V1239+'Résultat (Ln)'!F$35*Données!W1239+'Résultat (Ln)'!F$36*Données!X1239+'Résultat (Ln)'!F$37*Données!Y1239</f>
        <v>198586.31596533782</v>
      </c>
      <c r="AA1239">
        <f t="shared" si="79"/>
        <v>-11586.315965337824</v>
      </c>
    </row>
    <row r="1240" spans="1:27" x14ac:dyDescent="0.25">
      <c r="A1240">
        <v>148000</v>
      </c>
      <c r="B1240">
        <v>1</v>
      </c>
      <c r="C1240">
        <v>39</v>
      </c>
      <c r="D1240">
        <v>0</v>
      </c>
      <c r="E1240">
        <v>162000</v>
      </c>
      <c r="F1240">
        <v>4982</v>
      </c>
      <c r="G1240">
        <v>0</v>
      </c>
      <c r="H1240">
        <v>0</v>
      </c>
      <c r="I1240">
        <v>0</v>
      </c>
      <c r="J1240">
        <v>28</v>
      </c>
      <c r="K1240">
        <v>1</v>
      </c>
      <c r="L1240">
        <f>Résultats!G$32+Résultats!G$33*Données!C1240+Résultats!G$34*Données!D1240+Résultats!G$35*Données!E1240+Résultats!G$36*Données!F1240+Résultats!G$37*Données!G1240+Résultats!G$38*Données!H1240+Résultats!G$39*Données!I1240</f>
        <v>126660.23696263679</v>
      </c>
      <c r="M1240">
        <f t="shared" si="76"/>
        <v>21339.763037363213</v>
      </c>
      <c r="Q1240">
        <v>74000</v>
      </c>
      <c r="R1240">
        <v>1</v>
      </c>
      <c r="S1240">
        <v>40.099998474121087</v>
      </c>
      <c r="T1240">
        <v>1</v>
      </c>
      <c r="U1240">
        <f t="shared" si="77"/>
        <v>11.33857207782545</v>
      </c>
      <c r="V1240">
        <f t="shared" si="78"/>
        <v>7.841885928984623</v>
      </c>
      <c r="W1240">
        <v>0</v>
      </c>
      <c r="X1240">
        <v>0</v>
      </c>
      <c r="Y1240">
        <v>0</v>
      </c>
      <c r="Z1240">
        <f>'Résultat (Ln)'!F$30+'Résultat (Ln)'!F$31*Données!S1240+'Résultat (Ln)'!F$32*Données!T1240+'Résultat (Ln)'!F$33*Données!U1240+'Résultat (Ln)'!F$34*Données!V1240+'Résultat (Ln)'!F$35*Données!W1240+'Résultat (Ln)'!F$36*Données!X1240+'Résultat (Ln)'!F$37*Données!Y1240</f>
        <v>58899.191541822162</v>
      </c>
      <c r="AA1240">
        <f t="shared" si="79"/>
        <v>15100.808458177838</v>
      </c>
    </row>
    <row r="1241" spans="1:27" x14ac:dyDescent="0.25">
      <c r="A1241">
        <v>119000</v>
      </c>
      <c r="B1241">
        <v>1</v>
      </c>
      <c r="C1241">
        <v>30</v>
      </c>
      <c r="D1241">
        <v>0</v>
      </c>
      <c r="E1241">
        <v>162000</v>
      </c>
      <c r="F1241">
        <v>2250</v>
      </c>
      <c r="G1241">
        <v>0</v>
      </c>
      <c r="H1241">
        <v>0</v>
      </c>
      <c r="I1241">
        <v>0</v>
      </c>
      <c r="J1241">
        <v>26</v>
      </c>
      <c r="K1241">
        <v>1</v>
      </c>
      <c r="L1241">
        <f>Résultats!G$32+Résultats!G$33*Données!C1241+Résultats!G$34*Données!D1241+Résultats!G$35*Données!E1241+Résultats!G$36*Données!F1241+Résultats!G$37*Données!G1241+Résultats!G$38*Données!H1241+Résultats!G$39*Données!I1241</f>
        <v>111028.1684673323</v>
      </c>
      <c r="M1241">
        <f t="shared" si="76"/>
        <v>7971.8315326676966</v>
      </c>
      <c r="Q1241">
        <v>148000</v>
      </c>
      <c r="R1241">
        <v>1</v>
      </c>
      <c r="S1241">
        <v>39</v>
      </c>
      <c r="T1241">
        <v>0</v>
      </c>
      <c r="U1241">
        <f t="shared" si="77"/>
        <v>11.99535161421452</v>
      </c>
      <c r="V1241">
        <f t="shared" si="78"/>
        <v>8.5135866958221253</v>
      </c>
      <c r="W1241">
        <v>0</v>
      </c>
      <c r="X1241">
        <v>0</v>
      </c>
      <c r="Y1241">
        <v>0</v>
      </c>
      <c r="Z1241">
        <f>'Résultat (Ln)'!F$30+'Résultat (Ln)'!F$31*Données!S1241+'Résultat (Ln)'!F$32*Données!T1241+'Résultat (Ln)'!F$33*Données!U1241+'Résultat (Ln)'!F$34*Données!V1241+'Résultat (Ln)'!F$35*Données!W1241+'Résultat (Ln)'!F$36*Données!X1241+'Résultat (Ln)'!F$37*Données!Y1241</f>
        <v>142448.37132462038</v>
      </c>
      <c r="AA1241">
        <f t="shared" si="79"/>
        <v>5551.6286753796157</v>
      </c>
    </row>
    <row r="1242" spans="1:27" x14ac:dyDescent="0.25">
      <c r="A1242">
        <v>85000</v>
      </c>
      <c r="B1242">
        <v>1</v>
      </c>
      <c r="C1242">
        <v>30</v>
      </c>
      <c r="D1242">
        <v>0</v>
      </c>
      <c r="E1242">
        <v>90000</v>
      </c>
      <c r="F1242">
        <v>2667</v>
      </c>
      <c r="G1242">
        <v>1</v>
      </c>
      <c r="H1242">
        <v>0</v>
      </c>
      <c r="I1242">
        <v>0</v>
      </c>
      <c r="J1242">
        <v>20</v>
      </c>
      <c r="K1242">
        <v>1</v>
      </c>
      <c r="L1242">
        <f>Résultats!G$32+Résultats!G$33*Données!C1242+Résultats!G$34*Données!D1242+Résultats!G$35*Données!E1242+Résultats!G$36*Données!F1242+Résultats!G$37*Données!G1242+Résultats!G$38*Données!H1242+Résultats!G$39*Données!I1242</f>
        <v>85232.208935472474</v>
      </c>
      <c r="M1242">
        <f t="shared" si="76"/>
        <v>-232.20893547247397</v>
      </c>
      <c r="Q1242">
        <v>119000</v>
      </c>
      <c r="R1242">
        <v>1</v>
      </c>
      <c r="S1242">
        <v>30</v>
      </c>
      <c r="T1242">
        <v>0</v>
      </c>
      <c r="U1242">
        <f t="shared" si="77"/>
        <v>11.99535161421452</v>
      </c>
      <c r="V1242">
        <f t="shared" si="78"/>
        <v>7.718685495198466</v>
      </c>
      <c r="W1242">
        <v>0</v>
      </c>
      <c r="X1242">
        <v>0</v>
      </c>
      <c r="Y1242">
        <v>0</v>
      </c>
      <c r="Z1242">
        <f>'Résultat (Ln)'!F$30+'Résultat (Ln)'!F$31*Données!S1242+'Résultat (Ln)'!F$32*Données!T1242+'Résultat (Ln)'!F$33*Données!U1242+'Résultat (Ln)'!F$34*Données!V1242+'Résultat (Ln)'!F$35*Données!W1242+'Résultat (Ln)'!F$36*Données!X1242+'Résultat (Ln)'!F$37*Données!Y1242</f>
        <v>109156.36816439178</v>
      </c>
      <c r="AA1242">
        <f t="shared" si="79"/>
        <v>9843.6318356082193</v>
      </c>
    </row>
    <row r="1243" spans="1:27" x14ac:dyDescent="0.25">
      <c r="A1243">
        <v>82000</v>
      </c>
      <c r="B1243">
        <v>1</v>
      </c>
      <c r="C1243">
        <v>35</v>
      </c>
      <c r="D1243">
        <v>0</v>
      </c>
      <c r="E1243">
        <v>91000</v>
      </c>
      <c r="F1243">
        <v>3343</v>
      </c>
      <c r="G1243">
        <v>0</v>
      </c>
      <c r="H1243">
        <v>0</v>
      </c>
      <c r="I1243">
        <v>0</v>
      </c>
      <c r="J1243">
        <v>27</v>
      </c>
      <c r="K1243">
        <v>1</v>
      </c>
      <c r="L1243">
        <f>Résultats!G$32+Résultats!G$33*Données!C1243+Résultats!G$34*Données!D1243+Résultats!G$35*Données!E1243+Résultats!G$36*Données!F1243+Résultats!G$37*Données!G1243+Résultats!G$38*Données!H1243+Résultats!G$39*Données!I1243</f>
        <v>85735.839877936043</v>
      </c>
      <c r="M1243">
        <f t="shared" si="76"/>
        <v>-3735.8398779360432</v>
      </c>
      <c r="Q1243">
        <v>85000</v>
      </c>
      <c r="R1243">
        <v>1</v>
      </c>
      <c r="S1243">
        <v>30</v>
      </c>
      <c r="T1243">
        <v>0</v>
      </c>
      <c r="U1243">
        <f t="shared" si="77"/>
        <v>11.407564949312402</v>
      </c>
      <c r="V1243">
        <f t="shared" si="78"/>
        <v>7.8887095241820147</v>
      </c>
      <c r="W1243">
        <v>1</v>
      </c>
      <c r="X1243">
        <v>0</v>
      </c>
      <c r="Y1243">
        <v>0</v>
      </c>
      <c r="Z1243">
        <f>'Résultat (Ln)'!F$30+'Résultat (Ln)'!F$31*Données!S1243+'Résultat (Ln)'!F$32*Données!T1243+'Résultat (Ln)'!F$33*Données!U1243+'Résultat (Ln)'!F$34*Données!V1243+'Résultat (Ln)'!F$35*Données!W1243+'Résultat (Ln)'!F$36*Données!X1243+'Résultat (Ln)'!F$37*Données!Y1243</f>
        <v>55430.733270207151</v>
      </c>
      <c r="AA1243">
        <f t="shared" si="79"/>
        <v>29569.266729792849</v>
      </c>
    </row>
    <row r="1244" spans="1:27" x14ac:dyDescent="0.25">
      <c r="A1244">
        <v>275000</v>
      </c>
      <c r="B1244">
        <v>1</v>
      </c>
      <c r="C1244">
        <v>30</v>
      </c>
      <c r="D1244">
        <v>0</v>
      </c>
      <c r="E1244">
        <v>405000</v>
      </c>
      <c r="F1244">
        <v>9504</v>
      </c>
      <c r="G1244">
        <v>1</v>
      </c>
      <c r="H1244">
        <v>0</v>
      </c>
      <c r="I1244">
        <v>0</v>
      </c>
      <c r="J1244">
        <v>30</v>
      </c>
      <c r="K1244">
        <v>1</v>
      </c>
      <c r="L1244">
        <f>Résultats!G$32+Résultats!G$33*Données!C1244+Résultats!G$34*Données!D1244+Résultats!G$35*Données!E1244+Résultats!G$36*Données!F1244+Résultats!G$37*Données!G1244+Résultats!G$38*Données!H1244+Résultats!G$39*Données!I1244</f>
        <v>245571.14078702033</v>
      </c>
      <c r="M1244">
        <f t="shared" si="76"/>
        <v>29428.859212979674</v>
      </c>
      <c r="Q1244">
        <v>82000</v>
      </c>
      <c r="R1244">
        <v>1</v>
      </c>
      <c r="S1244">
        <v>35</v>
      </c>
      <c r="T1244">
        <v>0</v>
      </c>
      <c r="U1244">
        <f t="shared" si="77"/>
        <v>11.418614785498987</v>
      </c>
      <c r="V1244">
        <f t="shared" si="78"/>
        <v>8.1146238864200981</v>
      </c>
      <c r="W1244">
        <v>0</v>
      </c>
      <c r="X1244">
        <v>0</v>
      </c>
      <c r="Y1244">
        <v>0</v>
      </c>
      <c r="Z1244">
        <f>'Résultat (Ln)'!F$30+'Résultat (Ln)'!F$31*Données!S1244+'Résultat (Ln)'!F$32*Données!T1244+'Résultat (Ln)'!F$33*Données!U1244+'Résultat (Ln)'!F$34*Données!V1244+'Résultat (Ln)'!F$35*Données!W1244+'Résultat (Ln)'!F$36*Données!X1244+'Résultat (Ln)'!F$37*Données!Y1244</f>
        <v>64547.348115137487</v>
      </c>
      <c r="AA1244">
        <f t="shared" si="79"/>
        <v>17452.651884862513</v>
      </c>
    </row>
    <row r="1245" spans="1:27" x14ac:dyDescent="0.25">
      <c r="A1245">
        <v>120000</v>
      </c>
      <c r="B1245">
        <v>1</v>
      </c>
      <c r="C1245">
        <v>28</v>
      </c>
      <c r="D1245">
        <v>0</v>
      </c>
      <c r="E1245">
        <v>150000</v>
      </c>
      <c r="F1245">
        <v>2583</v>
      </c>
      <c r="G1245">
        <v>1</v>
      </c>
      <c r="H1245">
        <v>0</v>
      </c>
      <c r="I1245">
        <v>0</v>
      </c>
      <c r="J1245">
        <v>25</v>
      </c>
      <c r="K1245">
        <v>1</v>
      </c>
      <c r="L1245">
        <f>Résultats!G$32+Résultats!G$33*Données!C1245+Résultats!G$34*Données!D1245+Résultats!G$35*Données!E1245+Résultats!G$36*Données!F1245+Résultats!G$37*Données!G1245+Résultats!G$38*Données!H1245+Résultats!G$39*Données!I1245</f>
        <v>110789.29015887072</v>
      </c>
      <c r="M1245">
        <f t="shared" si="76"/>
        <v>9210.7098411292827</v>
      </c>
      <c r="Q1245">
        <v>275000</v>
      </c>
      <c r="R1245">
        <v>1</v>
      </c>
      <c r="S1245">
        <v>30</v>
      </c>
      <c r="T1245">
        <v>0</v>
      </c>
      <c r="U1245">
        <f t="shared" si="77"/>
        <v>12.911642346088676</v>
      </c>
      <c r="V1245">
        <f t="shared" si="78"/>
        <v>9.1594680416024268</v>
      </c>
      <c r="W1245">
        <v>1</v>
      </c>
      <c r="X1245">
        <v>0</v>
      </c>
      <c r="Y1245">
        <v>0</v>
      </c>
      <c r="Z1245">
        <f>'Résultat (Ln)'!F$30+'Résultat (Ln)'!F$31*Données!S1245+'Résultat (Ln)'!F$32*Données!T1245+'Résultat (Ln)'!F$33*Données!U1245+'Résultat (Ln)'!F$34*Données!V1245+'Résultat (Ln)'!F$35*Données!W1245+'Résultat (Ln)'!F$36*Données!X1245+'Résultat (Ln)'!F$37*Données!Y1245</f>
        <v>252300.59189290638</v>
      </c>
      <c r="AA1245">
        <f t="shared" si="79"/>
        <v>22699.408107093623</v>
      </c>
    </row>
    <row r="1246" spans="1:27" x14ac:dyDescent="0.25">
      <c r="A1246">
        <v>102000</v>
      </c>
      <c r="B1246">
        <v>1</v>
      </c>
      <c r="C1246">
        <v>25</v>
      </c>
      <c r="D1246">
        <v>0</v>
      </c>
      <c r="E1246">
        <v>142000</v>
      </c>
      <c r="F1246">
        <v>2553</v>
      </c>
      <c r="G1246">
        <v>1</v>
      </c>
      <c r="H1246">
        <v>0</v>
      </c>
      <c r="I1246">
        <v>0</v>
      </c>
      <c r="J1246">
        <v>25</v>
      </c>
      <c r="K1246">
        <v>1</v>
      </c>
      <c r="L1246">
        <f>Résultats!G$32+Résultats!G$33*Données!C1246+Résultats!G$34*Données!D1246+Résultats!G$35*Données!E1246+Résultats!G$36*Données!F1246+Résultats!G$37*Données!G1246+Résultats!G$38*Données!H1246+Résultats!G$39*Données!I1246</f>
        <v>103549.51925116386</v>
      </c>
      <c r="M1246">
        <f t="shared" si="76"/>
        <v>-1549.5192511638597</v>
      </c>
      <c r="Q1246">
        <v>120000</v>
      </c>
      <c r="R1246">
        <v>1</v>
      </c>
      <c r="S1246">
        <v>28</v>
      </c>
      <c r="T1246">
        <v>0</v>
      </c>
      <c r="U1246">
        <f t="shared" si="77"/>
        <v>11.918390573078392</v>
      </c>
      <c r="V1246">
        <f t="shared" si="78"/>
        <v>7.8567067930958405</v>
      </c>
      <c r="W1246">
        <v>1</v>
      </c>
      <c r="X1246">
        <v>0</v>
      </c>
      <c r="Y1246">
        <v>0</v>
      </c>
      <c r="Z1246">
        <f>'Résultat (Ln)'!F$30+'Résultat (Ln)'!F$31*Données!S1246+'Résultat (Ln)'!F$32*Données!T1246+'Résultat (Ln)'!F$33*Données!U1246+'Résultat (Ln)'!F$34*Données!V1246+'Résultat (Ln)'!F$35*Données!W1246+'Résultat (Ln)'!F$36*Données!X1246+'Résultat (Ln)'!F$37*Données!Y1246</f>
        <v>106847.35142877775</v>
      </c>
      <c r="AA1246">
        <f t="shared" si="79"/>
        <v>13152.648571222249</v>
      </c>
    </row>
    <row r="1247" spans="1:27" x14ac:dyDescent="0.25">
      <c r="A1247">
        <v>113000</v>
      </c>
      <c r="B1247">
        <v>1</v>
      </c>
      <c r="C1247">
        <v>40</v>
      </c>
      <c r="D1247">
        <v>0</v>
      </c>
      <c r="E1247">
        <v>125000</v>
      </c>
      <c r="F1247">
        <v>1993</v>
      </c>
      <c r="G1247">
        <v>1</v>
      </c>
      <c r="H1247">
        <v>0</v>
      </c>
      <c r="I1247">
        <v>0</v>
      </c>
      <c r="J1247">
        <v>34</v>
      </c>
      <c r="K1247">
        <v>1</v>
      </c>
      <c r="L1247">
        <f>Résultats!G$32+Résultats!G$33*Données!C1247+Résultats!G$34*Données!D1247+Résultats!G$35*Données!E1247+Résultats!G$36*Données!F1247+Résultats!G$37*Données!G1247+Résultats!G$38*Données!H1247+Résultats!G$39*Données!I1247</f>
        <v>111756.20844567208</v>
      </c>
      <c r="M1247">
        <f t="shared" si="76"/>
        <v>1243.7915543279232</v>
      </c>
      <c r="Q1247">
        <v>102000</v>
      </c>
      <c r="R1247">
        <v>1</v>
      </c>
      <c r="S1247">
        <v>25</v>
      </c>
      <c r="T1247">
        <v>0</v>
      </c>
      <c r="U1247">
        <f t="shared" si="77"/>
        <v>11.863582336583399</v>
      </c>
      <c r="V1247">
        <f t="shared" si="78"/>
        <v>7.8450244172414836</v>
      </c>
      <c r="W1247">
        <v>1</v>
      </c>
      <c r="X1247">
        <v>0</v>
      </c>
      <c r="Y1247">
        <v>0</v>
      </c>
      <c r="Z1247">
        <f>'Résultat (Ln)'!F$30+'Résultat (Ln)'!F$31*Données!S1247+'Résultat (Ln)'!F$32*Données!T1247+'Résultat (Ln)'!F$33*Données!U1247+'Résultat (Ln)'!F$34*Données!V1247+'Résultat (Ln)'!F$35*Données!W1247+'Résultat (Ln)'!F$36*Données!X1247+'Résultat (Ln)'!F$37*Données!Y1247</f>
        <v>96978.387072893631</v>
      </c>
      <c r="AA1247">
        <f t="shared" si="79"/>
        <v>5021.6129271063692</v>
      </c>
    </row>
    <row r="1248" spans="1:27" x14ac:dyDescent="0.25">
      <c r="A1248">
        <v>113000</v>
      </c>
      <c r="B1248">
        <v>1</v>
      </c>
      <c r="C1248">
        <v>33</v>
      </c>
      <c r="D1248">
        <v>0</v>
      </c>
      <c r="E1248">
        <v>125000</v>
      </c>
      <c r="F1248">
        <v>3100</v>
      </c>
      <c r="G1248">
        <v>1</v>
      </c>
      <c r="H1248">
        <v>0</v>
      </c>
      <c r="I1248">
        <v>0</v>
      </c>
      <c r="J1248">
        <v>26.809999465942379</v>
      </c>
      <c r="K1248">
        <v>1</v>
      </c>
      <c r="L1248">
        <f>Résultats!G$32+Résultats!G$33*Données!C1248+Résultats!G$34*Données!D1248+Résultats!G$35*Données!E1248+Résultats!G$36*Données!F1248+Résultats!G$37*Données!G1248+Résultats!G$38*Données!H1248+Résultats!G$39*Données!I1248</f>
        <v>105860.64640573964</v>
      </c>
      <c r="M1248">
        <f t="shared" si="76"/>
        <v>7139.353594260363</v>
      </c>
      <c r="Q1248">
        <v>113000</v>
      </c>
      <c r="R1248">
        <v>1</v>
      </c>
      <c r="S1248">
        <v>40</v>
      </c>
      <c r="T1248">
        <v>0</v>
      </c>
      <c r="U1248">
        <f t="shared" si="77"/>
        <v>11.736069016284437</v>
      </c>
      <c r="V1248">
        <f t="shared" si="78"/>
        <v>7.5973963202127948</v>
      </c>
      <c r="W1248">
        <v>1</v>
      </c>
      <c r="X1248">
        <v>0</v>
      </c>
      <c r="Y1248">
        <v>0</v>
      </c>
      <c r="Z1248">
        <f>'Résultat (Ln)'!F$30+'Résultat (Ln)'!F$31*Données!S1248+'Résultat (Ln)'!F$32*Données!T1248+'Résultat (Ln)'!F$33*Données!U1248+'Résultat (Ln)'!F$34*Données!V1248+'Résultat (Ln)'!F$35*Données!W1248+'Résultat (Ln)'!F$36*Données!X1248+'Résultat (Ln)'!F$37*Données!Y1248</f>
        <v>94695.212702557139</v>
      </c>
      <c r="AA1248">
        <f t="shared" si="79"/>
        <v>18304.787297442861</v>
      </c>
    </row>
    <row r="1249" spans="1:27" x14ac:dyDescent="0.25">
      <c r="A1249">
        <v>126000</v>
      </c>
      <c r="B1249">
        <v>1</v>
      </c>
      <c r="C1249">
        <v>35</v>
      </c>
      <c r="D1249">
        <v>0</v>
      </c>
      <c r="E1249">
        <v>142000</v>
      </c>
      <c r="F1249">
        <v>3000</v>
      </c>
      <c r="G1249">
        <v>1</v>
      </c>
      <c r="H1249">
        <v>0</v>
      </c>
      <c r="I1249">
        <v>1</v>
      </c>
      <c r="J1249">
        <v>35</v>
      </c>
      <c r="K1249">
        <v>1</v>
      </c>
      <c r="L1249">
        <f>Résultats!G$32+Résultats!G$33*Données!C1249+Résultats!G$34*Données!D1249+Résultats!G$35*Données!E1249+Résultats!G$36*Données!F1249+Résultats!G$37*Données!G1249+Résultats!G$38*Données!H1249+Résultats!G$39*Données!I1249</f>
        <v>125827.87085180286</v>
      </c>
      <c r="M1249">
        <f t="shared" si="76"/>
        <v>172.12914819714206</v>
      </c>
      <c r="Q1249">
        <v>113000</v>
      </c>
      <c r="R1249">
        <v>1</v>
      </c>
      <c r="S1249">
        <v>33</v>
      </c>
      <c r="T1249">
        <v>0</v>
      </c>
      <c r="U1249">
        <f t="shared" si="77"/>
        <v>11.736069016284437</v>
      </c>
      <c r="V1249">
        <f t="shared" si="78"/>
        <v>8.0391573904732372</v>
      </c>
      <c r="W1249">
        <v>1</v>
      </c>
      <c r="X1249">
        <v>0</v>
      </c>
      <c r="Y1249">
        <v>0</v>
      </c>
      <c r="Z1249">
        <f>'Résultat (Ln)'!F$30+'Résultat (Ln)'!F$31*Données!S1249+'Résultat (Ln)'!F$32*Données!T1249+'Résultat (Ln)'!F$33*Données!U1249+'Résultat (Ln)'!F$34*Données!V1249+'Résultat (Ln)'!F$35*Données!W1249+'Résultat (Ln)'!F$36*Données!X1249+'Résultat (Ln)'!F$37*Données!Y1249</f>
        <v>98530.465396248517</v>
      </c>
      <c r="AA1249">
        <f t="shared" si="79"/>
        <v>14469.534603751483</v>
      </c>
    </row>
    <row r="1250" spans="1:27" x14ac:dyDescent="0.25">
      <c r="A1250">
        <v>187000</v>
      </c>
      <c r="B1250">
        <v>1</v>
      </c>
      <c r="C1250">
        <v>35</v>
      </c>
      <c r="D1250">
        <v>0</v>
      </c>
      <c r="E1250">
        <v>367500</v>
      </c>
      <c r="F1250">
        <v>8961</v>
      </c>
      <c r="G1250">
        <v>0</v>
      </c>
      <c r="H1250">
        <v>0</v>
      </c>
      <c r="I1250">
        <v>0</v>
      </c>
      <c r="J1250">
        <v>15</v>
      </c>
      <c r="K1250">
        <v>1</v>
      </c>
      <c r="L1250">
        <f>Résultats!G$32+Résultats!G$33*Données!C1250+Résultats!G$34*Données!D1250+Résultats!G$35*Données!E1250+Résultats!G$36*Données!F1250+Résultats!G$37*Données!G1250+Résultats!G$38*Données!H1250+Résultats!G$39*Données!I1250</f>
        <v>225734.90808673168</v>
      </c>
      <c r="M1250">
        <f t="shared" si="76"/>
        <v>-38734.908086731681</v>
      </c>
      <c r="Q1250">
        <v>126000</v>
      </c>
      <c r="R1250">
        <v>1</v>
      </c>
      <c r="S1250">
        <v>35</v>
      </c>
      <c r="T1250">
        <v>0</v>
      </c>
      <c r="U1250">
        <f t="shared" si="77"/>
        <v>11.863582336583399</v>
      </c>
      <c r="V1250">
        <f t="shared" si="78"/>
        <v>8.0063675676502459</v>
      </c>
      <c r="W1250">
        <v>1</v>
      </c>
      <c r="X1250">
        <v>0</v>
      </c>
      <c r="Y1250">
        <v>1</v>
      </c>
      <c r="Z1250">
        <f>'Résultat (Ln)'!F$30+'Résultat (Ln)'!F$31*Données!S1250+'Résultat (Ln)'!F$32*Données!T1250+'Résultat (Ln)'!F$33*Données!U1250+'Résultat (Ln)'!F$34*Données!V1250+'Résultat (Ln)'!F$35*Données!W1250+'Résultat (Ln)'!F$36*Données!X1250+'Résultat (Ln)'!F$37*Données!Y1250</f>
        <v>127810.7242675216</v>
      </c>
      <c r="AA1250">
        <f t="shared" si="79"/>
        <v>-1810.7242675215966</v>
      </c>
    </row>
    <row r="1251" spans="1:27" x14ac:dyDescent="0.25">
      <c r="A1251">
        <v>108000</v>
      </c>
      <c r="B1251">
        <v>1</v>
      </c>
      <c r="C1251">
        <v>33</v>
      </c>
      <c r="D1251">
        <v>0</v>
      </c>
      <c r="E1251">
        <v>120000</v>
      </c>
      <c r="F1251">
        <v>2708</v>
      </c>
      <c r="G1251">
        <v>1</v>
      </c>
      <c r="H1251">
        <v>0</v>
      </c>
      <c r="I1251">
        <v>0</v>
      </c>
      <c r="J1251">
        <v>32</v>
      </c>
      <c r="K1251">
        <v>1</v>
      </c>
      <c r="L1251">
        <f>Résultats!G$32+Résultats!G$33*Données!C1251+Résultats!G$34*Données!D1251+Résultats!G$35*Données!E1251+Résultats!G$36*Données!F1251+Résultats!G$37*Données!G1251+Résultats!G$38*Données!H1251+Résultats!G$39*Données!I1251</f>
        <v>102766.26741500026</v>
      </c>
      <c r="M1251">
        <f t="shared" si="76"/>
        <v>5233.7325849997433</v>
      </c>
      <c r="Q1251">
        <v>187000</v>
      </c>
      <c r="R1251">
        <v>1</v>
      </c>
      <c r="S1251">
        <v>35</v>
      </c>
      <c r="T1251">
        <v>0</v>
      </c>
      <c r="U1251">
        <f t="shared" si="77"/>
        <v>12.814478597635029</v>
      </c>
      <c r="V1251">
        <f t="shared" si="78"/>
        <v>9.1006371068842196</v>
      </c>
      <c r="W1251">
        <v>0</v>
      </c>
      <c r="X1251">
        <v>0</v>
      </c>
      <c r="Y1251">
        <v>0</v>
      </c>
      <c r="Z1251">
        <f>'Résultat (Ln)'!F$30+'Résultat (Ln)'!F$31*Données!S1251+'Résultat (Ln)'!F$32*Données!T1251+'Résultat (Ln)'!F$33*Données!U1251+'Résultat (Ln)'!F$34*Données!V1251+'Résultat (Ln)'!F$35*Données!W1251+'Résultat (Ln)'!F$36*Données!X1251+'Résultat (Ln)'!F$37*Données!Y1251</f>
        <v>241831.28261868434</v>
      </c>
      <c r="AA1251">
        <f t="shared" si="79"/>
        <v>-54831.282618684345</v>
      </c>
    </row>
    <row r="1252" spans="1:27" x14ac:dyDescent="0.25">
      <c r="A1252">
        <v>100000</v>
      </c>
      <c r="B1252">
        <v>1</v>
      </c>
      <c r="C1252">
        <v>36</v>
      </c>
      <c r="D1252">
        <v>0</v>
      </c>
      <c r="E1252">
        <v>125000</v>
      </c>
      <c r="F1252">
        <v>3436</v>
      </c>
      <c r="G1252">
        <v>1</v>
      </c>
      <c r="H1252">
        <v>0</v>
      </c>
      <c r="I1252">
        <v>0</v>
      </c>
      <c r="J1252">
        <v>15</v>
      </c>
      <c r="K1252">
        <v>1</v>
      </c>
      <c r="L1252">
        <f>Résultats!G$32+Résultats!G$33*Données!C1252+Résultats!G$34*Données!D1252+Résultats!G$35*Données!E1252+Résultats!G$36*Données!F1252+Résultats!G$37*Données!G1252+Résultats!G$38*Données!H1252+Résultats!G$39*Données!I1252</f>
        <v>109957.75409798679</v>
      </c>
      <c r="M1252">
        <f t="shared" si="76"/>
        <v>-9957.7540979867917</v>
      </c>
      <c r="Q1252">
        <v>108000</v>
      </c>
      <c r="R1252">
        <v>1</v>
      </c>
      <c r="S1252">
        <v>33</v>
      </c>
      <c r="T1252">
        <v>0</v>
      </c>
      <c r="U1252">
        <f t="shared" si="77"/>
        <v>11.695247021764184</v>
      </c>
      <c r="V1252">
        <f t="shared" si="78"/>
        <v>7.9039656340321658</v>
      </c>
      <c r="W1252">
        <v>1</v>
      </c>
      <c r="X1252">
        <v>0</v>
      </c>
      <c r="Y1252">
        <v>0</v>
      </c>
      <c r="Z1252">
        <f>'Résultat (Ln)'!F$30+'Résultat (Ln)'!F$31*Données!S1252+'Résultat (Ln)'!F$32*Données!T1252+'Résultat (Ln)'!F$33*Données!U1252+'Résultat (Ln)'!F$34*Données!V1252+'Résultat (Ln)'!F$35*Données!W1252+'Résultat (Ln)'!F$36*Données!X1252+'Résultat (Ln)'!F$37*Données!Y1252</f>
        <v>90362.968571967082</v>
      </c>
      <c r="AA1252">
        <f t="shared" si="79"/>
        <v>17637.031428032918</v>
      </c>
    </row>
    <row r="1253" spans="1:27" x14ac:dyDescent="0.25">
      <c r="A1253">
        <v>75000</v>
      </c>
      <c r="B1253">
        <v>1</v>
      </c>
      <c r="C1253">
        <v>40</v>
      </c>
      <c r="D1253">
        <v>0</v>
      </c>
      <c r="E1253">
        <v>135000</v>
      </c>
      <c r="F1253">
        <v>3600</v>
      </c>
      <c r="G1253">
        <v>0</v>
      </c>
      <c r="H1253">
        <v>0</v>
      </c>
      <c r="I1253">
        <v>0</v>
      </c>
      <c r="J1253">
        <v>32</v>
      </c>
      <c r="K1253">
        <v>1</v>
      </c>
      <c r="L1253">
        <f>Résultats!G$32+Résultats!G$33*Données!C1253+Résultats!G$34*Données!D1253+Résultats!G$35*Données!E1253+Résultats!G$36*Données!F1253+Résultats!G$37*Données!G1253+Résultats!G$38*Données!H1253+Résultats!G$39*Données!I1253</f>
        <v>112523.14694811922</v>
      </c>
      <c r="M1253">
        <f t="shared" si="76"/>
        <v>-37523.146948119218</v>
      </c>
      <c r="Q1253">
        <v>100000</v>
      </c>
      <c r="R1253">
        <v>1</v>
      </c>
      <c r="S1253">
        <v>36</v>
      </c>
      <c r="T1253">
        <v>0</v>
      </c>
      <c r="U1253">
        <f t="shared" si="77"/>
        <v>11.736069016284437</v>
      </c>
      <c r="V1253">
        <f t="shared" si="78"/>
        <v>8.1420632831041466</v>
      </c>
      <c r="W1253">
        <v>1</v>
      </c>
      <c r="X1253">
        <v>0</v>
      </c>
      <c r="Y1253">
        <v>0</v>
      </c>
      <c r="Z1253">
        <f>'Résultat (Ln)'!F$30+'Résultat (Ln)'!F$31*Données!S1253+'Résultat (Ln)'!F$32*Données!T1253+'Résultat (Ln)'!F$33*Données!U1253+'Résultat (Ln)'!F$34*Données!V1253+'Résultat (Ln)'!F$35*Données!W1253+'Résultat (Ln)'!F$36*Données!X1253+'Résultat (Ln)'!F$37*Données!Y1253</f>
        <v>105082.66565584332</v>
      </c>
      <c r="AA1253">
        <f t="shared" si="79"/>
        <v>-5082.6656558433169</v>
      </c>
    </row>
    <row r="1254" spans="1:27" x14ac:dyDescent="0.25">
      <c r="A1254">
        <v>135000</v>
      </c>
      <c r="B1254">
        <v>1</v>
      </c>
      <c r="C1254">
        <v>38</v>
      </c>
      <c r="D1254">
        <v>1</v>
      </c>
      <c r="E1254">
        <v>180000</v>
      </c>
      <c r="F1254">
        <v>3276</v>
      </c>
      <c r="G1254">
        <v>1</v>
      </c>
      <c r="H1254">
        <v>0</v>
      </c>
      <c r="I1254">
        <v>1</v>
      </c>
      <c r="J1254">
        <v>35</v>
      </c>
      <c r="K1254">
        <v>1</v>
      </c>
      <c r="L1254">
        <f>Résultats!G$32+Résultats!G$33*Données!C1254+Résultats!G$34*Données!D1254+Résultats!G$35*Données!E1254+Résultats!G$36*Données!F1254+Résultats!G$37*Données!G1254+Résultats!G$38*Données!H1254+Résultats!G$39*Données!I1254</f>
        <v>152401.18422695479</v>
      </c>
      <c r="M1254">
        <f t="shared" si="76"/>
        <v>-17401.184226954792</v>
      </c>
      <c r="Q1254">
        <v>75000</v>
      </c>
      <c r="R1254">
        <v>1</v>
      </c>
      <c r="S1254">
        <v>40</v>
      </c>
      <c r="T1254">
        <v>0</v>
      </c>
      <c r="U1254">
        <f t="shared" si="77"/>
        <v>11.813030057420567</v>
      </c>
      <c r="V1254">
        <f t="shared" si="78"/>
        <v>8.1886891244442008</v>
      </c>
      <c r="W1254">
        <v>0</v>
      </c>
      <c r="X1254">
        <v>0</v>
      </c>
      <c r="Y1254">
        <v>0</v>
      </c>
      <c r="Z1254">
        <f>'Résultat (Ln)'!F$30+'Résultat (Ln)'!F$31*Données!S1254+'Résultat (Ln)'!F$32*Données!T1254+'Résultat (Ln)'!F$33*Données!U1254+'Résultat (Ln)'!F$34*Données!V1254+'Résultat (Ln)'!F$35*Données!W1254+'Résultat (Ln)'!F$36*Données!X1254+'Résultat (Ln)'!F$37*Données!Y1254</f>
        <v>115014.33975385444</v>
      </c>
      <c r="AA1254">
        <f t="shared" si="79"/>
        <v>-40014.339753854438</v>
      </c>
    </row>
    <row r="1255" spans="1:27" x14ac:dyDescent="0.25">
      <c r="A1255">
        <v>100000</v>
      </c>
      <c r="B1255">
        <v>1</v>
      </c>
      <c r="C1255">
        <v>40</v>
      </c>
      <c r="D1255">
        <v>0</v>
      </c>
      <c r="E1255">
        <v>147500</v>
      </c>
      <c r="F1255">
        <v>7948</v>
      </c>
      <c r="G1255">
        <v>0</v>
      </c>
      <c r="H1255">
        <v>0</v>
      </c>
      <c r="I1255">
        <v>0</v>
      </c>
      <c r="J1255">
        <v>14.60000038146973</v>
      </c>
      <c r="K1255">
        <v>1</v>
      </c>
      <c r="L1255">
        <f>Résultats!G$32+Résultats!G$33*Données!C1255+Résultats!G$34*Données!D1255+Résultats!G$35*Données!E1255+Résultats!G$36*Données!F1255+Résultats!G$37*Données!G1255+Résultats!G$38*Données!H1255+Résultats!G$39*Données!I1255</f>
        <v>126785.56227283328</v>
      </c>
      <c r="M1255">
        <f t="shared" si="76"/>
        <v>-26785.562272833282</v>
      </c>
      <c r="Q1255">
        <v>135000</v>
      </c>
      <c r="R1255">
        <v>1</v>
      </c>
      <c r="S1255">
        <v>38</v>
      </c>
      <c r="T1255">
        <v>1</v>
      </c>
      <c r="U1255">
        <f t="shared" si="77"/>
        <v>12.100712129872347</v>
      </c>
      <c r="V1255">
        <f t="shared" si="78"/>
        <v>8.0943784449729606</v>
      </c>
      <c r="W1255">
        <v>1</v>
      </c>
      <c r="X1255">
        <v>0</v>
      </c>
      <c r="Y1255">
        <v>1</v>
      </c>
      <c r="Z1255">
        <f>'Résultat (Ln)'!F$30+'Résultat (Ln)'!F$31*Données!S1255+'Résultat (Ln)'!F$32*Données!T1255+'Résultat (Ln)'!F$33*Données!U1255+'Résultat (Ln)'!F$34*Données!V1255+'Résultat (Ln)'!F$35*Données!W1255+'Résultat (Ln)'!F$36*Données!X1255+'Résultat (Ln)'!F$37*Données!Y1255</f>
        <v>163713.25650871027</v>
      </c>
      <c r="AA1255">
        <f t="shared" si="79"/>
        <v>-28713.25650871027</v>
      </c>
    </row>
    <row r="1256" spans="1:27" x14ac:dyDescent="0.25">
      <c r="A1256">
        <v>190000</v>
      </c>
      <c r="B1256">
        <v>1</v>
      </c>
      <c r="C1256">
        <v>24</v>
      </c>
      <c r="D1256">
        <v>0</v>
      </c>
      <c r="E1256">
        <v>270000</v>
      </c>
      <c r="F1256">
        <v>6700</v>
      </c>
      <c r="G1256">
        <v>1</v>
      </c>
      <c r="H1256">
        <v>0</v>
      </c>
      <c r="I1256">
        <v>1</v>
      </c>
      <c r="J1256">
        <v>22</v>
      </c>
      <c r="K1256">
        <v>1</v>
      </c>
      <c r="L1256">
        <f>Résultats!G$32+Résultats!G$33*Données!C1256+Résultats!G$34*Données!D1256+Résultats!G$35*Données!E1256+Résultats!G$36*Données!F1256+Résultats!G$37*Données!G1256+Résultats!G$38*Données!H1256+Résultats!G$39*Données!I1256</f>
        <v>180132.32832489969</v>
      </c>
      <c r="M1256">
        <f t="shared" si="76"/>
        <v>9867.6716751003114</v>
      </c>
      <c r="Q1256">
        <v>100000</v>
      </c>
      <c r="R1256">
        <v>1</v>
      </c>
      <c r="S1256">
        <v>40</v>
      </c>
      <c r="T1256">
        <v>0</v>
      </c>
      <c r="U1256">
        <f t="shared" si="77"/>
        <v>11.901583454762012</v>
      </c>
      <c r="V1256">
        <f t="shared" si="78"/>
        <v>8.9806756036717079</v>
      </c>
      <c r="W1256">
        <v>0</v>
      </c>
      <c r="X1256">
        <v>0</v>
      </c>
      <c r="Y1256">
        <v>0</v>
      </c>
      <c r="Z1256">
        <f>'Résultat (Ln)'!F$30+'Résultat (Ln)'!F$31*Données!S1256+'Résultat (Ln)'!F$32*Données!T1256+'Résultat (Ln)'!F$33*Données!U1256+'Résultat (Ln)'!F$34*Données!V1256+'Résultat (Ln)'!F$35*Données!W1256+'Résultat (Ln)'!F$36*Données!X1256+'Résultat (Ln)'!F$37*Données!Y1256</f>
        <v>146718.76009971567</v>
      </c>
      <c r="AA1256">
        <f t="shared" si="79"/>
        <v>-46718.76009971567</v>
      </c>
    </row>
    <row r="1257" spans="1:27" x14ac:dyDescent="0.25">
      <c r="A1257">
        <v>138000</v>
      </c>
      <c r="B1257">
        <v>1</v>
      </c>
      <c r="C1257">
        <v>33.599998474121087</v>
      </c>
      <c r="D1257">
        <v>0</v>
      </c>
      <c r="E1257">
        <v>172500</v>
      </c>
      <c r="F1257">
        <v>4526</v>
      </c>
      <c r="G1257">
        <v>1</v>
      </c>
      <c r="H1257">
        <v>0</v>
      </c>
      <c r="I1257">
        <v>0</v>
      </c>
      <c r="J1257">
        <v>33.400001525878913</v>
      </c>
      <c r="K1257">
        <v>1</v>
      </c>
      <c r="L1257">
        <f>Résultats!G$32+Résultats!G$33*Données!C1257+Résultats!G$34*Données!D1257+Résultats!G$35*Données!E1257+Résultats!G$36*Données!F1257+Résultats!G$37*Données!G1257+Résultats!G$38*Données!H1257+Résultats!G$39*Données!I1257</f>
        <v>131493.41192599561</v>
      </c>
      <c r="M1257">
        <f t="shared" si="76"/>
        <v>6506.588074004394</v>
      </c>
      <c r="Q1257">
        <v>190000</v>
      </c>
      <c r="R1257">
        <v>1</v>
      </c>
      <c r="S1257">
        <v>24</v>
      </c>
      <c r="T1257">
        <v>0</v>
      </c>
      <c r="U1257">
        <f t="shared" si="77"/>
        <v>12.506177237980511</v>
      </c>
      <c r="V1257">
        <f t="shared" si="78"/>
        <v>8.8098628053790566</v>
      </c>
      <c r="W1257">
        <v>1</v>
      </c>
      <c r="X1257">
        <v>0</v>
      </c>
      <c r="Y1257">
        <v>1</v>
      </c>
      <c r="Z1257">
        <f>'Résultat (Ln)'!F$30+'Résultat (Ln)'!F$31*Données!S1257+'Résultat (Ln)'!F$32*Données!T1257+'Résultat (Ln)'!F$33*Données!U1257+'Résultat (Ln)'!F$34*Données!V1257+'Résultat (Ln)'!F$35*Données!W1257+'Résultat (Ln)'!F$36*Données!X1257+'Résultat (Ln)'!F$37*Données!Y1257</f>
        <v>205786.25903615175</v>
      </c>
      <c r="AA1257">
        <f t="shared" si="79"/>
        <v>-15786.25903615175</v>
      </c>
    </row>
    <row r="1258" spans="1:27" x14ac:dyDescent="0.25">
      <c r="A1258">
        <v>115000</v>
      </c>
      <c r="B1258">
        <v>1</v>
      </c>
      <c r="C1258">
        <v>20</v>
      </c>
      <c r="D1258">
        <v>0</v>
      </c>
      <c r="E1258">
        <v>248000</v>
      </c>
      <c r="F1258">
        <v>3029</v>
      </c>
      <c r="G1258">
        <v>1</v>
      </c>
      <c r="H1258">
        <v>0</v>
      </c>
      <c r="I1258">
        <v>0</v>
      </c>
      <c r="J1258">
        <v>20</v>
      </c>
      <c r="K1258">
        <v>1</v>
      </c>
      <c r="L1258">
        <f>Résultats!G$32+Résultats!G$33*Données!C1258+Résultats!G$34*Données!D1258+Résultats!G$35*Données!E1258+Résultats!G$36*Données!F1258+Résultats!G$37*Données!G1258+Résultats!G$38*Données!H1258+Résultats!G$39*Données!I1258</f>
        <v>148225.60062097269</v>
      </c>
      <c r="M1258">
        <f t="shared" si="76"/>
        <v>-33225.600620972691</v>
      </c>
      <c r="Q1258">
        <v>138000</v>
      </c>
      <c r="R1258">
        <v>1</v>
      </c>
      <c r="S1258">
        <v>33.599998474121087</v>
      </c>
      <c r="T1258">
        <v>0</v>
      </c>
      <c r="U1258">
        <f t="shared" si="77"/>
        <v>12.058152515453552</v>
      </c>
      <c r="V1258">
        <f t="shared" si="78"/>
        <v>8.4175938261934835</v>
      </c>
      <c r="W1258">
        <v>1</v>
      </c>
      <c r="X1258">
        <v>0</v>
      </c>
      <c r="Y1258">
        <v>0</v>
      </c>
      <c r="Z1258">
        <f>'Résultat (Ln)'!F$30+'Résultat (Ln)'!F$31*Données!S1258+'Résultat (Ln)'!F$32*Données!T1258+'Résultat (Ln)'!F$33*Données!U1258+'Résultat (Ln)'!F$34*Données!V1258+'Résultat (Ln)'!F$35*Données!W1258+'Résultat (Ln)'!F$36*Données!X1258+'Résultat (Ln)'!F$37*Données!Y1258</f>
        <v>144403.16112646522</v>
      </c>
      <c r="AA1258">
        <f t="shared" si="79"/>
        <v>-6403.1611264652165</v>
      </c>
    </row>
    <row r="1259" spans="1:27" x14ac:dyDescent="0.25">
      <c r="A1259">
        <v>71000</v>
      </c>
      <c r="B1259">
        <v>1</v>
      </c>
      <c r="C1259">
        <v>63</v>
      </c>
      <c r="D1259">
        <v>1</v>
      </c>
      <c r="E1259">
        <v>90000</v>
      </c>
      <c r="F1259">
        <v>3180</v>
      </c>
      <c r="G1259">
        <v>0</v>
      </c>
      <c r="H1259">
        <v>0</v>
      </c>
      <c r="I1259">
        <v>1</v>
      </c>
      <c r="J1259">
        <v>24</v>
      </c>
      <c r="K1259">
        <v>0</v>
      </c>
      <c r="L1259">
        <f>Résultats!G$32+Résultats!G$33*Données!C1259+Résultats!G$34*Données!D1259+Résultats!G$35*Données!E1259+Résultats!G$36*Données!F1259+Résultats!G$37*Données!G1259+Résultats!G$38*Données!H1259+Résultats!G$39*Données!I1259</f>
        <v>131889.50345620108</v>
      </c>
      <c r="M1259">
        <f t="shared" si="76"/>
        <v>-60889.503456201084</v>
      </c>
      <c r="Q1259">
        <v>115000</v>
      </c>
      <c r="R1259">
        <v>1</v>
      </c>
      <c r="S1259">
        <v>20</v>
      </c>
      <c r="T1259">
        <v>0</v>
      </c>
      <c r="U1259">
        <f t="shared" si="77"/>
        <v>12.421184025147118</v>
      </c>
      <c r="V1259">
        <f t="shared" si="78"/>
        <v>8.0159878110272373</v>
      </c>
      <c r="W1259">
        <v>1</v>
      </c>
      <c r="X1259">
        <v>0</v>
      </c>
      <c r="Y1259">
        <v>0</v>
      </c>
      <c r="Z1259">
        <f>'Résultat (Ln)'!F$30+'Résultat (Ln)'!F$31*Données!S1259+'Résultat (Ln)'!F$32*Données!T1259+'Résultat (Ln)'!F$33*Données!U1259+'Résultat (Ln)'!F$34*Données!V1259+'Résultat (Ln)'!F$35*Données!W1259+'Résultat (Ln)'!F$36*Données!X1259+'Résultat (Ln)'!F$37*Données!Y1259</f>
        <v>155435.41498274685</v>
      </c>
      <c r="AA1259">
        <f t="shared" si="79"/>
        <v>-40435.41498274685</v>
      </c>
    </row>
    <row r="1260" spans="1:27" x14ac:dyDescent="0.25">
      <c r="A1260">
        <v>120000</v>
      </c>
      <c r="B1260">
        <v>1</v>
      </c>
      <c r="C1260">
        <v>24</v>
      </c>
      <c r="D1260">
        <v>0</v>
      </c>
      <c r="E1260">
        <v>150000</v>
      </c>
      <c r="F1260">
        <v>5317</v>
      </c>
      <c r="G1260">
        <v>0</v>
      </c>
      <c r="H1260">
        <v>0</v>
      </c>
      <c r="I1260">
        <v>1</v>
      </c>
      <c r="J1260">
        <v>24</v>
      </c>
      <c r="K1260">
        <v>0</v>
      </c>
      <c r="L1260">
        <f>Résultats!G$32+Résultats!G$33*Données!C1260+Résultats!G$34*Données!D1260+Résultats!G$35*Données!E1260+Résultats!G$36*Données!F1260+Résultats!G$37*Données!G1260+Résultats!G$38*Données!H1260+Résultats!G$39*Données!I1260</f>
        <v>114401.35767629636</v>
      </c>
      <c r="M1260">
        <f t="shared" si="76"/>
        <v>5598.6423237036361</v>
      </c>
      <c r="Q1260">
        <v>71000</v>
      </c>
      <c r="R1260">
        <v>1</v>
      </c>
      <c r="S1260">
        <v>63</v>
      </c>
      <c r="T1260">
        <v>1</v>
      </c>
      <c r="U1260">
        <f t="shared" si="77"/>
        <v>11.407564949312402</v>
      </c>
      <c r="V1260">
        <f t="shared" si="78"/>
        <v>8.0646364757742219</v>
      </c>
      <c r="W1260">
        <v>0</v>
      </c>
      <c r="X1260">
        <v>0</v>
      </c>
      <c r="Y1260">
        <v>1</v>
      </c>
      <c r="Z1260">
        <f>'Résultat (Ln)'!F$30+'Résultat (Ln)'!F$31*Données!S1260+'Résultat (Ln)'!F$32*Données!T1260+'Résultat (Ln)'!F$33*Données!U1260+'Résultat (Ln)'!F$34*Données!V1260+'Résultat (Ln)'!F$35*Données!W1260+'Résultat (Ln)'!F$36*Données!X1260+'Résultat (Ln)'!F$37*Données!Y1260</f>
        <v>114613.80816371273</v>
      </c>
      <c r="AA1260">
        <f t="shared" si="79"/>
        <v>-43613.808163712732</v>
      </c>
    </row>
    <row r="1261" spans="1:27" x14ac:dyDescent="0.25">
      <c r="A1261">
        <v>130000</v>
      </c>
      <c r="B1261">
        <v>1</v>
      </c>
      <c r="C1261">
        <v>37</v>
      </c>
      <c r="D1261">
        <v>0</v>
      </c>
      <c r="E1261">
        <v>145000</v>
      </c>
      <c r="F1261">
        <v>2412</v>
      </c>
      <c r="G1261">
        <v>0</v>
      </c>
      <c r="H1261">
        <v>0</v>
      </c>
      <c r="I1261">
        <v>0</v>
      </c>
      <c r="J1261">
        <v>26</v>
      </c>
      <c r="K1261">
        <v>1</v>
      </c>
      <c r="L1261">
        <f>Résultats!G$32+Résultats!G$33*Données!C1261+Résultats!G$34*Données!D1261+Résultats!G$35*Données!E1261+Résultats!G$36*Données!F1261+Résultats!G$37*Données!G1261+Résultats!G$38*Données!H1261+Résultats!G$39*Données!I1261</f>
        <v>111444.57710697431</v>
      </c>
      <c r="M1261">
        <f t="shared" si="76"/>
        <v>18555.422893025694</v>
      </c>
      <c r="Q1261">
        <v>120000</v>
      </c>
      <c r="R1261">
        <v>1</v>
      </c>
      <c r="S1261">
        <v>24</v>
      </c>
      <c r="T1261">
        <v>0</v>
      </c>
      <c r="U1261">
        <f t="shared" si="77"/>
        <v>11.918390573078392</v>
      </c>
      <c r="V1261">
        <f t="shared" si="78"/>
        <v>8.5786645135043393</v>
      </c>
      <c r="W1261">
        <v>0</v>
      </c>
      <c r="X1261">
        <v>0</v>
      </c>
      <c r="Y1261">
        <v>1</v>
      </c>
      <c r="Z1261">
        <f>'Résultat (Ln)'!F$30+'Résultat (Ln)'!F$31*Données!S1261+'Résultat (Ln)'!F$32*Données!T1261+'Résultat (Ln)'!F$33*Données!U1261+'Résultat (Ln)'!F$34*Données!V1261+'Résultat (Ln)'!F$35*Données!W1261+'Résultat (Ln)'!F$36*Données!X1261+'Résultat (Ln)'!F$37*Données!Y1261</f>
        <v>131779.96430415742</v>
      </c>
      <c r="AA1261">
        <f t="shared" si="79"/>
        <v>-11779.964304157416</v>
      </c>
    </row>
    <row r="1262" spans="1:27" x14ac:dyDescent="0.25">
      <c r="A1262">
        <v>146000</v>
      </c>
      <c r="B1262">
        <v>1</v>
      </c>
      <c r="C1262">
        <v>30</v>
      </c>
      <c r="D1262">
        <v>0</v>
      </c>
      <c r="E1262">
        <v>146000</v>
      </c>
      <c r="F1262">
        <v>6443</v>
      </c>
      <c r="G1262">
        <v>1</v>
      </c>
      <c r="H1262">
        <v>0</v>
      </c>
      <c r="I1262">
        <v>0</v>
      </c>
      <c r="J1262">
        <v>29</v>
      </c>
      <c r="K1262">
        <v>1</v>
      </c>
      <c r="L1262">
        <f>Résultats!G$32+Résultats!G$33*Données!C1262+Résultats!G$34*Données!D1262+Résultats!G$35*Données!E1262+Résultats!G$36*Données!F1262+Résultats!G$37*Données!G1262+Résultats!G$38*Données!H1262+Résultats!G$39*Données!I1262</f>
        <v>118698.67707423319</v>
      </c>
      <c r="M1262">
        <f t="shared" si="76"/>
        <v>27301.322925766814</v>
      </c>
      <c r="Q1262">
        <v>130000</v>
      </c>
      <c r="R1262">
        <v>1</v>
      </c>
      <c r="S1262">
        <v>37</v>
      </c>
      <c r="T1262">
        <v>0</v>
      </c>
      <c r="U1262">
        <f t="shared" si="77"/>
        <v>11.884489021402711</v>
      </c>
      <c r="V1262">
        <f t="shared" si="78"/>
        <v>7.7882115578470756</v>
      </c>
      <c r="W1262">
        <v>0</v>
      </c>
      <c r="X1262">
        <v>0</v>
      </c>
      <c r="Y1262">
        <v>0</v>
      </c>
      <c r="Z1262">
        <f>'Résultat (Ln)'!F$30+'Résultat (Ln)'!F$31*Données!S1262+'Résultat (Ln)'!F$32*Données!T1262+'Résultat (Ln)'!F$33*Données!U1262+'Résultat (Ln)'!F$34*Données!V1262+'Résultat (Ln)'!F$35*Données!W1262+'Résultat (Ln)'!F$36*Données!X1262+'Résultat (Ln)'!F$37*Données!Y1262</f>
        <v>107776.59007606428</v>
      </c>
      <c r="AA1262">
        <f t="shared" si="79"/>
        <v>22223.409923935717</v>
      </c>
    </row>
    <row r="1263" spans="1:27" x14ac:dyDescent="0.25">
      <c r="A1263">
        <v>95000</v>
      </c>
      <c r="B1263">
        <v>1</v>
      </c>
      <c r="C1263">
        <v>31.60000038146973</v>
      </c>
      <c r="D1263">
        <v>0</v>
      </c>
      <c r="E1263">
        <v>106000</v>
      </c>
      <c r="F1263">
        <v>3033</v>
      </c>
      <c r="G1263">
        <v>1</v>
      </c>
      <c r="H1263">
        <v>0</v>
      </c>
      <c r="I1263">
        <v>1</v>
      </c>
      <c r="J1263">
        <v>21.5</v>
      </c>
      <c r="K1263">
        <v>1</v>
      </c>
      <c r="L1263">
        <f>Résultats!G$32+Résultats!G$33*Données!C1263+Résultats!G$34*Données!D1263+Résultats!G$35*Données!E1263+Résultats!G$36*Données!F1263+Résultats!G$37*Données!G1263+Résultats!G$38*Données!H1263+Résultats!G$39*Données!I1263</f>
        <v>105176.02131184118</v>
      </c>
      <c r="M1263">
        <f t="shared" si="76"/>
        <v>-10176.021311841178</v>
      </c>
      <c r="Q1263">
        <v>146000</v>
      </c>
      <c r="R1263">
        <v>1</v>
      </c>
      <c r="S1263">
        <v>30</v>
      </c>
      <c r="T1263">
        <v>0</v>
      </c>
      <c r="U1263">
        <f t="shared" si="77"/>
        <v>11.891361900690473</v>
      </c>
      <c r="V1263">
        <f t="shared" si="78"/>
        <v>8.7707495491386425</v>
      </c>
      <c r="W1263">
        <v>1</v>
      </c>
      <c r="X1263">
        <v>0</v>
      </c>
      <c r="Y1263">
        <v>0</v>
      </c>
      <c r="Z1263">
        <f>'Résultat (Ln)'!F$30+'Résultat (Ln)'!F$31*Données!S1263+'Résultat (Ln)'!F$32*Données!T1263+'Résultat (Ln)'!F$33*Données!U1263+'Résultat (Ln)'!F$34*Données!V1263+'Résultat (Ln)'!F$35*Données!W1263+'Résultat (Ln)'!F$36*Données!X1263+'Résultat (Ln)'!F$37*Données!Y1263</f>
        <v>132029.13334422631</v>
      </c>
      <c r="AA1263">
        <f t="shared" si="79"/>
        <v>13970.866655773687</v>
      </c>
    </row>
    <row r="1264" spans="1:27" x14ac:dyDescent="0.25">
      <c r="A1264">
        <v>63000</v>
      </c>
      <c r="B1264">
        <v>1</v>
      </c>
      <c r="C1264">
        <v>31</v>
      </c>
      <c r="D1264">
        <v>0</v>
      </c>
      <c r="E1264">
        <v>70000</v>
      </c>
      <c r="F1264">
        <v>2083</v>
      </c>
      <c r="G1264">
        <v>1</v>
      </c>
      <c r="H1264">
        <v>0</v>
      </c>
      <c r="I1264">
        <v>1</v>
      </c>
      <c r="J1264">
        <v>28</v>
      </c>
      <c r="K1264">
        <v>1</v>
      </c>
      <c r="L1264">
        <f>Résultats!G$32+Résultats!G$33*Données!C1264+Résultats!G$34*Données!D1264+Résultats!G$35*Données!E1264+Résultats!G$36*Données!F1264+Résultats!G$37*Données!G1264+Résultats!G$38*Données!H1264+Résultats!G$39*Données!I1264</f>
        <v>85835.602976505208</v>
      </c>
      <c r="M1264">
        <f t="shared" si="76"/>
        <v>-22835.602976505208</v>
      </c>
      <c r="Q1264">
        <v>95000</v>
      </c>
      <c r="R1264">
        <v>1</v>
      </c>
      <c r="S1264">
        <v>31.60000038146973</v>
      </c>
      <c r="T1264">
        <v>0</v>
      </c>
      <c r="U1264">
        <f t="shared" si="77"/>
        <v>11.571194373094205</v>
      </c>
      <c r="V1264">
        <f t="shared" si="78"/>
        <v>8.0173075076885816</v>
      </c>
      <c r="W1264">
        <v>1</v>
      </c>
      <c r="X1264">
        <v>0</v>
      </c>
      <c r="Y1264">
        <v>1</v>
      </c>
      <c r="Z1264">
        <f>'Résultat (Ln)'!F$30+'Résultat (Ln)'!F$31*Données!S1264+'Résultat (Ln)'!F$32*Données!T1264+'Résultat (Ln)'!F$33*Données!U1264+'Résultat (Ln)'!F$34*Données!V1264+'Résultat (Ln)'!F$35*Données!W1264+'Résultat (Ln)'!F$36*Données!X1264+'Résultat (Ln)'!F$37*Données!Y1264</f>
        <v>92619.91137853502</v>
      </c>
      <c r="AA1264">
        <f t="shared" si="79"/>
        <v>2380.08862146498</v>
      </c>
    </row>
    <row r="1265" spans="1:27" x14ac:dyDescent="0.25">
      <c r="A1265">
        <v>126000</v>
      </c>
      <c r="B1265">
        <v>1</v>
      </c>
      <c r="C1265">
        <v>30.89999961853027</v>
      </c>
      <c r="D1265">
        <v>0</v>
      </c>
      <c r="E1265">
        <v>140000</v>
      </c>
      <c r="F1265">
        <v>4196</v>
      </c>
      <c r="G1265">
        <v>0</v>
      </c>
      <c r="H1265">
        <v>1</v>
      </c>
      <c r="I1265">
        <v>0</v>
      </c>
      <c r="J1265">
        <v>30.64999961853027</v>
      </c>
      <c r="K1265">
        <v>0</v>
      </c>
      <c r="L1265">
        <f>Résultats!G$32+Résultats!G$33*Données!C1265+Résultats!G$34*Données!D1265+Résultats!G$35*Données!E1265+Résultats!G$36*Données!F1265+Résultats!G$37*Données!G1265+Résultats!G$38*Données!H1265+Résultats!G$39*Données!I1265</f>
        <v>103934.65719414108</v>
      </c>
      <c r="M1265">
        <f t="shared" si="76"/>
        <v>22065.34280585892</v>
      </c>
      <c r="Q1265">
        <v>63000</v>
      </c>
      <c r="R1265">
        <v>1</v>
      </c>
      <c r="S1265">
        <v>31</v>
      </c>
      <c r="T1265">
        <v>0</v>
      </c>
      <c r="U1265">
        <f t="shared" si="77"/>
        <v>11.156250521031495</v>
      </c>
      <c r="V1265">
        <f t="shared" si="78"/>
        <v>7.6415644412609716</v>
      </c>
      <c r="W1265">
        <v>1</v>
      </c>
      <c r="X1265">
        <v>0</v>
      </c>
      <c r="Y1265">
        <v>1</v>
      </c>
      <c r="Z1265">
        <f>'Résultat (Ln)'!F$30+'Résultat (Ln)'!F$31*Données!S1265+'Résultat (Ln)'!F$32*Données!T1265+'Résultat (Ln)'!F$33*Données!U1265+'Résultat (Ln)'!F$34*Données!V1265+'Résultat (Ln)'!F$35*Données!W1265+'Résultat (Ln)'!F$36*Données!X1265+'Résultat (Ln)'!F$37*Données!Y1265</f>
        <v>36868.532871347757</v>
      </c>
      <c r="AA1265">
        <f t="shared" si="79"/>
        <v>26131.467128652243</v>
      </c>
    </row>
    <row r="1266" spans="1:27" x14ac:dyDescent="0.25">
      <c r="A1266">
        <v>109000</v>
      </c>
      <c r="B1266">
        <v>1</v>
      </c>
      <c r="C1266">
        <v>36.200000762939453</v>
      </c>
      <c r="D1266">
        <v>0</v>
      </c>
      <c r="E1266">
        <v>115000</v>
      </c>
      <c r="F1266">
        <v>3902</v>
      </c>
      <c r="G1266">
        <v>0</v>
      </c>
      <c r="H1266">
        <v>0</v>
      </c>
      <c r="I1266">
        <v>0</v>
      </c>
      <c r="J1266">
        <v>21.70000076293945</v>
      </c>
      <c r="K1266">
        <v>1</v>
      </c>
      <c r="L1266">
        <f>Résultats!G$32+Résultats!G$33*Données!C1266+Résultats!G$34*Données!D1266+Résultats!G$35*Données!E1266+Résultats!G$36*Données!F1266+Résultats!G$37*Données!G1266+Résultats!G$38*Données!H1266+Résultats!G$39*Données!I1266</f>
        <v>99404.346794843659</v>
      </c>
      <c r="M1266">
        <f t="shared" si="76"/>
        <v>9595.6532051563408</v>
      </c>
      <c r="Q1266">
        <v>126000</v>
      </c>
      <c r="R1266">
        <v>1</v>
      </c>
      <c r="S1266">
        <v>30.89999961853027</v>
      </c>
      <c r="T1266">
        <v>0</v>
      </c>
      <c r="U1266">
        <f t="shared" si="77"/>
        <v>11.849397701591441</v>
      </c>
      <c r="V1266">
        <f t="shared" si="78"/>
        <v>8.341886969516187</v>
      </c>
      <c r="W1266">
        <v>0</v>
      </c>
      <c r="X1266">
        <v>1</v>
      </c>
      <c r="Y1266">
        <v>0</v>
      </c>
      <c r="Z1266">
        <f>'Résultat (Ln)'!F$30+'Résultat (Ln)'!F$31*Données!S1266+'Résultat (Ln)'!F$32*Données!T1266+'Résultat (Ln)'!F$33*Données!U1266+'Résultat (Ln)'!F$34*Données!V1266+'Résultat (Ln)'!F$35*Données!W1266+'Résultat (Ln)'!F$36*Données!X1266+'Résultat (Ln)'!F$37*Données!Y1266</f>
        <v>111911.23264079976</v>
      </c>
      <c r="AA1266">
        <f t="shared" si="79"/>
        <v>14088.767359200239</v>
      </c>
    </row>
    <row r="1267" spans="1:27" x14ac:dyDescent="0.25">
      <c r="A1267">
        <v>104000</v>
      </c>
      <c r="B1267">
        <v>1</v>
      </c>
      <c r="C1267">
        <v>38</v>
      </c>
      <c r="D1267">
        <v>0</v>
      </c>
      <c r="E1267">
        <v>130000</v>
      </c>
      <c r="F1267">
        <v>2732</v>
      </c>
      <c r="G1267">
        <v>1</v>
      </c>
      <c r="H1267">
        <v>0</v>
      </c>
      <c r="I1267">
        <v>1</v>
      </c>
      <c r="J1267">
        <v>30</v>
      </c>
      <c r="K1267">
        <v>1</v>
      </c>
      <c r="L1267">
        <f>Résultats!G$32+Résultats!G$33*Données!C1267+Résultats!G$34*Données!D1267+Résultats!G$35*Données!E1267+Résultats!G$36*Données!F1267+Résultats!G$37*Données!G1267+Résultats!G$38*Données!H1267+Résultats!G$39*Données!I1267</f>
        <v>123151.11575106207</v>
      </c>
      <c r="M1267">
        <f t="shared" si="76"/>
        <v>-19151.115751062069</v>
      </c>
      <c r="Q1267">
        <v>109000</v>
      </c>
      <c r="R1267">
        <v>1</v>
      </c>
      <c r="S1267">
        <v>36.200000762939453</v>
      </c>
      <c r="T1267">
        <v>0</v>
      </c>
      <c r="U1267">
        <f t="shared" si="77"/>
        <v>11.652687407345388</v>
      </c>
      <c r="V1267">
        <f t="shared" si="78"/>
        <v>8.2692445211830563</v>
      </c>
      <c r="W1267">
        <v>0</v>
      </c>
      <c r="X1267">
        <v>0</v>
      </c>
      <c r="Y1267">
        <v>0</v>
      </c>
      <c r="Z1267">
        <f>'Résultat (Ln)'!F$30+'Résultat (Ln)'!F$31*Données!S1267+'Résultat (Ln)'!F$32*Données!T1267+'Résultat (Ln)'!F$33*Données!U1267+'Résultat (Ln)'!F$34*Données!V1267+'Résultat (Ln)'!F$35*Données!W1267+'Résultat (Ln)'!F$36*Données!X1267+'Résultat (Ln)'!F$37*Données!Y1267</f>
        <v>95441.803783634503</v>
      </c>
      <c r="AA1267">
        <f t="shared" si="79"/>
        <v>13558.196216365497</v>
      </c>
    </row>
    <row r="1268" spans="1:27" x14ac:dyDescent="0.25">
      <c r="A1268">
        <v>125000</v>
      </c>
      <c r="B1268">
        <v>1</v>
      </c>
      <c r="C1268">
        <v>32</v>
      </c>
      <c r="D1268">
        <v>1</v>
      </c>
      <c r="E1268">
        <v>157000</v>
      </c>
      <c r="F1268">
        <v>5180</v>
      </c>
      <c r="G1268">
        <v>1</v>
      </c>
      <c r="H1268">
        <v>0</v>
      </c>
      <c r="I1268">
        <v>0</v>
      </c>
      <c r="J1268">
        <v>25</v>
      </c>
      <c r="K1268">
        <v>1</v>
      </c>
      <c r="L1268">
        <f>Résultats!G$32+Résultats!G$33*Données!C1268+Résultats!G$34*Données!D1268+Résultats!G$35*Données!E1268+Résultats!G$36*Données!F1268+Résultats!G$37*Données!G1268+Résultats!G$38*Données!H1268+Résultats!G$39*Données!I1268</f>
        <v>128533.32706020839</v>
      </c>
      <c r="M1268">
        <f t="shared" si="76"/>
        <v>-3533.327060208394</v>
      </c>
      <c r="Q1268">
        <v>104000</v>
      </c>
      <c r="R1268">
        <v>1</v>
      </c>
      <c r="S1268">
        <v>38</v>
      </c>
      <c r="T1268">
        <v>0</v>
      </c>
      <c r="U1268">
        <f t="shared" si="77"/>
        <v>11.77528972943772</v>
      </c>
      <c r="V1268">
        <f t="shared" si="78"/>
        <v>7.9127892206906809</v>
      </c>
      <c r="W1268">
        <v>1</v>
      </c>
      <c r="X1268">
        <v>0</v>
      </c>
      <c r="Y1268">
        <v>1</v>
      </c>
      <c r="Z1268">
        <f>'Résultat (Ln)'!F$30+'Résultat (Ln)'!F$31*Données!S1268+'Résultat (Ln)'!F$32*Données!T1268+'Résultat (Ln)'!F$33*Données!U1268+'Résultat (Ln)'!F$34*Données!V1268+'Résultat (Ln)'!F$35*Données!W1268+'Résultat (Ln)'!F$36*Données!X1268+'Résultat (Ln)'!F$37*Données!Y1268</f>
        <v>119387.79220798319</v>
      </c>
      <c r="AA1268">
        <f t="shared" si="79"/>
        <v>-15387.792207983191</v>
      </c>
    </row>
    <row r="1269" spans="1:27" x14ac:dyDescent="0.25">
      <c r="A1269">
        <v>103000</v>
      </c>
      <c r="B1269">
        <v>1</v>
      </c>
      <c r="C1269">
        <v>48</v>
      </c>
      <c r="D1269">
        <v>1</v>
      </c>
      <c r="E1269">
        <v>115000</v>
      </c>
      <c r="F1269">
        <v>1500</v>
      </c>
      <c r="G1269">
        <v>0</v>
      </c>
      <c r="H1269">
        <v>0</v>
      </c>
      <c r="I1269">
        <v>0</v>
      </c>
      <c r="J1269">
        <v>34</v>
      </c>
      <c r="K1269">
        <v>0</v>
      </c>
      <c r="L1269">
        <f>Résultats!G$32+Résultats!G$33*Données!C1269+Résultats!G$34*Données!D1269+Résultats!G$35*Données!E1269+Résultats!G$36*Données!F1269+Résultats!G$37*Données!G1269+Résultats!G$38*Données!H1269+Résultats!G$39*Données!I1269</f>
        <v>113152.33985481202</v>
      </c>
      <c r="M1269">
        <f t="shared" si="76"/>
        <v>-10152.339854812017</v>
      </c>
      <c r="Q1269">
        <v>125000</v>
      </c>
      <c r="R1269">
        <v>1</v>
      </c>
      <c r="S1269">
        <v>32</v>
      </c>
      <c r="T1269">
        <v>1</v>
      </c>
      <c r="U1269">
        <f t="shared" si="77"/>
        <v>11.964001084330445</v>
      </c>
      <c r="V1269">
        <f t="shared" si="78"/>
        <v>8.5525603352535295</v>
      </c>
      <c r="W1269">
        <v>1</v>
      </c>
      <c r="X1269">
        <v>0</v>
      </c>
      <c r="Y1269">
        <v>0</v>
      </c>
      <c r="Z1269">
        <f>'Résultat (Ln)'!F$30+'Résultat (Ln)'!F$31*Données!S1269+'Résultat (Ln)'!F$32*Données!T1269+'Résultat (Ln)'!F$33*Données!U1269+'Résultat (Ln)'!F$34*Données!V1269+'Résultat (Ln)'!F$35*Données!W1269+'Résultat (Ln)'!F$36*Données!X1269+'Résultat (Ln)'!F$37*Données!Y1269</f>
        <v>140489.33621039247</v>
      </c>
      <c r="AA1269">
        <f t="shared" si="79"/>
        <v>-15489.336210392474</v>
      </c>
    </row>
    <row r="1270" spans="1:27" x14ac:dyDescent="0.25">
      <c r="A1270">
        <v>45000</v>
      </c>
      <c r="B1270">
        <v>1</v>
      </c>
      <c r="C1270">
        <v>31.60000038146973</v>
      </c>
      <c r="D1270">
        <v>0</v>
      </c>
      <c r="E1270">
        <v>56000</v>
      </c>
      <c r="F1270">
        <v>2889</v>
      </c>
      <c r="G1270">
        <v>1</v>
      </c>
      <c r="H1270">
        <v>0</v>
      </c>
      <c r="I1270">
        <v>0</v>
      </c>
      <c r="J1270">
        <v>21.20000076293945</v>
      </c>
      <c r="K1270">
        <v>1</v>
      </c>
      <c r="L1270">
        <f>Résultats!G$32+Résultats!G$33*Données!C1270+Résultats!G$34*Données!D1270+Résultats!G$35*Données!E1270+Résultats!G$36*Données!F1270+Résultats!G$37*Données!G1270+Résultats!G$38*Données!H1270+Résultats!G$39*Données!I1270</f>
        <v>71623.859640572526</v>
      </c>
      <c r="M1270">
        <f t="shared" si="76"/>
        <v>-26623.859640572526</v>
      </c>
      <c r="Q1270">
        <v>103000</v>
      </c>
      <c r="R1270">
        <v>1</v>
      </c>
      <c r="S1270">
        <v>48</v>
      </c>
      <c r="T1270">
        <v>1</v>
      </c>
      <c r="U1270">
        <f t="shared" si="77"/>
        <v>11.652687407345388</v>
      </c>
      <c r="V1270">
        <f t="shared" si="78"/>
        <v>7.3132203870903014</v>
      </c>
      <c r="W1270">
        <v>0</v>
      </c>
      <c r="X1270">
        <v>0</v>
      </c>
      <c r="Y1270">
        <v>0</v>
      </c>
      <c r="Z1270">
        <f>'Résultat (Ln)'!F$30+'Résultat (Ln)'!F$31*Données!S1270+'Résultat (Ln)'!F$32*Données!T1270+'Résultat (Ln)'!F$33*Données!U1270+'Résultat (Ln)'!F$34*Données!V1270+'Résultat (Ln)'!F$35*Données!W1270+'Résultat (Ln)'!F$36*Données!X1270+'Résultat (Ln)'!F$37*Données!Y1270</f>
        <v>87398.243432491203</v>
      </c>
      <c r="AA1270">
        <f t="shared" si="79"/>
        <v>15601.756567508797</v>
      </c>
    </row>
    <row r="1271" spans="1:27" x14ac:dyDescent="0.25">
      <c r="A1271">
        <v>122000</v>
      </c>
      <c r="B1271">
        <v>1</v>
      </c>
      <c r="C1271">
        <v>30</v>
      </c>
      <c r="D1271">
        <v>0</v>
      </c>
      <c r="E1271">
        <v>140000</v>
      </c>
      <c r="F1271">
        <v>2058</v>
      </c>
      <c r="G1271">
        <v>1</v>
      </c>
      <c r="H1271">
        <v>0</v>
      </c>
      <c r="I1271">
        <v>0</v>
      </c>
      <c r="J1271">
        <v>29</v>
      </c>
      <c r="K1271">
        <v>1</v>
      </c>
      <c r="L1271">
        <f>Résultats!G$32+Résultats!G$33*Données!C1271+Résultats!G$34*Données!D1271+Résultats!G$35*Données!E1271+Résultats!G$36*Données!F1271+Résultats!G$37*Données!G1271+Résultats!G$38*Données!H1271+Résultats!G$39*Données!I1271</f>
        <v>107399.75986335818</v>
      </c>
      <c r="M1271">
        <f t="shared" si="76"/>
        <v>14600.24013664182</v>
      </c>
      <c r="Q1271">
        <v>45000</v>
      </c>
      <c r="R1271">
        <v>1</v>
      </c>
      <c r="S1271">
        <v>31.60000038146973</v>
      </c>
      <c r="T1271">
        <v>0</v>
      </c>
      <c r="U1271">
        <f t="shared" si="77"/>
        <v>10.933106969717286</v>
      </c>
      <c r="V1271">
        <f t="shared" si="78"/>
        <v>7.9686657004662349</v>
      </c>
      <c r="W1271">
        <v>1</v>
      </c>
      <c r="X1271">
        <v>0</v>
      </c>
      <c r="Y1271">
        <v>0</v>
      </c>
      <c r="Z1271">
        <f>'Résultat (Ln)'!F$30+'Résultat (Ln)'!F$31*Données!S1271+'Résultat (Ln)'!F$32*Données!T1271+'Résultat (Ln)'!F$33*Données!U1271+'Résultat (Ln)'!F$34*Données!V1271+'Résultat (Ln)'!F$35*Données!W1271+'Résultat (Ln)'!F$36*Données!X1271+'Résultat (Ln)'!F$37*Données!Y1271</f>
        <v>8768.6417971501869</v>
      </c>
      <c r="AA1271">
        <f t="shared" si="79"/>
        <v>36231.358202849813</v>
      </c>
    </row>
    <row r="1272" spans="1:27" x14ac:dyDescent="0.25">
      <c r="A1272">
        <v>110000</v>
      </c>
      <c r="B1272">
        <v>1</v>
      </c>
      <c r="C1272">
        <v>30</v>
      </c>
      <c r="D1272">
        <v>0</v>
      </c>
      <c r="E1272">
        <v>170000</v>
      </c>
      <c r="F1272">
        <v>8334</v>
      </c>
      <c r="G1272">
        <v>0</v>
      </c>
      <c r="H1272">
        <v>0</v>
      </c>
      <c r="I1272">
        <v>1</v>
      </c>
      <c r="J1272">
        <v>15</v>
      </c>
      <c r="K1272">
        <v>1</v>
      </c>
      <c r="L1272">
        <f>Résultats!G$32+Résultats!G$33*Données!C1272+Résultats!G$34*Données!D1272+Résultats!G$35*Données!E1272+Résultats!G$36*Données!F1272+Résultats!G$37*Données!G1272+Résultats!G$38*Données!H1272+Résultats!G$39*Données!I1272</f>
        <v>136478.74980694047</v>
      </c>
      <c r="M1272">
        <f t="shared" si="76"/>
        <v>-26478.749806940468</v>
      </c>
      <c r="Q1272">
        <v>122000</v>
      </c>
      <c r="R1272">
        <v>1</v>
      </c>
      <c r="S1272">
        <v>30</v>
      </c>
      <c r="T1272">
        <v>0</v>
      </c>
      <c r="U1272">
        <f t="shared" si="77"/>
        <v>11.849397701591441</v>
      </c>
      <c r="V1272">
        <f t="shared" si="78"/>
        <v>7.6294899163939949</v>
      </c>
      <c r="W1272">
        <v>1</v>
      </c>
      <c r="X1272">
        <v>0</v>
      </c>
      <c r="Y1272">
        <v>0</v>
      </c>
      <c r="Z1272">
        <f>'Résultat (Ln)'!F$30+'Résultat (Ln)'!F$31*Données!S1272+'Résultat (Ln)'!F$32*Données!T1272+'Résultat (Ln)'!F$33*Données!U1272+'Résultat (Ln)'!F$34*Données!V1272+'Résultat (Ln)'!F$35*Données!W1272+'Résultat (Ln)'!F$36*Données!X1272+'Résultat (Ln)'!F$37*Données!Y1272</f>
        <v>95523.225968544764</v>
      </c>
      <c r="AA1272">
        <f t="shared" si="79"/>
        <v>26476.774031455236</v>
      </c>
    </row>
    <row r="1273" spans="1:27" x14ac:dyDescent="0.25">
      <c r="A1273">
        <v>94000</v>
      </c>
      <c r="B1273">
        <v>1</v>
      </c>
      <c r="C1273">
        <v>28</v>
      </c>
      <c r="D1273">
        <v>0</v>
      </c>
      <c r="E1273">
        <v>117000</v>
      </c>
      <c r="F1273">
        <v>2845</v>
      </c>
      <c r="G1273">
        <v>1</v>
      </c>
      <c r="H1273">
        <v>0</v>
      </c>
      <c r="I1273">
        <v>0</v>
      </c>
      <c r="J1273">
        <v>21</v>
      </c>
      <c r="K1273">
        <v>1</v>
      </c>
      <c r="L1273">
        <f>Résultats!G$32+Résultats!G$33*Données!C1273+Résultats!G$34*Données!D1273+Résultats!G$35*Données!E1273+Résultats!G$36*Données!F1273+Résultats!G$37*Données!G1273+Résultats!G$38*Données!H1273+Résultats!G$39*Données!I1273</f>
        <v>95887.532582502274</v>
      </c>
      <c r="M1273">
        <f t="shared" si="76"/>
        <v>-1887.5325825022737</v>
      </c>
      <c r="Q1273">
        <v>110000</v>
      </c>
      <c r="R1273">
        <v>1</v>
      </c>
      <c r="S1273">
        <v>30</v>
      </c>
      <c r="T1273">
        <v>0</v>
      </c>
      <c r="U1273">
        <f t="shared" si="77"/>
        <v>12.043553716032399</v>
      </c>
      <c r="V1273">
        <f t="shared" si="78"/>
        <v>9.0280988119823995</v>
      </c>
      <c r="W1273">
        <v>0</v>
      </c>
      <c r="X1273">
        <v>0</v>
      </c>
      <c r="Y1273">
        <v>1</v>
      </c>
      <c r="Z1273">
        <f>'Résultat (Ln)'!F$30+'Résultat (Ln)'!F$31*Données!S1273+'Résultat (Ln)'!F$32*Données!T1273+'Résultat (Ln)'!F$33*Données!U1273+'Résultat (Ln)'!F$34*Données!V1273+'Résultat (Ln)'!F$35*Données!W1273+'Résultat (Ln)'!F$36*Données!X1273+'Résultat (Ln)'!F$37*Données!Y1273</f>
        <v>165133.88537044733</v>
      </c>
      <c r="AA1273">
        <f t="shared" si="79"/>
        <v>-55133.885370447329</v>
      </c>
    </row>
    <row r="1274" spans="1:27" x14ac:dyDescent="0.25">
      <c r="A1274">
        <v>231000</v>
      </c>
      <c r="B1274">
        <v>1</v>
      </c>
      <c r="C1274">
        <v>35.299999237060547</v>
      </c>
      <c r="D1274">
        <v>1</v>
      </c>
      <c r="E1274">
        <v>289899.99389648438</v>
      </c>
      <c r="F1274">
        <v>9167</v>
      </c>
      <c r="G1274">
        <v>1</v>
      </c>
      <c r="H1274">
        <v>0</v>
      </c>
      <c r="I1274">
        <v>0</v>
      </c>
      <c r="J1274">
        <v>27.440000534057621</v>
      </c>
      <c r="K1274">
        <v>1</v>
      </c>
      <c r="L1274">
        <f>Résultats!G$32+Résultats!G$33*Données!C1274+Résultats!G$34*Données!D1274+Résultats!G$35*Données!E1274+Résultats!G$36*Données!F1274+Résultats!G$37*Données!G1274+Résultats!G$38*Données!H1274+Résultats!G$39*Données!I1274</f>
        <v>202107.98321873407</v>
      </c>
      <c r="M1274">
        <f t="shared" si="76"/>
        <v>28892.016781265935</v>
      </c>
      <c r="Q1274">
        <v>94000</v>
      </c>
      <c r="R1274">
        <v>1</v>
      </c>
      <c r="S1274">
        <v>28</v>
      </c>
      <c r="T1274">
        <v>0</v>
      </c>
      <c r="U1274">
        <f t="shared" si="77"/>
        <v>11.669929213779893</v>
      </c>
      <c r="V1274">
        <f t="shared" si="78"/>
        <v>7.9533183465604314</v>
      </c>
      <c r="W1274">
        <v>1</v>
      </c>
      <c r="X1274">
        <v>0</v>
      </c>
      <c r="Y1274">
        <v>0</v>
      </c>
      <c r="Z1274">
        <f>'Résultat (Ln)'!F$30+'Résultat (Ln)'!F$31*Données!S1274+'Résultat (Ln)'!F$32*Données!T1274+'Résultat (Ln)'!F$33*Données!U1274+'Résultat (Ln)'!F$34*Données!V1274+'Résultat (Ln)'!F$35*Données!W1274+'Résultat (Ln)'!F$36*Données!X1274+'Résultat (Ln)'!F$37*Données!Y1274</f>
        <v>82922.942911693346</v>
      </c>
      <c r="AA1274">
        <f t="shared" si="79"/>
        <v>11077.057088306654</v>
      </c>
    </row>
    <row r="1275" spans="1:27" x14ac:dyDescent="0.25">
      <c r="A1275">
        <v>131000</v>
      </c>
      <c r="B1275">
        <v>1</v>
      </c>
      <c r="C1275">
        <v>33</v>
      </c>
      <c r="D1275">
        <v>0</v>
      </c>
      <c r="E1275">
        <v>310000</v>
      </c>
      <c r="F1275">
        <v>5400</v>
      </c>
      <c r="G1275">
        <v>1</v>
      </c>
      <c r="H1275">
        <v>0</v>
      </c>
      <c r="I1275">
        <v>0</v>
      </c>
      <c r="J1275">
        <v>24</v>
      </c>
      <c r="K1275">
        <v>1</v>
      </c>
      <c r="L1275">
        <f>Résultats!G$32+Résultats!G$33*Données!C1275+Résultats!G$34*Données!D1275+Résultats!G$35*Données!E1275+Résultats!G$36*Données!F1275+Résultats!G$37*Données!G1275+Résultats!G$38*Données!H1275+Résultats!G$39*Données!I1275</f>
        <v>196703.91205141274</v>
      </c>
      <c r="M1275">
        <f t="shared" si="76"/>
        <v>-65703.912051412743</v>
      </c>
      <c r="Q1275">
        <v>231000</v>
      </c>
      <c r="R1275">
        <v>1</v>
      </c>
      <c r="S1275">
        <v>35.299999237060547</v>
      </c>
      <c r="T1275">
        <v>1</v>
      </c>
      <c r="U1275">
        <f t="shared" si="77"/>
        <v>12.577291293855881</v>
      </c>
      <c r="V1275">
        <f t="shared" si="78"/>
        <v>9.1233653579617755</v>
      </c>
      <c r="W1275">
        <v>1</v>
      </c>
      <c r="X1275">
        <v>0</v>
      </c>
      <c r="Y1275">
        <v>0</v>
      </c>
      <c r="Z1275">
        <f>'Résultat (Ln)'!F$30+'Résultat (Ln)'!F$31*Données!S1275+'Résultat (Ln)'!F$32*Données!T1275+'Résultat (Ln)'!F$33*Données!U1275+'Résultat (Ln)'!F$34*Données!V1275+'Résultat (Ln)'!F$35*Données!W1275+'Résultat (Ln)'!F$36*Données!X1275+'Résultat (Ln)'!F$37*Données!Y1275</f>
        <v>226272.74129108901</v>
      </c>
      <c r="AA1275">
        <f t="shared" si="79"/>
        <v>4727.2587089109875</v>
      </c>
    </row>
    <row r="1276" spans="1:27" x14ac:dyDescent="0.25">
      <c r="A1276">
        <v>130000</v>
      </c>
      <c r="B1276">
        <v>1</v>
      </c>
      <c r="C1276">
        <v>12</v>
      </c>
      <c r="D1276">
        <v>0</v>
      </c>
      <c r="E1276">
        <v>209000</v>
      </c>
      <c r="F1276">
        <v>14911</v>
      </c>
      <c r="G1276">
        <v>0</v>
      </c>
      <c r="H1276">
        <v>0</v>
      </c>
      <c r="I1276">
        <v>1</v>
      </c>
      <c r="J1276">
        <v>5</v>
      </c>
      <c r="K1276">
        <v>1</v>
      </c>
      <c r="L1276">
        <f>Résultats!G$32+Résultats!G$33*Données!C1276+Résultats!G$34*Données!D1276+Résultats!G$35*Données!E1276+Résultats!G$36*Données!F1276+Résultats!G$37*Données!G1276+Résultats!G$38*Données!H1276+Résultats!G$39*Données!I1276</f>
        <v>146758.68796562948</v>
      </c>
      <c r="M1276">
        <f t="shared" si="76"/>
        <v>-16758.687965629477</v>
      </c>
      <c r="Q1276">
        <v>131000</v>
      </c>
      <c r="R1276">
        <v>1</v>
      </c>
      <c r="S1276">
        <v>33</v>
      </c>
      <c r="T1276">
        <v>0</v>
      </c>
      <c r="U1276">
        <f t="shared" si="77"/>
        <v>12.644327576461329</v>
      </c>
      <c r="V1276">
        <f t="shared" si="78"/>
        <v>8.5941542325523663</v>
      </c>
      <c r="W1276">
        <v>1</v>
      </c>
      <c r="X1276">
        <v>0</v>
      </c>
      <c r="Y1276">
        <v>0</v>
      </c>
      <c r="Z1276">
        <f>'Résultat (Ln)'!F$30+'Résultat (Ln)'!F$31*Données!S1276+'Résultat (Ln)'!F$32*Données!T1276+'Résultat (Ln)'!F$33*Données!U1276+'Résultat (Ln)'!F$34*Données!V1276+'Résultat (Ln)'!F$35*Données!W1276+'Résultat (Ln)'!F$36*Données!X1276+'Résultat (Ln)'!F$37*Données!Y1276</f>
        <v>211457.08266491324</v>
      </c>
      <c r="AA1276">
        <f t="shared" si="79"/>
        <v>-80457.082664913236</v>
      </c>
    </row>
    <row r="1277" spans="1:27" x14ac:dyDescent="0.25">
      <c r="A1277">
        <v>80000</v>
      </c>
      <c r="B1277">
        <v>1</v>
      </c>
      <c r="C1277">
        <v>29.60000038146973</v>
      </c>
      <c r="D1277">
        <v>0</v>
      </c>
      <c r="E1277">
        <v>135000</v>
      </c>
      <c r="F1277">
        <v>3183</v>
      </c>
      <c r="G1277">
        <v>0</v>
      </c>
      <c r="H1277">
        <v>0</v>
      </c>
      <c r="I1277">
        <v>0</v>
      </c>
      <c r="J1277">
        <v>27.54000091552734</v>
      </c>
      <c r="K1277">
        <v>0</v>
      </c>
      <c r="L1277">
        <f>Résultats!G$32+Résultats!G$33*Données!C1277+Résultats!G$34*Données!D1277+Résultats!G$35*Données!E1277+Résultats!G$36*Données!F1277+Résultats!G$37*Données!G1277+Résultats!G$38*Données!H1277+Résultats!G$39*Données!I1277</f>
        <v>99768.918111957595</v>
      </c>
      <c r="M1277">
        <f t="shared" si="76"/>
        <v>-19768.918111957595</v>
      </c>
      <c r="Q1277">
        <v>130000</v>
      </c>
      <c r="R1277">
        <v>1</v>
      </c>
      <c r="S1277">
        <v>12</v>
      </c>
      <c r="T1277">
        <v>0</v>
      </c>
      <c r="U1277">
        <f t="shared" si="77"/>
        <v>12.250089530946948</v>
      </c>
      <c r="V1277">
        <f t="shared" si="78"/>
        <v>9.6098544745909074</v>
      </c>
      <c r="W1277">
        <v>0</v>
      </c>
      <c r="X1277">
        <v>0</v>
      </c>
      <c r="Y1277">
        <v>1</v>
      </c>
      <c r="Z1277">
        <f>'Résultat (Ln)'!F$30+'Résultat (Ln)'!F$31*Données!S1277+'Résultat (Ln)'!F$32*Données!T1277+'Résultat (Ln)'!F$33*Données!U1277+'Résultat (Ln)'!F$34*Données!V1277+'Résultat (Ln)'!F$35*Données!W1277+'Résultat (Ln)'!F$36*Données!X1277+'Résultat (Ln)'!F$37*Données!Y1277</f>
        <v>181592.6704006705</v>
      </c>
      <c r="AA1277">
        <f t="shared" si="79"/>
        <v>-51592.670400670497</v>
      </c>
    </row>
    <row r="1278" spans="1:27" x14ac:dyDescent="0.25">
      <c r="A1278">
        <v>65000</v>
      </c>
      <c r="B1278">
        <v>1</v>
      </c>
      <c r="C1278">
        <v>49</v>
      </c>
      <c r="D1278">
        <v>0</v>
      </c>
      <c r="E1278">
        <v>87000</v>
      </c>
      <c r="F1278">
        <v>2755</v>
      </c>
      <c r="G1278">
        <v>0</v>
      </c>
      <c r="H1278">
        <v>0</v>
      </c>
      <c r="I1278">
        <v>1</v>
      </c>
      <c r="J1278">
        <v>25</v>
      </c>
      <c r="K1278">
        <v>1</v>
      </c>
      <c r="L1278">
        <f>Résultats!G$32+Résultats!G$33*Données!C1278+Résultats!G$34*Données!D1278+Résultats!G$35*Données!E1278+Résultats!G$36*Données!F1278+Résultats!G$37*Données!G1278+Résultats!G$38*Données!H1278+Résultats!G$39*Données!I1278</f>
        <v>108735.44999679821</v>
      </c>
      <c r="M1278">
        <f t="shared" si="76"/>
        <v>-43735.449996798212</v>
      </c>
      <c r="Q1278">
        <v>80000</v>
      </c>
      <c r="R1278">
        <v>1</v>
      </c>
      <c r="S1278">
        <v>29.60000038146973</v>
      </c>
      <c r="T1278">
        <v>0</v>
      </c>
      <c r="U1278">
        <f t="shared" si="77"/>
        <v>11.813030057420567</v>
      </c>
      <c r="V1278">
        <f t="shared" si="78"/>
        <v>8.065579427282092</v>
      </c>
      <c r="W1278">
        <v>0</v>
      </c>
      <c r="X1278">
        <v>0</v>
      </c>
      <c r="Y1278">
        <v>0</v>
      </c>
      <c r="Z1278">
        <f>'Résultat (Ln)'!F$30+'Résultat (Ln)'!F$31*Données!S1278+'Résultat (Ln)'!F$32*Données!T1278+'Résultat (Ln)'!F$33*Données!U1278+'Résultat (Ln)'!F$34*Données!V1278+'Résultat (Ln)'!F$35*Données!W1278+'Résultat (Ln)'!F$36*Données!X1278+'Résultat (Ln)'!F$37*Données!Y1278</f>
        <v>98852.405068884254</v>
      </c>
      <c r="AA1278">
        <f t="shared" si="79"/>
        <v>-18852.405068884254</v>
      </c>
    </row>
    <row r="1279" spans="1:27" x14ac:dyDescent="0.25">
      <c r="A1279">
        <v>103000</v>
      </c>
      <c r="B1279">
        <v>1</v>
      </c>
      <c r="C1279">
        <v>25.29999923706055</v>
      </c>
      <c r="D1279">
        <v>0</v>
      </c>
      <c r="E1279">
        <v>163000</v>
      </c>
      <c r="F1279">
        <v>2500</v>
      </c>
      <c r="G1279">
        <v>0</v>
      </c>
      <c r="H1279">
        <v>0</v>
      </c>
      <c r="I1279">
        <v>1</v>
      </c>
      <c r="J1279">
        <v>16.79999923706055</v>
      </c>
      <c r="K1279">
        <v>1</v>
      </c>
      <c r="L1279">
        <f>Résultats!G$32+Résultats!G$33*Données!C1279+Résultats!G$34*Données!D1279+Résultats!G$35*Données!E1279+Résultats!G$36*Données!F1279+Résultats!G$37*Données!G1279+Résultats!G$38*Données!H1279+Résultats!G$39*Données!I1279</f>
        <v>116506.27377619338</v>
      </c>
      <c r="M1279">
        <f t="shared" si="76"/>
        <v>-13506.273776193382</v>
      </c>
      <c r="Q1279">
        <v>65000</v>
      </c>
      <c r="R1279">
        <v>1</v>
      </c>
      <c r="S1279">
        <v>49</v>
      </c>
      <c r="T1279">
        <v>0</v>
      </c>
      <c r="U1279">
        <f t="shared" si="77"/>
        <v>11.373663397636721</v>
      </c>
      <c r="V1279">
        <f t="shared" si="78"/>
        <v>7.9211727215870145</v>
      </c>
      <c r="W1279">
        <v>0</v>
      </c>
      <c r="X1279">
        <v>0</v>
      </c>
      <c r="Y1279">
        <v>1</v>
      </c>
      <c r="Z1279">
        <f>'Résultat (Ln)'!F$30+'Résultat (Ln)'!F$31*Données!S1279+'Résultat (Ln)'!F$32*Données!T1279+'Résultat (Ln)'!F$33*Données!U1279+'Résultat (Ln)'!F$34*Données!V1279+'Résultat (Ln)'!F$35*Données!W1279+'Résultat (Ln)'!F$36*Données!X1279+'Résultat (Ln)'!F$37*Données!Y1279</f>
        <v>85498.771824690717</v>
      </c>
      <c r="AA1279">
        <f t="shared" si="79"/>
        <v>-20498.771824690717</v>
      </c>
    </row>
    <row r="1280" spans="1:27" x14ac:dyDescent="0.25">
      <c r="A1280">
        <v>138000</v>
      </c>
      <c r="B1280">
        <v>1</v>
      </c>
      <c r="C1280">
        <v>39</v>
      </c>
      <c r="D1280">
        <v>0</v>
      </c>
      <c r="E1280">
        <v>173000</v>
      </c>
      <c r="F1280">
        <v>2860</v>
      </c>
      <c r="G1280">
        <v>0</v>
      </c>
      <c r="H1280">
        <v>0</v>
      </c>
      <c r="I1280">
        <v>0</v>
      </c>
      <c r="J1280">
        <v>24</v>
      </c>
      <c r="K1280">
        <v>1</v>
      </c>
      <c r="L1280">
        <f>Résultats!G$32+Résultats!G$33*Données!C1280+Résultats!G$34*Données!D1280+Résultats!G$35*Données!E1280+Résultats!G$36*Données!F1280+Résultats!G$37*Données!G1280+Résultats!G$38*Données!H1280+Résultats!G$39*Données!I1280</f>
        <v>127684.73812790176</v>
      </c>
      <c r="M1280">
        <f t="shared" si="76"/>
        <v>10315.261872098243</v>
      </c>
      <c r="Q1280">
        <v>103000</v>
      </c>
      <c r="R1280">
        <v>1</v>
      </c>
      <c r="S1280">
        <v>25.29999923706055</v>
      </c>
      <c r="T1280">
        <v>0</v>
      </c>
      <c r="U1280">
        <f t="shared" si="77"/>
        <v>12.0015054797889</v>
      </c>
      <c r="V1280">
        <f t="shared" si="78"/>
        <v>7.8240460108562919</v>
      </c>
      <c r="W1280">
        <v>0</v>
      </c>
      <c r="X1280">
        <v>0</v>
      </c>
      <c r="Y1280">
        <v>1</v>
      </c>
      <c r="Z1280">
        <f>'Résultat (Ln)'!F$30+'Résultat (Ln)'!F$31*Données!S1280+'Résultat (Ln)'!F$32*Données!T1280+'Résultat (Ln)'!F$33*Données!U1280+'Résultat (Ln)'!F$34*Données!V1280+'Résultat (Ln)'!F$35*Données!W1280+'Résultat (Ln)'!F$36*Données!X1280+'Résultat (Ln)'!F$37*Données!Y1280</f>
        <v>121114.29190165305</v>
      </c>
      <c r="AA1280">
        <f t="shared" si="79"/>
        <v>-18114.29190165305</v>
      </c>
    </row>
    <row r="1281" spans="1:27" x14ac:dyDescent="0.25">
      <c r="A1281">
        <v>160000</v>
      </c>
      <c r="B1281">
        <v>1</v>
      </c>
      <c r="C1281">
        <v>23</v>
      </c>
      <c r="D1281">
        <v>0</v>
      </c>
      <c r="E1281">
        <v>270000</v>
      </c>
      <c r="F1281">
        <v>9955</v>
      </c>
      <c r="G1281">
        <v>1</v>
      </c>
      <c r="H1281">
        <v>0</v>
      </c>
      <c r="I1281">
        <v>0</v>
      </c>
      <c r="J1281">
        <v>20</v>
      </c>
      <c r="K1281">
        <v>1</v>
      </c>
      <c r="L1281">
        <f>Résultats!G$32+Résultats!G$33*Données!C1281+Résultats!G$34*Données!D1281+Résultats!G$35*Données!E1281+Résultats!G$36*Données!F1281+Résultats!G$37*Données!G1281+Résultats!G$38*Données!H1281+Résultats!G$39*Données!I1281</f>
        <v>175365.69896434835</v>
      </c>
      <c r="M1281">
        <f t="shared" si="76"/>
        <v>-15365.698964348354</v>
      </c>
      <c r="Q1281">
        <v>138000</v>
      </c>
      <c r="R1281">
        <v>1</v>
      </c>
      <c r="S1281">
        <v>39</v>
      </c>
      <c r="T1281">
        <v>0</v>
      </c>
      <c r="U1281">
        <f t="shared" si="77"/>
        <v>12.061046873479915</v>
      </c>
      <c r="V1281">
        <f t="shared" si="78"/>
        <v>7.9585769038138983</v>
      </c>
      <c r="W1281">
        <v>0</v>
      </c>
      <c r="X1281">
        <v>0</v>
      </c>
      <c r="Y1281">
        <v>0</v>
      </c>
      <c r="Z1281">
        <f>'Résultat (Ln)'!F$30+'Résultat (Ln)'!F$31*Données!S1281+'Résultat (Ln)'!F$32*Données!T1281+'Résultat (Ln)'!F$33*Données!U1281+'Résultat (Ln)'!F$34*Données!V1281+'Résultat (Ln)'!F$35*Données!W1281+'Résultat (Ln)'!F$36*Données!X1281+'Résultat (Ln)'!F$37*Données!Y1281</f>
        <v>133924.92217612566</v>
      </c>
      <c r="AA1281">
        <f t="shared" si="79"/>
        <v>4075.0778238743369</v>
      </c>
    </row>
    <row r="1282" spans="1:27" x14ac:dyDescent="0.25">
      <c r="A1282">
        <v>53000</v>
      </c>
      <c r="B1282">
        <v>1</v>
      </c>
      <c r="C1282">
        <v>29</v>
      </c>
      <c r="D1282">
        <v>0</v>
      </c>
      <c r="E1282">
        <v>66000</v>
      </c>
      <c r="F1282">
        <v>1963</v>
      </c>
      <c r="G1282">
        <v>0</v>
      </c>
      <c r="H1282">
        <v>0</v>
      </c>
      <c r="I1282">
        <v>0</v>
      </c>
      <c r="J1282">
        <v>27</v>
      </c>
      <c r="K1282">
        <v>0</v>
      </c>
      <c r="L1282">
        <f>Résultats!G$32+Résultats!G$33*Données!C1282+Résultats!G$34*Données!D1282+Résultats!G$35*Données!E1282+Résultats!G$36*Données!F1282+Résultats!G$37*Données!G1282+Résultats!G$38*Données!H1282+Résultats!G$39*Données!I1282</f>
        <v>64495.839321671112</v>
      </c>
      <c r="M1282">
        <f t="shared" si="76"/>
        <v>-11495.839321671112</v>
      </c>
      <c r="Q1282">
        <v>160000</v>
      </c>
      <c r="R1282">
        <v>1</v>
      </c>
      <c r="S1282">
        <v>23</v>
      </c>
      <c r="T1282">
        <v>0</v>
      </c>
      <c r="U1282">
        <f t="shared" si="77"/>
        <v>12.506177237980511</v>
      </c>
      <c r="V1282">
        <f t="shared" si="78"/>
        <v>9.2058302164982972</v>
      </c>
      <c r="W1282">
        <v>1</v>
      </c>
      <c r="X1282">
        <v>0</v>
      </c>
      <c r="Y1282">
        <v>0</v>
      </c>
      <c r="Z1282">
        <f>'Résultat (Ln)'!F$30+'Résultat (Ln)'!F$31*Données!S1282+'Résultat (Ln)'!F$32*Données!T1282+'Résultat (Ln)'!F$33*Données!U1282+'Résultat (Ln)'!F$34*Données!V1282+'Résultat (Ln)'!F$35*Données!W1282+'Résultat (Ln)'!F$36*Données!X1282+'Résultat (Ln)'!F$37*Données!Y1282</f>
        <v>201582.50714683146</v>
      </c>
      <c r="AA1282">
        <f t="shared" si="79"/>
        <v>-41582.507146831456</v>
      </c>
    </row>
    <row r="1283" spans="1:27" x14ac:dyDescent="0.25">
      <c r="A1283">
        <v>194000</v>
      </c>
      <c r="B1283">
        <v>1</v>
      </c>
      <c r="C1283">
        <v>35</v>
      </c>
      <c r="D1283">
        <v>0</v>
      </c>
      <c r="E1283">
        <v>215000</v>
      </c>
      <c r="F1283">
        <v>7441</v>
      </c>
      <c r="G1283">
        <v>0</v>
      </c>
      <c r="H1283">
        <v>1</v>
      </c>
      <c r="I1283">
        <v>0</v>
      </c>
      <c r="J1283">
        <v>30</v>
      </c>
      <c r="K1283">
        <v>0</v>
      </c>
      <c r="L1283">
        <f>Résultats!G$32+Résultats!G$33*Données!C1283+Résultats!G$34*Données!D1283+Résultats!G$35*Données!E1283+Résultats!G$36*Données!F1283+Résultats!G$37*Données!G1283+Résultats!G$38*Données!H1283+Résultats!G$39*Données!I1283</f>
        <v>149953.82133903087</v>
      </c>
      <c r="M1283">
        <f t="shared" ref="M1283:M1346" si="80">A1283-L1283</f>
        <v>44046.178660969133</v>
      </c>
      <c r="Q1283">
        <v>53000</v>
      </c>
      <c r="R1283">
        <v>1</v>
      </c>
      <c r="S1283">
        <v>29</v>
      </c>
      <c r="T1283">
        <v>0</v>
      </c>
      <c r="U1283">
        <f t="shared" si="77"/>
        <v>11.097410021008562</v>
      </c>
      <c r="V1283">
        <f t="shared" si="78"/>
        <v>7.5822291942764615</v>
      </c>
      <c r="W1283">
        <v>0</v>
      </c>
      <c r="X1283">
        <v>0</v>
      </c>
      <c r="Y1283">
        <v>0</v>
      </c>
      <c r="Z1283">
        <f>'Résultat (Ln)'!F$30+'Résultat (Ln)'!F$31*Données!S1283+'Résultat (Ln)'!F$32*Données!T1283+'Résultat (Ln)'!F$33*Données!U1283+'Résultat (Ln)'!F$34*Données!V1283+'Résultat (Ln)'!F$35*Données!W1283+'Résultat (Ln)'!F$36*Données!X1283+'Résultat (Ln)'!F$37*Données!Y1283</f>
        <v>7851.9443743600859</v>
      </c>
      <c r="AA1283">
        <f t="shared" si="79"/>
        <v>45148.055625639914</v>
      </c>
    </row>
    <row r="1284" spans="1:27" x14ac:dyDescent="0.25">
      <c r="A1284">
        <v>128000</v>
      </c>
      <c r="B1284">
        <v>1</v>
      </c>
      <c r="C1284">
        <v>32</v>
      </c>
      <c r="D1284">
        <v>0</v>
      </c>
      <c r="E1284">
        <v>135000</v>
      </c>
      <c r="F1284">
        <v>3761</v>
      </c>
      <c r="G1284">
        <v>1</v>
      </c>
      <c r="H1284">
        <v>0</v>
      </c>
      <c r="I1284">
        <v>0</v>
      </c>
      <c r="J1284">
        <v>24</v>
      </c>
      <c r="K1284">
        <v>1</v>
      </c>
      <c r="L1284">
        <f>Résultats!G$32+Résultats!G$33*Données!C1284+Résultats!G$34*Données!D1284+Résultats!G$35*Données!E1284+Résultats!G$36*Données!F1284+Résultats!G$37*Données!G1284+Résultats!G$38*Données!H1284+Résultats!G$39*Données!I1284</f>
        <v>110662.3861621127</v>
      </c>
      <c r="M1284">
        <f t="shared" si="80"/>
        <v>17337.6138378873</v>
      </c>
      <c r="Q1284">
        <v>194000</v>
      </c>
      <c r="R1284">
        <v>1</v>
      </c>
      <c r="S1284">
        <v>35</v>
      </c>
      <c r="T1284">
        <v>0</v>
      </c>
      <c r="U1284">
        <f t="shared" ref="U1284:U1347" si="81">LN(E1283)</f>
        <v>12.2783933071098</v>
      </c>
      <c r="V1284">
        <f t="shared" ref="V1284:V1347" si="82">LN(F1283)</f>
        <v>8.9147605273972612</v>
      </c>
      <c r="W1284">
        <v>0</v>
      </c>
      <c r="X1284">
        <v>1</v>
      </c>
      <c r="Y1284">
        <v>0</v>
      </c>
      <c r="Z1284">
        <f>'Résultat (Ln)'!F$30+'Résultat (Ln)'!F$31*Données!S1284+'Résultat (Ln)'!F$32*Données!T1284+'Résultat (Ln)'!F$33*Données!U1284+'Résultat (Ln)'!F$34*Données!V1284+'Résultat (Ln)'!F$35*Données!W1284+'Résultat (Ln)'!F$36*Données!X1284+'Résultat (Ln)'!F$37*Données!Y1284</f>
        <v>178974.72114577782</v>
      </c>
      <c r="AA1284">
        <f t="shared" ref="AA1284:AA1347" si="83">Q1284-Z1284</f>
        <v>15025.278854222182</v>
      </c>
    </row>
    <row r="1285" spans="1:27" x14ac:dyDescent="0.25">
      <c r="A1285">
        <v>112000</v>
      </c>
      <c r="B1285">
        <v>1</v>
      </c>
      <c r="C1285">
        <v>36</v>
      </c>
      <c r="D1285">
        <v>0</v>
      </c>
      <c r="E1285">
        <v>140000</v>
      </c>
      <c r="F1285">
        <v>3305</v>
      </c>
      <c r="G1285">
        <v>0</v>
      </c>
      <c r="H1285">
        <v>0</v>
      </c>
      <c r="I1285">
        <v>0</v>
      </c>
      <c r="J1285">
        <v>23</v>
      </c>
      <c r="K1285">
        <v>1</v>
      </c>
      <c r="L1285">
        <f>Résultats!G$32+Résultats!G$33*Données!C1285+Résultats!G$34*Données!D1285+Résultats!G$35*Données!E1285+Résultats!G$36*Données!F1285+Résultats!G$37*Données!G1285+Résultats!G$38*Données!H1285+Résultats!G$39*Données!I1285</f>
        <v>109691.58450211344</v>
      </c>
      <c r="M1285">
        <f t="shared" si="80"/>
        <v>2308.4154978865554</v>
      </c>
      <c r="Q1285">
        <v>128000</v>
      </c>
      <c r="R1285">
        <v>1</v>
      </c>
      <c r="S1285">
        <v>32</v>
      </c>
      <c r="T1285">
        <v>0</v>
      </c>
      <c r="U1285">
        <f t="shared" si="81"/>
        <v>11.813030057420567</v>
      </c>
      <c r="V1285">
        <f t="shared" si="82"/>
        <v>8.2324401584703359</v>
      </c>
      <c r="W1285">
        <v>1</v>
      </c>
      <c r="X1285">
        <v>0</v>
      </c>
      <c r="Y1285">
        <v>0</v>
      </c>
      <c r="Z1285">
        <f>'Résultat (Ln)'!F$30+'Résultat (Ln)'!F$31*Données!S1285+'Résultat (Ln)'!F$32*Données!T1285+'Résultat (Ln)'!F$33*Données!U1285+'Résultat (Ln)'!F$34*Données!V1285+'Résultat (Ln)'!F$35*Données!W1285+'Résultat (Ln)'!F$36*Données!X1285+'Résultat (Ln)'!F$37*Données!Y1285</f>
        <v>110979.07530020429</v>
      </c>
      <c r="AA1285">
        <f t="shared" si="83"/>
        <v>17020.924699795709</v>
      </c>
    </row>
    <row r="1286" spans="1:27" x14ac:dyDescent="0.25">
      <c r="A1286">
        <v>141000</v>
      </c>
      <c r="B1286">
        <v>1</v>
      </c>
      <c r="C1286">
        <v>36</v>
      </c>
      <c r="D1286">
        <v>0</v>
      </c>
      <c r="E1286">
        <v>152000</v>
      </c>
      <c r="F1286">
        <v>1755</v>
      </c>
      <c r="G1286">
        <v>1</v>
      </c>
      <c r="H1286">
        <v>0</v>
      </c>
      <c r="I1286">
        <v>0</v>
      </c>
      <c r="J1286">
        <v>35</v>
      </c>
      <c r="K1286">
        <v>1</v>
      </c>
      <c r="L1286">
        <f>Résultats!G$32+Résultats!G$33*Données!C1286+Résultats!G$34*Données!D1286+Résultats!G$35*Données!E1286+Résultats!G$36*Données!F1286+Résultats!G$37*Données!G1286+Résultats!G$38*Données!H1286+Résultats!G$39*Données!I1286</f>
        <v>119308.07179031198</v>
      </c>
      <c r="M1286">
        <f t="shared" si="80"/>
        <v>21691.92820968802</v>
      </c>
      <c r="Q1286">
        <v>112000</v>
      </c>
      <c r="R1286">
        <v>1</v>
      </c>
      <c r="S1286">
        <v>36</v>
      </c>
      <c r="T1286">
        <v>0</v>
      </c>
      <c r="U1286">
        <f t="shared" si="81"/>
        <v>11.849397701591441</v>
      </c>
      <c r="V1286">
        <f t="shared" si="82"/>
        <v>8.1031917522857864</v>
      </c>
      <c r="W1286">
        <v>0</v>
      </c>
      <c r="X1286">
        <v>0</v>
      </c>
      <c r="Y1286">
        <v>0</v>
      </c>
      <c r="Z1286">
        <f>'Résultat (Ln)'!F$30+'Résultat (Ln)'!F$31*Données!S1286+'Résultat (Ln)'!F$32*Données!T1286+'Résultat (Ln)'!F$33*Données!U1286+'Résultat (Ln)'!F$34*Données!V1286+'Résultat (Ln)'!F$35*Données!W1286+'Résultat (Ln)'!F$36*Données!X1286+'Résultat (Ln)'!F$37*Données!Y1286</f>
        <v>111626.78449944002</v>
      </c>
      <c r="AA1286">
        <f t="shared" si="83"/>
        <v>373.21550055997795</v>
      </c>
    </row>
    <row r="1287" spans="1:27" x14ac:dyDescent="0.25">
      <c r="A1287">
        <v>115000</v>
      </c>
      <c r="B1287">
        <v>1</v>
      </c>
      <c r="C1287">
        <v>35.200000762939453</v>
      </c>
      <c r="D1287">
        <v>0</v>
      </c>
      <c r="E1287">
        <v>129000</v>
      </c>
      <c r="F1287">
        <v>4547</v>
      </c>
      <c r="G1287">
        <v>0</v>
      </c>
      <c r="H1287">
        <v>0</v>
      </c>
      <c r="I1287">
        <v>1</v>
      </c>
      <c r="J1287">
        <v>28.89999961853027</v>
      </c>
      <c r="K1287">
        <v>0</v>
      </c>
      <c r="L1287">
        <f>Résultats!G$32+Résultats!G$33*Données!C1287+Résultats!G$34*Données!D1287+Résultats!G$35*Données!E1287+Résultats!G$36*Données!F1287+Résultats!G$37*Données!G1287+Résultats!G$38*Données!H1287+Résultats!G$39*Données!I1287</f>
        <v>115968.35188502391</v>
      </c>
      <c r="M1287">
        <f t="shared" si="80"/>
        <v>-968.3518850239052</v>
      </c>
      <c r="Q1287">
        <v>141000</v>
      </c>
      <c r="R1287">
        <v>1</v>
      </c>
      <c r="S1287">
        <v>36</v>
      </c>
      <c r="T1287">
        <v>0</v>
      </c>
      <c r="U1287">
        <f t="shared" si="81"/>
        <v>11.931635799828413</v>
      </c>
      <c r="V1287">
        <f t="shared" si="82"/>
        <v>7.4702241358999659</v>
      </c>
      <c r="W1287">
        <v>1</v>
      </c>
      <c r="X1287">
        <v>0</v>
      </c>
      <c r="Y1287">
        <v>0</v>
      </c>
      <c r="Z1287">
        <f>'Résultat (Ln)'!F$30+'Résultat (Ln)'!F$31*Données!S1287+'Résultat (Ln)'!F$32*Données!T1287+'Résultat (Ln)'!F$33*Données!U1287+'Résultat (Ln)'!F$34*Données!V1287+'Résultat (Ln)'!F$35*Données!W1287+'Résultat (Ln)'!F$36*Données!X1287+'Résultat (Ln)'!F$37*Données!Y1287</f>
        <v>107204.29621167424</v>
      </c>
      <c r="AA1287">
        <f t="shared" si="83"/>
        <v>33795.703788325758</v>
      </c>
    </row>
    <row r="1288" spans="1:27" x14ac:dyDescent="0.25">
      <c r="A1288">
        <v>28000</v>
      </c>
      <c r="B1288">
        <v>1</v>
      </c>
      <c r="C1288">
        <v>24.20000076293945</v>
      </c>
      <c r="D1288">
        <v>0</v>
      </c>
      <c r="E1288">
        <v>142000</v>
      </c>
      <c r="F1288">
        <v>1173</v>
      </c>
      <c r="G1288">
        <v>1</v>
      </c>
      <c r="H1288">
        <v>6</v>
      </c>
      <c r="I1288">
        <v>0</v>
      </c>
      <c r="J1288">
        <v>17.70000076293945</v>
      </c>
      <c r="K1288">
        <v>1</v>
      </c>
      <c r="L1288">
        <f>Résultats!G$32+Résultats!G$33*Données!C1288+Résultats!G$34*Données!D1288+Résultats!G$35*Données!E1288+Résultats!G$36*Données!F1288+Résultats!G$37*Données!G1288+Résultats!G$38*Données!H1288+Résultats!G$39*Données!I1288</f>
        <v>90204.778384428384</v>
      </c>
      <c r="M1288">
        <f t="shared" si="80"/>
        <v>-62204.778384428384</v>
      </c>
      <c r="Q1288">
        <v>115000</v>
      </c>
      <c r="R1288">
        <v>1</v>
      </c>
      <c r="S1288">
        <v>35.200000762939453</v>
      </c>
      <c r="T1288">
        <v>0</v>
      </c>
      <c r="U1288">
        <f t="shared" si="81"/>
        <v>11.76756768334381</v>
      </c>
      <c r="V1288">
        <f t="shared" si="82"/>
        <v>8.4222229538250097</v>
      </c>
      <c r="W1288">
        <v>0</v>
      </c>
      <c r="X1288">
        <v>0</v>
      </c>
      <c r="Y1288">
        <v>1</v>
      </c>
      <c r="Z1288">
        <f>'Résultat (Ln)'!F$30+'Résultat (Ln)'!F$31*Données!S1288+'Résultat (Ln)'!F$32*Données!T1288+'Résultat (Ln)'!F$33*Données!U1288+'Résultat (Ln)'!F$34*Données!V1288+'Résultat (Ln)'!F$35*Données!W1288+'Résultat (Ln)'!F$36*Données!X1288+'Résultat (Ln)'!F$37*Données!Y1288</f>
        <v>124911.75142436477</v>
      </c>
      <c r="AA1288">
        <f t="shared" si="83"/>
        <v>-9911.7514243647747</v>
      </c>
    </row>
    <row r="1289" spans="1:27" x14ac:dyDescent="0.25">
      <c r="A1289">
        <v>124000</v>
      </c>
      <c r="B1289">
        <v>1</v>
      </c>
      <c r="C1289">
        <v>37</v>
      </c>
      <c r="D1289">
        <v>0</v>
      </c>
      <c r="E1289">
        <v>155000</v>
      </c>
      <c r="F1289">
        <v>3055</v>
      </c>
      <c r="G1289">
        <v>0</v>
      </c>
      <c r="H1289">
        <v>0</v>
      </c>
      <c r="I1289">
        <v>1</v>
      </c>
      <c r="J1289">
        <v>28</v>
      </c>
      <c r="K1289">
        <v>1</v>
      </c>
      <c r="L1289">
        <f>Résultats!G$32+Résultats!G$33*Données!C1289+Résultats!G$34*Données!D1289+Résultats!G$35*Données!E1289+Résultats!G$36*Données!F1289+Résultats!G$37*Données!G1289+Résultats!G$38*Données!H1289+Résultats!G$39*Données!I1289</f>
        <v>127285.56392685033</v>
      </c>
      <c r="M1289">
        <f t="shared" si="80"/>
        <v>-3285.5639268503292</v>
      </c>
      <c r="Q1289">
        <v>28000</v>
      </c>
      <c r="R1289">
        <v>1</v>
      </c>
      <c r="S1289">
        <v>24.20000076293945</v>
      </c>
      <c r="T1289">
        <v>0</v>
      </c>
      <c r="U1289">
        <f t="shared" si="81"/>
        <v>11.863582336583399</v>
      </c>
      <c r="V1289">
        <f t="shared" si="82"/>
        <v>7.0673198486534758</v>
      </c>
      <c r="W1289">
        <v>1</v>
      </c>
      <c r="X1289">
        <v>6</v>
      </c>
      <c r="Y1289">
        <v>0</v>
      </c>
      <c r="Z1289">
        <f>'Résultat (Ln)'!F$30+'Résultat (Ln)'!F$31*Données!S1289+'Résultat (Ln)'!F$32*Données!T1289+'Résultat (Ln)'!F$33*Données!U1289+'Résultat (Ln)'!F$34*Données!V1289+'Résultat (Ln)'!F$35*Données!W1289+'Résultat (Ln)'!F$36*Données!X1289+'Résultat (Ln)'!F$37*Données!Y1289</f>
        <v>73124.179539684905</v>
      </c>
      <c r="AA1289">
        <f t="shared" si="83"/>
        <v>-45124.179539684905</v>
      </c>
    </row>
    <row r="1290" spans="1:27" x14ac:dyDescent="0.25">
      <c r="A1290">
        <v>115000</v>
      </c>
      <c r="B1290">
        <v>1</v>
      </c>
      <c r="C1290">
        <v>37.299999237060547</v>
      </c>
      <c r="D1290">
        <v>0</v>
      </c>
      <c r="E1290">
        <v>128000</v>
      </c>
      <c r="F1290">
        <v>2167</v>
      </c>
      <c r="G1290">
        <v>1</v>
      </c>
      <c r="H1290">
        <v>0</v>
      </c>
      <c r="I1290">
        <v>1</v>
      </c>
      <c r="J1290">
        <v>26.489999771118161</v>
      </c>
      <c r="K1290">
        <v>1</v>
      </c>
      <c r="L1290">
        <f>Résultats!G$32+Résultats!G$33*Données!C1290+Résultats!G$34*Données!D1290+Résultats!G$35*Données!E1290+Résultats!G$36*Données!F1290+Résultats!G$37*Données!G1290+Résultats!G$38*Données!H1290+Résultats!G$39*Données!I1290</f>
        <v>120318.28921031643</v>
      </c>
      <c r="M1290">
        <f t="shared" si="80"/>
        <v>-5318.289210316434</v>
      </c>
      <c r="Q1290">
        <v>124000</v>
      </c>
      <c r="R1290">
        <v>1</v>
      </c>
      <c r="S1290">
        <v>37</v>
      </c>
      <c r="T1290">
        <v>0</v>
      </c>
      <c r="U1290">
        <f t="shared" si="81"/>
        <v>11.951180395901384</v>
      </c>
      <c r="V1290">
        <f t="shared" si="82"/>
        <v>8.0245348716056952</v>
      </c>
      <c r="W1290">
        <v>0</v>
      </c>
      <c r="X1290">
        <v>0</v>
      </c>
      <c r="Y1290">
        <v>1</v>
      </c>
      <c r="Z1290">
        <f>'Résultat (Ln)'!F$30+'Résultat (Ln)'!F$31*Données!S1290+'Résultat (Ln)'!F$32*Données!T1290+'Résultat (Ln)'!F$33*Données!U1290+'Résultat (Ln)'!F$34*Données!V1290+'Résultat (Ln)'!F$35*Données!W1290+'Résultat (Ln)'!F$36*Données!X1290+'Résultat (Ln)'!F$37*Données!Y1290</f>
        <v>135640.41537000996</v>
      </c>
      <c r="AA1290">
        <f t="shared" si="83"/>
        <v>-11640.415370009956</v>
      </c>
    </row>
    <row r="1291" spans="1:27" x14ac:dyDescent="0.25">
      <c r="A1291">
        <v>198000</v>
      </c>
      <c r="B1291">
        <v>1</v>
      </c>
      <c r="C1291">
        <v>29</v>
      </c>
      <c r="D1291">
        <v>0</v>
      </c>
      <c r="E1291">
        <v>220000</v>
      </c>
      <c r="F1291">
        <v>4197</v>
      </c>
      <c r="G1291">
        <v>1</v>
      </c>
      <c r="H1291">
        <v>0</v>
      </c>
      <c r="I1291">
        <v>0</v>
      </c>
      <c r="J1291">
        <v>28</v>
      </c>
      <c r="K1291">
        <v>1</v>
      </c>
      <c r="L1291">
        <f>Résultats!G$32+Résultats!G$33*Données!C1291+Résultats!G$34*Données!D1291+Résultats!G$35*Données!E1291+Résultats!G$36*Données!F1291+Résultats!G$37*Données!G1291+Résultats!G$38*Données!H1291+Résultats!G$39*Données!I1291</f>
        <v>147752.27815340174</v>
      </c>
      <c r="M1291">
        <f t="shared" si="80"/>
        <v>50247.721846598259</v>
      </c>
      <c r="Q1291">
        <v>115000</v>
      </c>
      <c r="R1291">
        <v>1</v>
      </c>
      <c r="S1291">
        <v>37.299999237060547</v>
      </c>
      <c r="T1291">
        <v>0</v>
      </c>
      <c r="U1291">
        <f t="shared" si="81"/>
        <v>11.759785542901755</v>
      </c>
      <c r="V1291">
        <f t="shared" si="82"/>
        <v>7.6810990015363592</v>
      </c>
      <c r="W1291">
        <v>1</v>
      </c>
      <c r="X1291">
        <v>0</v>
      </c>
      <c r="Y1291">
        <v>1</v>
      </c>
      <c r="Z1291">
        <f>'Résultat (Ln)'!F$30+'Résultat (Ln)'!F$31*Données!S1291+'Résultat (Ln)'!F$32*Données!T1291+'Résultat (Ln)'!F$33*Données!U1291+'Résultat (Ln)'!F$34*Données!V1291+'Résultat (Ln)'!F$35*Données!W1291+'Résultat (Ln)'!F$36*Données!X1291+'Résultat (Ln)'!F$37*Données!Y1291</f>
        <v>110372.44664055765</v>
      </c>
      <c r="AA1291">
        <f t="shared" si="83"/>
        <v>4627.5533594423468</v>
      </c>
    </row>
    <row r="1292" spans="1:27" x14ac:dyDescent="0.25">
      <c r="A1292">
        <v>92000</v>
      </c>
      <c r="B1292">
        <v>1</v>
      </c>
      <c r="C1292">
        <v>38</v>
      </c>
      <c r="D1292">
        <v>0</v>
      </c>
      <c r="E1292">
        <v>152000</v>
      </c>
      <c r="F1292">
        <v>7600</v>
      </c>
      <c r="G1292">
        <v>0</v>
      </c>
      <c r="H1292">
        <v>0</v>
      </c>
      <c r="I1292">
        <v>0</v>
      </c>
      <c r="J1292">
        <v>18</v>
      </c>
      <c r="K1292">
        <v>0</v>
      </c>
      <c r="L1292">
        <f>Résultats!G$32+Résultats!G$33*Données!C1292+Résultats!G$34*Données!D1292+Résultats!G$35*Données!E1292+Résultats!G$36*Données!F1292+Résultats!G$37*Données!G1292+Résultats!G$38*Données!H1292+Résultats!G$39*Données!I1292</f>
        <v>125915.16122034159</v>
      </c>
      <c r="M1292">
        <f t="shared" si="80"/>
        <v>-33915.161220341586</v>
      </c>
      <c r="Q1292">
        <v>198000</v>
      </c>
      <c r="R1292">
        <v>1</v>
      </c>
      <c r="S1292">
        <v>29</v>
      </c>
      <c r="T1292">
        <v>0</v>
      </c>
      <c r="U1292">
        <f t="shared" si="81"/>
        <v>12.301382825334498</v>
      </c>
      <c r="V1292">
        <f t="shared" si="82"/>
        <v>8.3421252633335907</v>
      </c>
      <c r="W1292">
        <v>1</v>
      </c>
      <c r="X1292">
        <v>0</v>
      </c>
      <c r="Y1292">
        <v>0</v>
      </c>
      <c r="Z1292">
        <f>'Résultat (Ln)'!F$30+'Résultat (Ln)'!F$31*Données!S1292+'Résultat (Ln)'!F$32*Données!T1292+'Résultat (Ln)'!F$33*Données!U1292+'Résultat (Ln)'!F$34*Données!V1292+'Résultat (Ln)'!F$35*Données!W1292+'Résultat (Ln)'!F$36*Données!X1292+'Résultat (Ln)'!F$37*Données!Y1292</f>
        <v>162738.40967888167</v>
      </c>
      <c r="AA1292">
        <f t="shared" si="83"/>
        <v>35261.590321118332</v>
      </c>
    </row>
    <row r="1293" spans="1:27" x14ac:dyDescent="0.25">
      <c r="A1293">
        <v>104000</v>
      </c>
      <c r="B1293">
        <v>1</v>
      </c>
      <c r="C1293">
        <v>37</v>
      </c>
      <c r="D1293">
        <v>0</v>
      </c>
      <c r="E1293">
        <v>130000</v>
      </c>
      <c r="F1293">
        <v>2157</v>
      </c>
      <c r="G1293">
        <v>1</v>
      </c>
      <c r="H1293">
        <v>1</v>
      </c>
      <c r="I1293">
        <v>1</v>
      </c>
      <c r="J1293">
        <v>29</v>
      </c>
      <c r="K1293">
        <v>0</v>
      </c>
      <c r="L1293">
        <f>Résultats!G$32+Résultats!G$33*Données!C1293+Résultats!G$34*Données!D1293+Résultats!G$35*Données!E1293+Résultats!G$36*Données!F1293+Résultats!G$37*Données!G1293+Résultats!G$38*Données!H1293+Résultats!G$39*Données!I1293</f>
        <v>119262.94115745738</v>
      </c>
      <c r="M1293">
        <f t="shared" si="80"/>
        <v>-15262.941157457375</v>
      </c>
      <c r="Q1293">
        <v>92000</v>
      </c>
      <c r="R1293">
        <v>1</v>
      </c>
      <c r="S1293">
        <v>38</v>
      </c>
      <c r="T1293">
        <v>0</v>
      </c>
      <c r="U1293">
        <f t="shared" si="81"/>
        <v>11.931635799828413</v>
      </c>
      <c r="V1293">
        <f t="shared" si="82"/>
        <v>8.9359035262744229</v>
      </c>
      <c r="W1293">
        <v>0</v>
      </c>
      <c r="X1293">
        <v>0</v>
      </c>
      <c r="Y1293">
        <v>0</v>
      </c>
      <c r="Z1293">
        <f>'Résultat (Ln)'!F$30+'Résultat (Ln)'!F$31*Données!S1293+'Résultat (Ln)'!F$32*Données!T1293+'Résultat (Ln)'!F$33*Données!U1293+'Résultat (Ln)'!F$34*Données!V1293+'Résultat (Ln)'!F$35*Données!W1293+'Résultat (Ln)'!F$36*Données!X1293+'Résultat (Ln)'!F$37*Données!Y1293</f>
        <v>146240.48790181871</v>
      </c>
      <c r="AA1293">
        <f t="shared" si="83"/>
        <v>-54240.487901818706</v>
      </c>
    </row>
    <row r="1294" spans="1:27" x14ac:dyDescent="0.25">
      <c r="A1294">
        <v>188000</v>
      </c>
      <c r="B1294">
        <v>1</v>
      </c>
      <c r="C1294">
        <v>32</v>
      </c>
      <c r="D1294">
        <v>0</v>
      </c>
      <c r="E1294">
        <v>250000</v>
      </c>
      <c r="F1294">
        <v>7500</v>
      </c>
      <c r="G1294">
        <v>1</v>
      </c>
      <c r="H1294">
        <v>0</v>
      </c>
      <c r="I1294">
        <v>0</v>
      </c>
      <c r="J1294">
        <v>25</v>
      </c>
      <c r="K1294">
        <v>1</v>
      </c>
      <c r="L1294">
        <f>Résultats!G$32+Résultats!G$33*Données!C1294+Résultats!G$34*Données!D1294+Résultats!G$35*Données!E1294+Résultats!G$36*Données!F1294+Résultats!G$37*Données!G1294+Résultats!G$38*Données!H1294+Résultats!G$39*Données!I1294</f>
        <v>171607.39902002501</v>
      </c>
      <c r="M1294">
        <f t="shared" si="80"/>
        <v>16392.600979974988</v>
      </c>
      <c r="Q1294">
        <v>104000</v>
      </c>
      <c r="R1294">
        <v>1</v>
      </c>
      <c r="S1294">
        <v>37</v>
      </c>
      <c r="T1294">
        <v>0</v>
      </c>
      <c r="U1294">
        <f t="shared" si="81"/>
        <v>11.77528972943772</v>
      </c>
      <c r="V1294">
        <f t="shared" si="82"/>
        <v>7.6764736463891561</v>
      </c>
      <c r="W1294">
        <v>1</v>
      </c>
      <c r="X1294">
        <v>1</v>
      </c>
      <c r="Y1294">
        <v>1</v>
      </c>
      <c r="Z1294">
        <f>'Résultat (Ln)'!F$30+'Résultat (Ln)'!F$31*Données!S1294+'Résultat (Ln)'!F$32*Données!T1294+'Résultat (Ln)'!F$33*Données!U1294+'Résultat (Ln)'!F$34*Données!V1294+'Résultat (Ln)'!F$35*Données!W1294+'Résultat (Ln)'!F$36*Données!X1294+'Résultat (Ln)'!F$37*Données!Y1294</f>
        <v>111360.55451411891</v>
      </c>
      <c r="AA1294">
        <f t="shared" si="83"/>
        <v>-7360.5545141189068</v>
      </c>
    </row>
    <row r="1295" spans="1:27" x14ac:dyDescent="0.25">
      <c r="A1295">
        <v>135000</v>
      </c>
      <c r="B1295">
        <v>1</v>
      </c>
      <c r="C1295">
        <v>36</v>
      </c>
      <c r="D1295">
        <v>0</v>
      </c>
      <c r="E1295">
        <v>185000</v>
      </c>
      <c r="F1295">
        <v>4618</v>
      </c>
      <c r="G1295">
        <v>1</v>
      </c>
      <c r="H1295">
        <v>0</v>
      </c>
      <c r="I1295">
        <v>0</v>
      </c>
      <c r="J1295">
        <v>27</v>
      </c>
      <c r="K1295">
        <v>1</v>
      </c>
      <c r="L1295">
        <f>Résultats!G$32+Résultats!G$33*Données!C1295+Résultats!G$34*Données!D1295+Résultats!G$35*Données!E1295+Résultats!G$36*Données!F1295+Résultats!G$37*Données!G1295+Résultats!G$38*Données!H1295+Résultats!G$39*Données!I1295</f>
        <v>140265.41488466735</v>
      </c>
      <c r="M1295">
        <f t="shared" si="80"/>
        <v>-5265.4148846673488</v>
      </c>
      <c r="Q1295">
        <v>188000</v>
      </c>
      <c r="R1295">
        <v>1</v>
      </c>
      <c r="S1295">
        <v>32</v>
      </c>
      <c r="T1295">
        <v>0</v>
      </c>
      <c r="U1295">
        <f t="shared" si="81"/>
        <v>12.429216196844383</v>
      </c>
      <c r="V1295">
        <f t="shared" si="82"/>
        <v>8.9226582995244019</v>
      </c>
      <c r="W1295">
        <v>1</v>
      </c>
      <c r="X1295">
        <v>0</v>
      </c>
      <c r="Y1295">
        <v>0</v>
      </c>
      <c r="Z1295">
        <f>'Résultat (Ln)'!F$30+'Résultat (Ln)'!F$31*Données!S1295+'Résultat (Ln)'!F$32*Données!T1295+'Résultat (Ln)'!F$33*Données!U1295+'Résultat (Ln)'!F$34*Données!V1295+'Résultat (Ln)'!F$35*Données!W1295+'Résultat (Ln)'!F$36*Données!X1295+'Résultat (Ln)'!F$37*Données!Y1295</f>
        <v>196389.21254419759</v>
      </c>
      <c r="AA1295">
        <f t="shared" si="83"/>
        <v>-8389.212544197595</v>
      </c>
    </row>
    <row r="1296" spans="1:27" x14ac:dyDescent="0.25">
      <c r="A1296">
        <v>66000</v>
      </c>
      <c r="B1296">
        <v>1</v>
      </c>
      <c r="C1296">
        <v>33.099998474121087</v>
      </c>
      <c r="D1296">
        <v>0</v>
      </c>
      <c r="E1296">
        <v>88500</v>
      </c>
      <c r="F1296">
        <v>2213</v>
      </c>
      <c r="G1296">
        <v>0</v>
      </c>
      <c r="H1296">
        <v>1</v>
      </c>
      <c r="I1296">
        <v>0</v>
      </c>
      <c r="J1296">
        <v>30.04999923706055</v>
      </c>
      <c r="K1296">
        <v>0</v>
      </c>
      <c r="L1296">
        <f>Résultats!G$32+Résultats!G$33*Données!C1296+Résultats!G$34*Données!D1296+Résultats!G$35*Données!E1296+Résultats!G$36*Données!F1296+Résultats!G$37*Données!G1296+Résultats!G$38*Données!H1296+Résultats!G$39*Données!I1296</f>
        <v>78571.005030717439</v>
      </c>
      <c r="M1296">
        <f t="shared" si="80"/>
        <v>-12571.005030717439</v>
      </c>
      <c r="Q1296">
        <v>135000</v>
      </c>
      <c r="R1296">
        <v>1</v>
      </c>
      <c r="S1296">
        <v>36</v>
      </c>
      <c r="T1296">
        <v>0</v>
      </c>
      <c r="U1296">
        <f t="shared" si="81"/>
        <v>12.128111104060462</v>
      </c>
      <c r="V1296">
        <f t="shared" si="82"/>
        <v>8.4377169899144402</v>
      </c>
      <c r="W1296">
        <v>1</v>
      </c>
      <c r="X1296">
        <v>0</v>
      </c>
      <c r="Y1296">
        <v>0</v>
      </c>
      <c r="Z1296">
        <f>'Résultat (Ln)'!F$30+'Résultat (Ln)'!F$31*Données!S1296+'Résultat (Ln)'!F$32*Données!T1296+'Résultat (Ln)'!F$33*Données!U1296+'Résultat (Ln)'!F$34*Données!V1296+'Résultat (Ln)'!F$35*Données!W1296+'Résultat (Ln)'!F$36*Données!X1296+'Résultat (Ln)'!F$37*Données!Y1296</f>
        <v>155399.68192923433</v>
      </c>
      <c r="AA1296">
        <f t="shared" si="83"/>
        <v>-20399.681929234328</v>
      </c>
    </row>
    <row r="1297" spans="1:27" x14ac:dyDescent="0.25">
      <c r="A1297">
        <v>152000</v>
      </c>
      <c r="B1297">
        <v>1</v>
      </c>
      <c r="C1297">
        <v>50.5</v>
      </c>
      <c r="D1297">
        <v>0</v>
      </c>
      <c r="E1297">
        <v>237000</v>
      </c>
      <c r="F1297">
        <v>8300</v>
      </c>
      <c r="G1297">
        <v>1</v>
      </c>
      <c r="H1297">
        <v>0</v>
      </c>
      <c r="I1297">
        <v>1</v>
      </c>
      <c r="J1297">
        <v>20.70000076293945</v>
      </c>
      <c r="K1297">
        <v>1</v>
      </c>
      <c r="L1297">
        <f>Résultats!G$32+Résultats!G$33*Données!C1297+Résultats!G$34*Données!D1297+Résultats!G$35*Données!E1297+Résultats!G$36*Données!F1297+Résultats!G$37*Données!G1297+Résultats!G$38*Données!H1297+Résultats!G$39*Données!I1297</f>
        <v>198263.09529053248</v>
      </c>
      <c r="M1297">
        <f t="shared" si="80"/>
        <v>-46263.095290532481</v>
      </c>
      <c r="Q1297">
        <v>66000</v>
      </c>
      <c r="R1297">
        <v>1</v>
      </c>
      <c r="S1297">
        <v>33.099998474121087</v>
      </c>
      <c r="T1297">
        <v>0</v>
      </c>
      <c r="U1297">
        <f t="shared" si="81"/>
        <v>11.390757830996021</v>
      </c>
      <c r="V1297">
        <f t="shared" si="82"/>
        <v>7.7021043400510498</v>
      </c>
      <c r="W1297">
        <v>0</v>
      </c>
      <c r="X1297">
        <v>1</v>
      </c>
      <c r="Y1297">
        <v>0</v>
      </c>
      <c r="Z1297">
        <f>'Résultat (Ln)'!F$30+'Résultat (Ln)'!F$31*Données!S1297+'Résultat (Ln)'!F$32*Données!T1297+'Résultat (Ln)'!F$33*Données!U1297+'Résultat (Ln)'!F$34*Données!V1297+'Résultat (Ln)'!F$35*Données!W1297+'Résultat (Ln)'!F$36*Données!X1297+'Résultat (Ln)'!F$37*Données!Y1297</f>
        <v>47492.349562549214</v>
      </c>
      <c r="AA1297">
        <f t="shared" si="83"/>
        <v>18507.650437450786</v>
      </c>
    </row>
    <row r="1298" spans="1:27" x14ac:dyDescent="0.25">
      <c r="A1298">
        <v>176000</v>
      </c>
      <c r="B1298">
        <v>1</v>
      </c>
      <c r="C1298">
        <v>42.5</v>
      </c>
      <c r="D1298">
        <v>0</v>
      </c>
      <c r="E1298">
        <v>185000</v>
      </c>
      <c r="F1298">
        <v>2231</v>
      </c>
      <c r="G1298">
        <v>0</v>
      </c>
      <c r="H1298">
        <v>1</v>
      </c>
      <c r="I1298">
        <v>1</v>
      </c>
      <c r="J1298">
        <v>34.5</v>
      </c>
      <c r="K1298">
        <v>1</v>
      </c>
      <c r="L1298">
        <f>Résultats!G$32+Résultats!G$33*Données!C1298+Résultats!G$34*Données!D1298+Résultats!G$35*Données!E1298+Résultats!G$36*Données!F1298+Résultats!G$37*Données!G1298+Résultats!G$38*Données!H1298+Résultats!G$39*Données!I1298</f>
        <v>144389.83580361627</v>
      </c>
      <c r="M1298">
        <f t="shared" si="80"/>
        <v>31610.164196383732</v>
      </c>
      <c r="Q1298">
        <v>152000</v>
      </c>
      <c r="R1298">
        <v>1</v>
      </c>
      <c r="S1298">
        <v>50.5</v>
      </c>
      <c r="T1298">
        <v>0</v>
      </c>
      <c r="U1298">
        <f t="shared" si="81"/>
        <v>12.375815420117268</v>
      </c>
      <c r="V1298">
        <f t="shared" si="82"/>
        <v>9.0240107937846901</v>
      </c>
      <c r="W1298">
        <v>1</v>
      </c>
      <c r="X1298">
        <v>0</v>
      </c>
      <c r="Y1298">
        <v>1</v>
      </c>
      <c r="Z1298">
        <f>'Résultat (Ln)'!F$30+'Résultat (Ln)'!F$31*Données!S1298+'Résultat (Ln)'!F$32*Données!T1298+'Résultat (Ln)'!F$33*Données!U1298+'Résultat (Ln)'!F$34*Données!V1298+'Résultat (Ln)'!F$35*Données!W1298+'Résultat (Ln)'!F$36*Données!X1298+'Résultat (Ln)'!F$37*Données!Y1298</f>
        <v>230202.08595541719</v>
      </c>
      <c r="AA1298">
        <f t="shared" si="83"/>
        <v>-78202.085955417191</v>
      </c>
    </row>
    <row r="1299" spans="1:27" x14ac:dyDescent="0.25">
      <c r="A1299">
        <v>360000</v>
      </c>
      <c r="B1299">
        <v>1</v>
      </c>
      <c r="C1299">
        <v>18</v>
      </c>
      <c r="D1299">
        <v>1</v>
      </c>
      <c r="E1299">
        <v>450000</v>
      </c>
      <c r="F1299">
        <v>81000</v>
      </c>
      <c r="G1299">
        <v>1</v>
      </c>
      <c r="H1299">
        <v>0</v>
      </c>
      <c r="I1299">
        <v>0</v>
      </c>
      <c r="J1299">
        <v>6</v>
      </c>
      <c r="K1299">
        <v>1</v>
      </c>
      <c r="L1299">
        <f>Résultats!G$32+Résultats!G$33*Données!C1299+Résultats!G$34*Données!D1299+Résultats!G$35*Données!E1299+Résultats!G$36*Données!F1299+Résultats!G$37*Données!G1299+Résultats!G$38*Données!H1299+Résultats!G$39*Données!I1299</f>
        <v>396192.28754524409</v>
      </c>
      <c r="M1299">
        <f t="shared" si="80"/>
        <v>-36192.287545244093</v>
      </c>
      <c r="Q1299">
        <v>176000</v>
      </c>
      <c r="R1299">
        <v>1</v>
      </c>
      <c r="S1299">
        <v>42.5</v>
      </c>
      <c r="T1299">
        <v>0</v>
      </c>
      <c r="U1299">
        <f t="shared" si="81"/>
        <v>12.128111104060462</v>
      </c>
      <c r="V1299">
        <f t="shared" si="82"/>
        <v>7.7102051944325325</v>
      </c>
      <c r="W1299">
        <v>0</v>
      </c>
      <c r="X1299">
        <v>1</v>
      </c>
      <c r="Y1299">
        <v>1</v>
      </c>
      <c r="Z1299">
        <f>'Résultat (Ln)'!F$30+'Résultat (Ln)'!F$31*Données!S1299+'Résultat (Ln)'!F$32*Données!T1299+'Résultat (Ln)'!F$33*Données!U1299+'Résultat (Ln)'!F$34*Données!V1299+'Résultat (Ln)'!F$35*Données!W1299+'Résultat (Ln)'!F$36*Données!X1299+'Résultat (Ln)'!F$37*Données!Y1299</f>
        <v>152334.66407937094</v>
      </c>
      <c r="AA1299">
        <f t="shared" si="83"/>
        <v>23665.335920629062</v>
      </c>
    </row>
    <row r="1300" spans="1:27" x14ac:dyDescent="0.25">
      <c r="A1300">
        <v>62000</v>
      </c>
      <c r="B1300">
        <v>1</v>
      </c>
      <c r="C1300">
        <v>22</v>
      </c>
      <c r="D1300">
        <v>0</v>
      </c>
      <c r="E1300">
        <v>88000</v>
      </c>
      <c r="F1300">
        <v>3867</v>
      </c>
      <c r="G1300">
        <v>0</v>
      </c>
      <c r="H1300">
        <v>0</v>
      </c>
      <c r="I1300">
        <v>1</v>
      </c>
      <c r="J1300">
        <v>17</v>
      </c>
      <c r="K1300">
        <v>0</v>
      </c>
      <c r="L1300">
        <f>Résultats!G$32+Résultats!G$33*Données!C1300+Résultats!G$34*Données!D1300+Résultats!G$35*Données!E1300+Résultats!G$36*Données!F1300+Résultats!G$37*Données!G1300+Résultats!G$38*Données!H1300+Résultats!G$39*Données!I1300</f>
        <v>80343.12258001251</v>
      </c>
      <c r="M1300">
        <f t="shared" si="80"/>
        <v>-18343.12258001251</v>
      </c>
      <c r="Q1300">
        <v>360000</v>
      </c>
      <c r="R1300">
        <v>1</v>
      </c>
      <c r="S1300">
        <v>18</v>
      </c>
      <c r="T1300">
        <v>1</v>
      </c>
      <c r="U1300">
        <f t="shared" si="81"/>
        <v>13.017002861746503</v>
      </c>
      <c r="V1300">
        <f t="shared" si="82"/>
        <v>11.302204433654575</v>
      </c>
      <c r="W1300">
        <v>1</v>
      </c>
      <c r="X1300">
        <v>0</v>
      </c>
      <c r="Y1300">
        <v>0</v>
      </c>
      <c r="Z1300">
        <f>'Résultat (Ln)'!F$30+'Résultat (Ln)'!F$31*Données!S1300+'Résultat (Ln)'!F$32*Données!T1300+'Résultat (Ln)'!F$33*Données!U1300+'Résultat (Ln)'!F$34*Données!V1300+'Résultat (Ln)'!F$35*Données!W1300+'Résultat (Ln)'!F$36*Données!X1300+'Résultat (Ln)'!F$37*Données!Y1300</f>
        <v>313373.83346019243</v>
      </c>
      <c r="AA1300">
        <f t="shared" si="83"/>
        <v>46626.166539807571</v>
      </c>
    </row>
    <row r="1301" spans="1:27" x14ac:dyDescent="0.25">
      <c r="A1301">
        <v>160000</v>
      </c>
      <c r="B1301">
        <v>1</v>
      </c>
      <c r="C1301">
        <v>38.099998474121087</v>
      </c>
      <c r="D1301">
        <v>0</v>
      </c>
      <c r="E1301">
        <v>500000</v>
      </c>
      <c r="F1301">
        <v>6256</v>
      </c>
      <c r="G1301">
        <v>1</v>
      </c>
      <c r="H1301">
        <v>0</v>
      </c>
      <c r="I1301">
        <v>0</v>
      </c>
      <c r="J1301">
        <v>31.89999961853027</v>
      </c>
      <c r="K1301">
        <v>1</v>
      </c>
      <c r="L1301">
        <f>Résultats!G$32+Résultats!G$33*Données!C1301+Résultats!G$34*Données!D1301+Résultats!G$35*Données!E1301+Résultats!G$36*Données!F1301+Résultats!G$37*Données!G1301+Résultats!G$38*Données!H1301+Résultats!G$39*Données!I1301</f>
        <v>292941.99626506597</v>
      </c>
      <c r="M1301">
        <f t="shared" si="80"/>
        <v>-132941.99626506597</v>
      </c>
      <c r="Q1301">
        <v>62000</v>
      </c>
      <c r="R1301">
        <v>1</v>
      </c>
      <c r="S1301">
        <v>22</v>
      </c>
      <c r="T1301">
        <v>0</v>
      </c>
      <c r="U1301">
        <f t="shared" si="81"/>
        <v>11.385092093460344</v>
      </c>
      <c r="V1301">
        <f t="shared" si="82"/>
        <v>8.2602342916072971</v>
      </c>
      <c r="W1301">
        <v>0</v>
      </c>
      <c r="X1301">
        <v>0</v>
      </c>
      <c r="Y1301">
        <v>1</v>
      </c>
      <c r="Z1301">
        <f>'Résultat (Ln)'!F$30+'Résultat (Ln)'!F$31*Données!S1301+'Résultat (Ln)'!F$32*Données!T1301+'Résultat (Ln)'!F$33*Données!U1301+'Résultat (Ln)'!F$34*Données!V1301+'Résultat (Ln)'!F$35*Données!W1301+'Résultat (Ln)'!F$36*Données!X1301+'Résultat (Ln)'!F$37*Données!Y1301</f>
        <v>63238.021737598086</v>
      </c>
      <c r="AA1301">
        <f t="shared" si="83"/>
        <v>-1238.0217375980865</v>
      </c>
    </row>
    <row r="1302" spans="1:27" x14ac:dyDescent="0.25">
      <c r="A1302">
        <v>81000</v>
      </c>
      <c r="B1302">
        <v>1</v>
      </c>
      <c r="C1302">
        <v>23</v>
      </c>
      <c r="D1302">
        <v>0</v>
      </c>
      <c r="E1302">
        <v>85000</v>
      </c>
      <c r="F1302">
        <v>3320</v>
      </c>
      <c r="G1302">
        <v>0</v>
      </c>
      <c r="H1302">
        <v>1</v>
      </c>
      <c r="I1302">
        <v>1</v>
      </c>
      <c r="J1302">
        <v>23</v>
      </c>
      <c r="K1302">
        <v>0</v>
      </c>
      <c r="L1302">
        <f>Résultats!G$32+Résultats!G$33*Données!C1302+Résultats!G$34*Données!D1302+Résultats!G$35*Données!E1302+Résultats!G$36*Données!F1302+Résultats!G$37*Données!G1302+Résultats!G$38*Données!H1302+Résultats!G$39*Données!I1302</f>
        <v>77405.686984866581</v>
      </c>
      <c r="M1302">
        <f t="shared" si="80"/>
        <v>3594.313015133419</v>
      </c>
      <c r="Q1302">
        <v>160000</v>
      </c>
      <c r="R1302">
        <v>1</v>
      </c>
      <c r="S1302">
        <v>38.099998474121087</v>
      </c>
      <c r="T1302">
        <v>0</v>
      </c>
      <c r="U1302">
        <f t="shared" si="81"/>
        <v>13.122363377404328</v>
      </c>
      <c r="V1302">
        <f t="shared" si="82"/>
        <v>8.7412962822251465</v>
      </c>
      <c r="W1302">
        <v>1</v>
      </c>
      <c r="X1302">
        <v>0</v>
      </c>
      <c r="Y1302">
        <v>0</v>
      </c>
      <c r="Z1302">
        <f>'Résultat (Ln)'!F$30+'Résultat (Ln)'!F$31*Données!S1302+'Résultat (Ln)'!F$32*Données!T1302+'Résultat (Ln)'!F$33*Données!U1302+'Résultat (Ln)'!F$34*Données!V1302+'Résultat (Ln)'!F$35*Données!W1302+'Résultat (Ln)'!F$36*Données!X1302+'Résultat (Ln)'!F$37*Données!Y1302</f>
        <v>273059.52363005525</v>
      </c>
      <c r="AA1302">
        <f t="shared" si="83"/>
        <v>-113059.52363005525</v>
      </c>
    </row>
    <row r="1303" spans="1:27" x14ac:dyDescent="0.25">
      <c r="A1303">
        <v>117000</v>
      </c>
      <c r="B1303">
        <v>1</v>
      </c>
      <c r="C1303">
        <v>34</v>
      </c>
      <c r="D1303">
        <v>1</v>
      </c>
      <c r="E1303">
        <v>133000</v>
      </c>
      <c r="F1303">
        <v>2274</v>
      </c>
      <c r="G1303">
        <v>0</v>
      </c>
      <c r="H1303">
        <v>0</v>
      </c>
      <c r="I1303">
        <v>0</v>
      </c>
      <c r="J1303">
        <v>19</v>
      </c>
      <c r="K1303">
        <v>0</v>
      </c>
      <c r="L1303">
        <f>Résultats!G$32+Résultats!G$33*Données!C1303+Résultats!G$34*Données!D1303+Résultats!G$35*Données!E1303+Résultats!G$36*Données!F1303+Résultats!G$37*Données!G1303+Résultats!G$38*Données!H1303+Résultats!G$39*Données!I1303</f>
        <v>106975.96080436591</v>
      </c>
      <c r="M1303">
        <f t="shared" si="80"/>
        <v>10024.03919563409</v>
      </c>
      <c r="Q1303">
        <v>81000</v>
      </c>
      <c r="R1303">
        <v>1</v>
      </c>
      <c r="S1303">
        <v>23</v>
      </c>
      <c r="T1303">
        <v>0</v>
      </c>
      <c r="U1303">
        <f t="shared" si="81"/>
        <v>11.350406535472453</v>
      </c>
      <c r="V1303">
        <f t="shared" si="82"/>
        <v>8.1077200619105341</v>
      </c>
      <c r="W1303">
        <v>0</v>
      </c>
      <c r="X1303">
        <v>1</v>
      </c>
      <c r="Y1303">
        <v>1</v>
      </c>
      <c r="Z1303">
        <f>'Résultat (Ln)'!F$30+'Résultat (Ln)'!F$31*Données!S1303+'Résultat (Ln)'!F$32*Données!T1303+'Résultat (Ln)'!F$33*Données!U1303+'Résultat (Ln)'!F$34*Données!V1303+'Résultat (Ln)'!F$35*Données!W1303+'Résultat (Ln)'!F$36*Données!X1303+'Résultat (Ln)'!F$37*Données!Y1303</f>
        <v>56287.003102774215</v>
      </c>
      <c r="AA1303">
        <f t="shared" si="83"/>
        <v>24712.996897225785</v>
      </c>
    </row>
    <row r="1304" spans="1:27" x14ac:dyDescent="0.25">
      <c r="A1304">
        <v>97000</v>
      </c>
      <c r="B1304">
        <v>1</v>
      </c>
      <c r="C1304">
        <v>24</v>
      </c>
      <c r="D1304">
        <v>0</v>
      </c>
      <c r="E1304">
        <v>190000</v>
      </c>
      <c r="F1304">
        <v>5416</v>
      </c>
      <c r="G1304">
        <v>1</v>
      </c>
      <c r="H1304">
        <v>0</v>
      </c>
      <c r="I1304">
        <v>0</v>
      </c>
      <c r="J1304">
        <v>17</v>
      </c>
      <c r="K1304">
        <v>1</v>
      </c>
      <c r="L1304">
        <f>Résultats!G$32+Résultats!G$33*Données!C1304+Résultats!G$34*Données!D1304+Résultats!G$35*Données!E1304+Résultats!G$36*Données!F1304+Résultats!G$37*Données!G1304+Résultats!G$38*Données!H1304+Résultats!G$39*Données!I1304</f>
        <v>130362.49099649081</v>
      </c>
      <c r="M1304">
        <f t="shared" si="80"/>
        <v>-33362.490996490815</v>
      </c>
      <c r="Q1304">
        <v>117000</v>
      </c>
      <c r="R1304">
        <v>1</v>
      </c>
      <c r="S1304">
        <v>34</v>
      </c>
      <c r="T1304">
        <v>1</v>
      </c>
      <c r="U1304">
        <f t="shared" si="81"/>
        <v>11.798104407203891</v>
      </c>
      <c r="V1304">
        <f t="shared" si="82"/>
        <v>7.7292956743104817</v>
      </c>
      <c r="W1304">
        <v>0</v>
      </c>
      <c r="X1304">
        <v>0</v>
      </c>
      <c r="Y1304">
        <v>0</v>
      </c>
      <c r="Z1304">
        <f>'Résultat (Ln)'!F$30+'Résultat (Ln)'!F$31*Données!S1304+'Résultat (Ln)'!F$32*Données!T1304+'Résultat (Ln)'!F$33*Données!U1304+'Résultat (Ln)'!F$34*Données!V1304+'Résultat (Ln)'!F$35*Données!W1304+'Résultat (Ln)'!F$36*Données!X1304+'Résultat (Ln)'!F$37*Données!Y1304</f>
        <v>97546.888850904361</v>
      </c>
      <c r="AA1304">
        <f t="shared" si="83"/>
        <v>19453.111149095639</v>
      </c>
    </row>
    <row r="1305" spans="1:27" x14ac:dyDescent="0.25">
      <c r="A1305">
        <v>126000</v>
      </c>
      <c r="B1305">
        <v>1</v>
      </c>
      <c r="C1305">
        <v>32</v>
      </c>
      <c r="D1305">
        <v>0</v>
      </c>
      <c r="E1305">
        <v>114000</v>
      </c>
      <c r="F1305">
        <v>3542</v>
      </c>
      <c r="G1305">
        <v>0</v>
      </c>
      <c r="H1305">
        <v>0</v>
      </c>
      <c r="I1305">
        <v>0</v>
      </c>
      <c r="J1305">
        <v>29</v>
      </c>
      <c r="K1305">
        <v>1</v>
      </c>
      <c r="L1305">
        <f>Résultats!G$32+Résultats!G$33*Données!C1305+Résultats!G$34*Données!D1305+Résultats!G$35*Données!E1305+Résultats!G$36*Données!F1305+Résultats!G$37*Données!G1305+Résultats!G$38*Données!H1305+Résultats!G$39*Données!I1305</f>
        <v>93415.373605838511</v>
      </c>
      <c r="M1305">
        <f t="shared" si="80"/>
        <v>32584.626394161489</v>
      </c>
      <c r="Q1305">
        <v>97000</v>
      </c>
      <c r="R1305">
        <v>1</v>
      </c>
      <c r="S1305">
        <v>24</v>
      </c>
      <c r="T1305">
        <v>0</v>
      </c>
      <c r="U1305">
        <f t="shared" si="81"/>
        <v>12.154779351142624</v>
      </c>
      <c r="V1305">
        <f t="shared" si="82"/>
        <v>8.5971128145921103</v>
      </c>
      <c r="W1305">
        <v>1</v>
      </c>
      <c r="X1305">
        <v>0</v>
      </c>
      <c r="Y1305">
        <v>0</v>
      </c>
      <c r="Z1305">
        <f>'Résultat (Ln)'!F$30+'Résultat (Ln)'!F$31*Données!S1305+'Résultat (Ln)'!F$32*Données!T1305+'Résultat (Ln)'!F$33*Données!U1305+'Résultat (Ln)'!F$34*Données!V1305+'Résultat (Ln)'!F$35*Données!W1305+'Résultat (Ln)'!F$36*Données!X1305+'Résultat (Ln)'!F$37*Données!Y1305</f>
        <v>148064.29043117439</v>
      </c>
      <c r="AA1305">
        <f t="shared" si="83"/>
        <v>-51064.290431174391</v>
      </c>
    </row>
    <row r="1306" spans="1:27" x14ac:dyDescent="0.25">
      <c r="A1306">
        <v>220000</v>
      </c>
      <c r="B1306">
        <v>1</v>
      </c>
      <c r="C1306">
        <v>26.39999961853027</v>
      </c>
      <c r="D1306">
        <v>0</v>
      </c>
      <c r="E1306">
        <v>492000</v>
      </c>
      <c r="F1306">
        <v>10970</v>
      </c>
      <c r="G1306">
        <v>1</v>
      </c>
      <c r="H1306">
        <v>0</v>
      </c>
      <c r="I1306">
        <v>1</v>
      </c>
      <c r="J1306">
        <v>17.5</v>
      </c>
      <c r="K1306">
        <v>1</v>
      </c>
      <c r="L1306">
        <f>Résultats!G$32+Résultats!G$33*Données!C1306+Résultats!G$34*Données!D1306+Résultats!G$35*Données!E1306+Résultats!G$36*Données!F1306+Résultats!G$37*Données!G1306+Résultats!G$38*Données!H1306+Résultats!G$39*Données!I1306</f>
        <v>294827.11449369829</v>
      </c>
      <c r="M1306">
        <f t="shared" si="80"/>
        <v>-74827.114493698289</v>
      </c>
      <c r="Q1306">
        <v>126000</v>
      </c>
      <c r="R1306">
        <v>1</v>
      </c>
      <c r="S1306">
        <v>32</v>
      </c>
      <c r="T1306">
        <v>0</v>
      </c>
      <c r="U1306">
        <f t="shared" si="81"/>
        <v>11.643953727376633</v>
      </c>
      <c r="V1306">
        <f t="shared" si="82"/>
        <v>8.1724468183427792</v>
      </c>
      <c r="W1306">
        <v>0</v>
      </c>
      <c r="X1306">
        <v>0</v>
      </c>
      <c r="Y1306">
        <v>0</v>
      </c>
      <c r="Z1306">
        <f>'Résultat (Ln)'!F$30+'Résultat (Ln)'!F$31*Données!S1306+'Résultat (Ln)'!F$32*Données!T1306+'Résultat (Ln)'!F$33*Données!U1306+'Résultat (Ln)'!F$34*Données!V1306+'Résultat (Ln)'!F$35*Données!W1306+'Résultat (Ln)'!F$36*Données!X1306+'Résultat (Ln)'!F$37*Données!Y1306</f>
        <v>86658.250683159131</v>
      </c>
      <c r="AA1306">
        <f t="shared" si="83"/>
        <v>39341.749316840869</v>
      </c>
    </row>
    <row r="1307" spans="1:27" x14ac:dyDescent="0.25">
      <c r="A1307">
        <v>102000</v>
      </c>
      <c r="B1307">
        <v>1</v>
      </c>
      <c r="C1307">
        <v>15</v>
      </c>
      <c r="D1307">
        <v>0</v>
      </c>
      <c r="E1307">
        <v>148000</v>
      </c>
      <c r="F1307">
        <v>6166</v>
      </c>
      <c r="G1307">
        <v>1</v>
      </c>
      <c r="H1307">
        <v>0</v>
      </c>
      <c r="I1307">
        <v>0</v>
      </c>
      <c r="J1307">
        <v>5</v>
      </c>
      <c r="K1307">
        <v>1</v>
      </c>
      <c r="L1307">
        <f>Résultats!G$32+Résultats!G$33*Données!C1307+Résultats!G$34*Données!D1307+Résultats!G$35*Données!E1307+Résultats!G$36*Données!F1307+Résultats!G$37*Données!G1307+Résultats!G$38*Données!H1307+Résultats!G$39*Données!I1307</f>
        <v>101865.76082449805</v>
      </c>
      <c r="M1307">
        <f t="shared" si="80"/>
        <v>134.23917550194892</v>
      </c>
      <c r="Q1307">
        <v>220000</v>
      </c>
      <c r="R1307">
        <v>1</v>
      </c>
      <c r="S1307">
        <v>26.39999961853027</v>
      </c>
      <c r="T1307">
        <v>0</v>
      </c>
      <c r="U1307">
        <f t="shared" si="81"/>
        <v>13.106233995474446</v>
      </c>
      <c r="V1307">
        <f t="shared" si="82"/>
        <v>9.3029195532692768</v>
      </c>
      <c r="W1307">
        <v>1</v>
      </c>
      <c r="X1307">
        <v>0</v>
      </c>
      <c r="Y1307">
        <v>1</v>
      </c>
      <c r="Z1307">
        <f>'Résultat (Ln)'!F$30+'Résultat (Ln)'!F$31*Données!S1307+'Résultat (Ln)'!F$32*Données!T1307+'Résultat (Ln)'!F$33*Données!U1307+'Résultat (Ln)'!F$34*Données!V1307+'Résultat (Ln)'!F$35*Données!W1307+'Résultat (Ln)'!F$36*Données!X1307+'Résultat (Ln)'!F$37*Données!Y1307</f>
        <v>286870.74831216381</v>
      </c>
      <c r="AA1307">
        <f t="shared" si="83"/>
        <v>-66870.748312163807</v>
      </c>
    </row>
    <row r="1308" spans="1:27" x14ac:dyDescent="0.25">
      <c r="A1308">
        <v>107000</v>
      </c>
      <c r="B1308">
        <v>1</v>
      </c>
      <c r="C1308">
        <v>33</v>
      </c>
      <c r="D1308">
        <v>0</v>
      </c>
      <c r="E1308">
        <v>146000</v>
      </c>
      <c r="F1308">
        <v>2513</v>
      </c>
      <c r="G1308">
        <v>1</v>
      </c>
      <c r="H1308">
        <v>0</v>
      </c>
      <c r="I1308">
        <v>0</v>
      </c>
      <c r="J1308">
        <v>31</v>
      </c>
      <c r="K1308">
        <v>1</v>
      </c>
      <c r="L1308">
        <f>Résultats!G$32+Résultats!G$33*Données!C1308+Résultats!G$34*Données!D1308+Résultats!G$35*Données!E1308+Résultats!G$36*Données!F1308+Résultats!G$37*Données!G1308+Résultats!G$38*Données!H1308+Résultats!G$39*Données!I1308</f>
        <v>114529.183864166</v>
      </c>
      <c r="M1308">
        <f t="shared" si="80"/>
        <v>-7529.1838641659997</v>
      </c>
      <c r="Q1308">
        <v>102000</v>
      </c>
      <c r="R1308">
        <v>1</v>
      </c>
      <c r="S1308">
        <v>15</v>
      </c>
      <c r="T1308">
        <v>0</v>
      </c>
      <c r="U1308">
        <f t="shared" si="81"/>
        <v>11.904967552746252</v>
      </c>
      <c r="V1308">
        <f t="shared" si="82"/>
        <v>8.7268056084460959</v>
      </c>
      <c r="W1308">
        <v>1</v>
      </c>
      <c r="X1308">
        <v>0</v>
      </c>
      <c r="Y1308">
        <v>0</v>
      </c>
      <c r="Z1308">
        <f>'Résultat (Ln)'!F$30+'Résultat (Ln)'!F$31*Données!S1308+'Résultat (Ln)'!F$32*Données!T1308+'Résultat (Ln)'!F$33*Données!U1308+'Résultat (Ln)'!F$34*Données!V1308+'Résultat (Ln)'!F$35*Données!W1308+'Résultat (Ln)'!F$36*Données!X1308+'Résultat (Ln)'!F$37*Données!Y1308</f>
        <v>113924.54172097317</v>
      </c>
      <c r="AA1308">
        <f t="shared" si="83"/>
        <v>-11924.541720973168</v>
      </c>
    </row>
    <row r="1309" spans="1:27" x14ac:dyDescent="0.25">
      <c r="A1309">
        <v>426000</v>
      </c>
      <c r="B1309">
        <v>1</v>
      </c>
      <c r="C1309">
        <v>38</v>
      </c>
      <c r="D1309">
        <v>0</v>
      </c>
      <c r="E1309">
        <v>533000</v>
      </c>
      <c r="F1309">
        <v>13333</v>
      </c>
      <c r="G1309">
        <v>1</v>
      </c>
      <c r="H1309">
        <v>0</v>
      </c>
      <c r="I1309">
        <v>1</v>
      </c>
      <c r="J1309">
        <v>32</v>
      </c>
      <c r="K1309">
        <v>1</v>
      </c>
      <c r="L1309">
        <f>Résultats!G$32+Résultats!G$33*Données!C1309+Résultats!G$34*Données!D1309+Résultats!G$35*Données!E1309+Résultats!G$36*Données!F1309+Résultats!G$37*Données!G1309+Résultats!G$38*Données!H1309+Résultats!G$39*Données!I1309</f>
        <v>331875.76689050539</v>
      </c>
      <c r="M1309">
        <f t="shared" si="80"/>
        <v>94124.233109494613</v>
      </c>
      <c r="Q1309">
        <v>107000</v>
      </c>
      <c r="R1309">
        <v>1</v>
      </c>
      <c r="S1309">
        <v>33</v>
      </c>
      <c r="T1309">
        <v>0</v>
      </c>
      <c r="U1309">
        <f t="shared" si="81"/>
        <v>11.891361900690473</v>
      </c>
      <c r="V1309">
        <f t="shared" si="82"/>
        <v>7.8292325375435921</v>
      </c>
      <c r="W1309">
        <v>1</v>
      </c>
      <c r="X1309">
        <v>0</v>
      </c>
      <c r="Y1309">
        <v>0</v>
      </c>
      <c r="Z1309">
        <f>'Résultat (Ln)'!F$30+'Résultat (Ln)'!F$31*Données!S1309+'Résultat (Ln)'!F$32*Données!T1309+'Résultat (Ln)'!F$33*Données!U1309+'Résultat (Ln)'!F$34*Données!V1309+'Résultat (Ln)'!F$35*Données!W1309+'Résultat (Ln)'!F$36*Données!X1309+'Résultat (Ln)'!F$37*Données!Y1309</f>
        <v>109289.66515005687</v>
      </c>
      <c r="AA1309">
        <f t="shared" si="83"/>
        <v>-2289.6651500568696</v>
      </c>
    </row>
    <row r="1310" spans="1:27" x14ac:dyDescent="0.25">
      <c r="A1310">
        <v>218000</v>
      </c>
      <c r="B1310">
        <v>1</v>
      </c>
      <c r="C1310">
        <v>54</v>
      </c>
      <c r="D1310">
        <v>1</v>
      </c>
      <c r="E1310">
        <v>228000</v>
      </c>
      <c r="F1310">
        <v>6096</v>
      </c>
      <c r="G1310">
        <v>1</v>
      </c>
      <c r="H1310">
        <v>0</v>
      </c>
      <c r="I1310">
        <v>1</v>
      </c>
      <c r="J1310">
        <v>47</v>
      </c>
      <c r="K1310">
        <v>1</v>
      </c>
      <c r="L1310">
        <f>Résultats!G$32+Résultats!G$33*Données!C1310+Résultats!G$34*Données!D1310+Résultats!G$35*Données!E1310+Résultats!G$36*Données!F1310+Résultats!G$37*Données!G1310+Résultats!G$38*Données!H1310+Résultats!G$39*Données!I1310</f>
        <v>198658.22756055568</v>
      </c>
      <c r="M1310">
        <f t="shared" si="80"/>
        <v>19341.772439444321</v>
      </c>
      <c r="Q1310">
        <v>426000</v>
      </c>
      <c r="R1310">
        <v>1</v>
      </c>
      <c r="S1310">
        <v>38</v>
      </c>
      <c r="T1310">
        <v>0</v>
      </c>
      <c r="U1310">
        <f t="shared" si="81"/>
        <v>13.186276703147982</v>
      </c>
      <c r="V1310">
        <f t="shared" si="82"/>
        <v>9.4979974441154589</v>
      </c>
      <c r="W1310">
        <v>1</v>
      </c>
      <c r="X1310">
        <v>0</v>
      </c>
      <c r="Y1310">
        <v>1</v>
      </c>
      <c r="Z1310">
        <f>'Résultat (Ln)'!F$30+'Résultat (Ln)'!F$31*Données!S1310+'Résultat (Ln)'!F$32*Données!T1310+'Résultat (Ln)'!F$33*Données!U1310+'Résultat (Ln)'!F$34*Données!V1310+'Résultat (Ln)'!F$35*Données!W1310+'Résultat (Ln)'!F$36*Données!X1310+'Résultat (Ln)'!F$37*Données!Y1310</f>
        <v>315097.76153138385</v>
      </c>
      <c r="AA1310">
        <f t="shared" si="83"/>
        <v>110902.23846861615</v>
      </c>
    </row>
    <row r="1311" spans="1:27" x14ac:dyDescent="0.25">
      <c r="A1311">
        <v>66000</v>
      </c>
      <c r="B1311">
        <v>1</v>
      </c>
      <c r="C1311">
        <v>30.20000076293945</v>
      </c>
      <c r="D1311">
        <v>0</v>
      </c>
      <c r="E1311">
        <v>83000</v>
      </c>
      <c r="F1311">
        <v>4333</v>
      </c>
      <c r="G1311">
        <v>0</v>
      </c>
      <c r="H1311">
        <v>0</v>
      </c>
      <c r="I1311">
        <v>1</v>
      </c>
      <c r="J1311">
        <v>18.090000152587891</v>
      </c>
      <c r="K1311">
        <v>1</v>
      </c>
      <c r="L1311">
        <f>Résultats!G$32+Résultats!G$33*Données!C1311+Résultats!G$34*Données!D1311+Résultats!G$35*Données!E1311+Résultats!G$36*Données!F1311+Résultats!G$37*Données!G1311+Résultats!G$38*Données!H1311+Résultats!G$39*Données!I1311</f>
        <v>88330.463134222984</v>
      </c>
      <c r="M1311">
        <f t="shared" si="80"/>
        <v>-22330.463134222984</v>
      </c>
      <c r="Q1311">
        <v>218000</v>
      </c>
      <c r="R1311">
        <v>1</v>
      </c>
      <c r="S1311">
        <v>54</v>
      </c>
      <c r="T1311">
        <v>1</v>
      </c>
      <c r="U1311">
        <f t="shared" si="81"/>
        <v>12.337100907936577</v>
      </c>
      <c r="V1311">
        <f t="shared" si="82"/>
        <v>8.7153880973664819</v>
      </c>
      <c r="W1311">
        <v>1</v>
      </c>
      <c r="X1311">
        <v>0</v>
      </c>
      <c r="Y1311">
        <v>1</v>
      </c>
      <c r="Z1311">
        <f>'Résultat (Ln)'!F$30+'Résultat (Ln)'!F$31*Données!S1311+'Résultat (Ln)'!F$32*Données!T1311+'Résultat (Ln)'!F$33*Données!U1311+'Résultat (Ln)'!F$34*Données!V1311+'Résultat (Ln)'!F$35*Données!W1311+'Résultat (Ln)'!F$36*Données!X1311+'Résultat (Ln)'!F$37*Données!Y1311</f>
        <v>226022.44906211246</v>
      </c>
      <c r="AA1311">
        <f t="shared" si="83"/>
        <v>-8022.4490621124569</v>
      </c>
    </row>
    <row r="1312" spans="1:27" x14ac:dyDescent="0.25">
      <c r="A1312">
        <v>25000</v>
      </c>
      <c r="B1312">
        <v>1</v>
      </c>
      <c r="C1312">
        <v>24</v>
      </c>
      <c r="D1312">
        <v>0</v>
      </c>
      <c r="E1312">
        <v>227000</v>
      </c>
      <c r="F1312">
        <v>2537</v>
      </c>
      <c r="G1312">
        <v>0</v>
      </c>
      <c r="H1312">
        <v>0</v>
      </c>
      <c r="I1312">
        <v>0</v>
      </c>
      <c r="J1312">
        <v>21</v>
      </c>
      <c r="K1312">
        <v>0</v>
      </c>
      <c r="L1312">
        <f>Résultats!G$32+Résultats!G$33*Données!C1312+Résultats!G$34*Données!D1312+Résultats!G$35*Données!E1312+Résultats!G$36*Données!F1312+Résultats!G$37*Données!G1312+Résultats!G$38*Données!H1312+Résultats!G$39*Données!I1312</f>
        <v>135044.25363031813</v>
      </c>
      <c r="M1312">
        <f t="shared" si="80"/>
        <v>-110044.25363031813</v>
      </c>
      <c r="Q1312">
        <v>66000</v>
      </c>
      <c r="R1312">
        <v>1</v>
      </c>
      <c r="S1312">
        <v>30.20000076293945</v>
      </c>
      <c r="T1312">
        <v>0</v>
      </c>
      <c r="U1312">
        <f t="shared" si="81"/>
        <v>11.326595886778735</v>
      </c>
      <c r="V1312">
        <f t="shared" si="82"/>
        <v>8.3740154217399088</v>
      </c>
      <c r="W1312">
        <v>0</v>
      </c>
      <c r="X1312">
        <v>0</v>
      </c>
      <c r="Y1312">
        <v>1</v>
      </c>
      <c r="Z1312">
        <f>'Résultat (Ln)'!F$30+'Résultat (Ln)'!F$31*Données!S1312+'Résultat (Ln)'!F$32*Données!T1312+'Résultat (Ln)'!F$33*Données!U1312+'Résultat (Ln)'!F$34*Données!V1312+'Résultat (Ln)'!F$35*Données!W1312+'Résultat (Ln)'!F$36*Données!X1312+'Résultat (Ln)'!F$37*Données!Y1312</f>
        <v>70179.306622600416</v>
      </c>
      <c r="AA1312">
        <f t="shared" si="83"/>
        <v>-4179.3066226004157</v>
      </c>
    </row>
    <row r="1313" spans="1:27" x14ac:dyDescent="0.25">
      <c r="A1313">
        <v>75000</v>
      </c>
      <c r="B1313">
        <v>1</v>
      </c>
      <c r="C1313">
        <v>27.79999923706055</v>
      </c>
      <c r="D1313">
        <v>0</v>
      </c>
      <c r="E1313">
        <v>125000</v>
      </c>
      <c r="F1313">
        <v>2570</v>
      </c>
      <c r="G1313">
        <v>0</v>
      </c>
      <c r="H1313">
        <v>0</v>
      </c>
      <c r="I1313">
        <v>0</v>
      </c>
      <c r="J1313">
        <v>21.89999961853027</v>
      </c>
      <c r="K1313">
        <v>1</v>
      </c>
      <c r="L1313">
        <f>Résultats!G$32+Résultats!G$33*Données!C1313+Résultats!G$34*Données!D1313+Résultats!G$35*Données!E1313+Résultats!G$36*Données!F1313+Résultats!G$37*Données!G1313+Résultats!G$38*Données!H1313+Résultats!G$39*Données!I1313</f>
        <v>91843.913773062261</v>
      </c>
      <c r="M1313">
        <f t="shared" si="80"/>
        <v>-16843.913773062261</v>
      </c>
      <c r="Q1313">
        <v>25000</v>
      </c>
      <c r="R1313">
        <v>1</v>
      </c>
      <c r="S1313">
        <v>24</v>
      </c>
      <c r="T1313">
        <v>0</v>
      </c>
      <c r="U1313">
        <f t="shared" si="81"/>
        <v>12.332705296463539</v>
      </c>
      <c r="V1313">
        <f t="shared" si="82"/>
        <v>7.8387375595992816</v>
      </c>
      <c r="W1313">
        <v>0</v>
      </c>
      <c r="X1313">
        <v>0</v>
      </c>
      <c r="Y1313">
        <v>0</v>
      </c>
      <c r="Z1313">
        <f>'Résultat (Ln)'!F$30+'Résultat (Ln)'!F$31*Données!S1313+'Résultat (Ln)'!F$32*Données!T1313+'Résultat (Ln)'!F$33*Données!U1313+'Résultat (Ln)'!F$34*Données!V1313+'Résultat (Ln)'!F$35*Données!W1313+'Résultat (Ln)'!F$36*Données!X1313+'Résultat (Ln)'!F$37*Données!Y1313</f>
        <v>141353.89672264099</v>
      </c>
      <c r="AA1313">
        <f t="shared" si="83"/>
        <v>-116353.89672264099</v>
      </c>
    </row>
    <row r="1314" spans="1:27" x14ac:dyDescent="0.25">
      <c r="A1314">
        <v>110000</v>
      </c>
      <c r="B1314">
        <v>1</v>
      </c>
      <c r="C1314">
        <v>32</v>
      </c>
      <c r="D1314">
        <v>0</v>
      </c>
      <c r="E1314">
        <v>141000</v>
      </c>
      <c r="F1314">
        <v>2253</v>
      </c>
      <c r="G1314">
        <v>1</v>
      </c>
      <c r="H1314">
        <v>0</v>
      </c>
      <c r="I1314">
        <v>0</v>
      </c>
      <c r="J1314">
        <v>25</v>
      </c>
      <c r="K1314">
        <v>1</v>
      </c>
      <c r="L1314">
        <f>Résultats!G$32+Résultats!G$33*Données!C1314+Résultats!G$34*Données!D1314+Résultats!G$35*Données!E1314+Résultats!G$36*Données!F1314+Résultats!G$37*Données!G1314+Résultats!G$38*Données!H1314+Résultats!G$39*Données!I1314</f>
        <v>110541.92242658864</v>
      </c>
      <c r="M1314">
        <f t="shared" si="80"/>
        <v>-541.92242658864416</v>
      </c>
      <c r="Q1314">
        <v>75000</v>
      </c>
      <c r="R1314">
        <v>1</v>
      </c>
      <c r="S1314">
        <v>27.79999923706055</v>
      </c>
      <c r="T1314">
        <v>0</v>
      </c>
      <c r="U1314">
        <f t="shared" si="81"/>
        <v>11.736069016284437</v>
      </c>
      <c r="V1314">
        <f t="shared" si="82"/>
        <v>7.8516611778892651</v>
      </c>
      <c r="W1314">
        <v>0</v>
      </c>
      <c r="X1314">
        <v>0</v>
      </c>
      <c r="Y1314">
        <v>0</v>
      </c>
      <c r="Z1314">
        <f>'Résultat (Ln)'!F$30+'Résultat (Ln)'!F$31*Données!S1314+'Résultat (Ln)'!F$32*Données!T1314+'Résultat (Ln)'!F$33*Données!U1314+'Résultat (Ln)'!F$34*Données!V1314+'Résultat (Ln)'!F$35*Données!W1314+'Résultat (Ln)'!F$36*Données!X1314+'Résultat (Ln)'!F$37*Données!Y1314</f>
        <v>82403.340614584828</v>
      </c>
      <c r="AA1314">
        <f t="shared" si="83"/>
        <v>-7403.3406145848276</v>
      </c>
    </row>
    <row r="1315" spans="1:27" x14ac:dyDescent="0.25">
      <c r="A1315">
        <v>105000</v>
      </c>
      <c r="B1315">
        <v>1</v>
      </c>
      <c r="C1315">
        <v>34.700000762939453</v>
      </c>
      <c r="D1315">
        <v>0</v>
      </c>
      <c r="E1315">
        <v>145000</v>
      </c>
      <c r="F1315">
        <v>3844</v>
      </c>
      <c r="G1315">
        <v>0</v>
      </c>
      <c r="H1315">
        <v>0</v>
      </c>
      <c r="I1315">
        <v>0</v>
      </c>
      <c r="J1315">
        <v>27.89999961853027</v>
      </c>
      <c r="K1315">
        <v>1</v>
      </c>
      <c r="L1315">
        <f>Résultats!G$32+Résultats!G$33*Données!C1315+Résultats!G$34*Données!D1315+Résultats!G$35*Données!E1315+Résultats!G$36*Données!F1315+Résultats!G$37*Données!G1315+Résultats!G$38*Données!H1315+Résultats!G$39*Données!I1315</f>
        <v>111577.54761913182</v>
      </c>
      <c r="M1315">
        <f t="shared" si="80"/>
        <v>-6577.5476191318157</v>
      </c>
      <c r="Q1315">
        <v>110000</v>
      </c>
      <c r="R1315">
        <v>1</v>
      </c>
      <c r="S1315">
        <v>32</v>
      </c>
      <c r="T1315">
        <v>0</v>
      </c>
      <c r="U1315">
        <f t="shared" si="81"/>
        <v>11.856515169360305</v>
      </c>
      <c r="V1315">
        <f t="shared" si="82"/>
        <v>7.7200179404322444</v>
      </c>
      <c r="W1315">
        <v>1</v>
      </c>
      <c r="X1315">
        <v>0</v>
      </c>
      <c r="Y1315">
        <v>0</v>
      </c>
      <c r="Z1315">
        <f>'Résultat (Ln)'!F$30+'Résultat (Ln)'!F$31*Données!S1315+'Résultat (Ln)'!F$32*Données!T1315+'Résultat (Ln)'!F$33*Données!U1315+'Résultat (Ln)'!F$34*Données!V1315+'Résultat (Ln)'!F$35*Données!W1315+'Résultat (Ln)'!F$36*Données!X1315+'Résultat (Ln)'!F$37*Données!Y1315</f>
        <v>101269.19910850607</v>
      </c>
      <c r="AA1315">
        <f t="shared" si="83"/>
        <v>8730.8008914939273</v>
      </c>
    </row>
    <row r="1316" spans="1:27" x14ac:dyDescent="0.25">
      <c r="A1316">
        <v>141000</v>
      </c>
      <c r="B1316">
        <v>1</v>
      </c>
      <c r="C1316">
        <v>34</v>
      </c>
      <c r="D1316">
        <v>0</v>
      </c>
      <c r="E1316">
        <v>180000</v>
      </c>
      <c r="F1316">
        <v>5019</v>
      </c>
      <c r="G1316">
        <v>1</v>
      </c>
      <c r="H1316">
        <v>0</v>
      </c>
      <c r="I1316">
        <v>0</v>
      </c>
      <c r="J1316">
        <v>31</v>
      </c>
      <c r="K1316">
        <v>1</v>
      </c>
      <c r="L1316">
        <f>Résultats!G$32+Résultats!G$33*Données!C1316+Résultats!G$34*Données!D1316+Résultats!G$35*Données!E1316+Résultats!G$36*Données!F1316+Résultats!G$37*Données!G1316+Résultats!G$38*Données!H1316+Résultats!G$39*Données!I1316</f>
        <v>136410.3605167369</v>
      </c>
      <c r="M1316">
        <f t="shared" si="80"/>
        <v>4589.6394832631049</v>
      </c>
      <c r="Q1316">
        <v>105000</v>
      </c>
      <c r="R1316">
        <v>1</v>
      </c>
      <c r="S1316">
        <v>34.700000762939453</v>
      </c>
      <c r="T1316">
        <v>0</v>
      </c>
      <c r="U1316">
        <f t="shared" si="81"/>
        <v>11.884489021402711</v>
      </c>
      <c r="V1316">
        <f t="shared" si="82"/>
        <v>8.2542687700901833</v>
      </c>
      <c r="W1316">
        <v>0</v>
      </c>
      <c r="X1316">
        <v>0</v>
      </c>
      <c r="Y1316">
        <v>0</v>
      </c>
      <c r="Z1316">
        <f>'Résultat (Ln)'!F$30+'Résultat (Ln)'!F$31*Données!S1316+'Résultat (Ln)'!F$32*Données!T1316+'Résultat (Ln)'!F$33*Données!U1316+'Résultat (Ln)'!F$34*Données!V1316+'Résultat (Ln)'!F$35*Données!W1316+'Résultat (Ln)'!F$36*Données!X1316+'Résultat (Ln)'!F$37*Données!Y1316</f>
        <v>118036.84082459289</v>
      </c>
      <c r="AA1316">
        <f t="shared" si="83"/>
        <v>-13036.840824592888</v>
      </c>
    </row>
    <row r="1317" spans="1:27" x14ac:dyDescent="0.25">
      <c r="A1317">
        <v>178000</v>
      </c>
      <c r="B1317">
        <v>1</v>
      </c>
      <c r="C1317">
        <v>53.900001525878913</v>
      </c>
      <c r="D1317">
        <v>0</v>
      </c>
      <c r="E1317">
        <v>187500</v>
      </c>
      <c r="F1317">
        <v>2149</v>
      </c>
      <c r="G1317">
        <v>1</v>
      </c>
      <c r="H1317">
        <v>0</v>
      </c>
      <c r="I1317">
        <v>0</v>
      </c>
      <c r="J1317">
        <v>33.799999237060547</v>
      </c>
      <c r="K1317">
        <v>0</v>
      </c>
      <c r="L1317">
        <f>Résultats!G$32+Résultats!G$33*Données!C1317+Résultats!G$34*Données!D1317+Résultats!G$35*Données!E1317+Résultats!G$36*Données!F1317+Résultats!G$37*Données!G1317+Résultats!G$38*Données!H1317+Résultats!G$39*Données!I1317</f>
        <v>157209.60258923713</v>
      </c>
      <c r="M1317">
        <f t="shared" si="80"/>
        <v>20790.397410762875</v>
      </c>
      <c r="Q1317">
        <v>141000</v>
      </c>
      <c r="R1317">
        <v>1</v>
      </c>
      <c r="S1317">
        <v>34</v>
      </c>
      <c r="T1317">
        <v>0</v>
      </c>
      <c r="U1317">
        <f t="shared" si="81"/>
        <v>12.100712129872347</v>
      </c>
      <c r="V1317">
        <f t="shared" si="82"/>
        <v>8.5209859896549336</v>
      </c>
      <c r="W1317">
        <v>1</v>
      </c>
      <c r="X1317">
        <v>0</v>
      </c>
      <c r="Y1317">
        <v>0</v>
      </c>
      <c r="Z1317">
        <f>'Résultat (Ln)'!F$30+'Résultat (Ln)'!F$31*Données!S1317+'Résultat (Ln)'!F$32*Données!T1317+'Résultat (Ln)'!F$33*Données!U1317+'Résultat (Ln)'!F$34*Données!V1317+'Résultat (Ln)'!F$35*Données!W1317+'Résultat (Ln)'!F$36*Données!X1317+'Résultat (Ln)'!F$37*Données!Y1317</f>
        <v>152353.89655396339</v>
      </c>
      <c r="AA1317">
        <f t="shared" si="83"/>
        <v>-11353.896553963394</v>
      </c>
    </row>
    <row r="1318" spans="1:27" x14ac:dyDescent="0.25">
      <c r="A1318">
        <v>187000</v>
      </c>
      <c r="B1318">
        <v>1</v>
      </c>
      <c r="C1318">
        <v>29</v>
      </c>
      <c r="D1318">
        <v>0</v>
      </c>
      <c r="E1318">
        <v>258000</v>
      </c>
      <c r="F1318">
        <v>7500</v>
      </c>
      <c r="G1318">
        <v>1</v>
      </c>
      <c r="H1318">
        <v>0</v>
      </c>
      <c r="I1318">
        <v>0</v>
      </c>
      <c r="J1318">
        <v>27</v>
      </c>
      <c r="K1318">
        <v>1</v>
      </c>
      <c r="L1318">
        <f>Résultats!G$32+Résultats!G$33*Données!C1318+Résultats!G$34*Données!D1318+Résultats!G$35*Données!E1318+Résultats!G$36*Données!F1318+Résultats!G$37*Données!G1318+Résultats!G$38*Données!H1318+Résultats!G$39*Données!I1318</f>
        <v>171897.01403205277</v>
      </c>
      <c r="M1318">
        <f t="shared" si="80"/>
        <v>15102.985967947228</v>
      </c>
      <c r="Q1318">
        <v>178000</v>
      </c>
      <c r="R1318">
        <v>1</v>
      </c>
      <c r="S1318">
        <v>53.900001525878913</v>
      </c>
      <c r="T1318">
        <v>0</v>
      </c>
      <c r="U1318">
        <f t="shared" si="81"/>
        <v>12.141534124392603</v>
      </c>
      <c r="V1318">
        <f t="shared" si="82"/>
        <v>7.6727578966425103</v>
      </c>
      <c r="W1318">
        <v>1</v>
      </c>
      <c r="X1318">
        <v>0</v>
      </c>
      <c r="Y1318">
        <v>0</v>
      </c>
      <c r="Z1318">
        <f>'Résultat (Ln)'!F$30+'Résultat (Ln)'!F$31*Données!S1318+'Résultat (Ln)'!F$32*Données!T1318+'Résultat (Ln)'!F$33*Données!U1318+'Résultat (Ln)'!F$34*Données!V1318+'Résultat (Ln)'!F$35*Données!W1318+'Résultat (Ln)'!F$36*Données!X1318+'Résultat (Ln)'!F$37*Données!Y1318</f>
        <v>157259.22112136811</v>
      </c>
      <c r="AA1318">
        <f t="shared" si="83"/>
        <v>20740.778878631885</v>
      </c>
    </row>
    <row r="1319" spans="1:27" x14ac:dyDescent="0.25">
      <c r="A1319">
        <v>60000</v>
      </c>
      <c r="B1319">
        <v>1</v>
      </c>
      <c r="C1319">
        <v>24</v>
      </c>
      <c r="D1319">
        <v>0</v>
      </c>
      <c r="E1319">
        <v>219000</v>
      </c>
      <c r="F1319">
        <v>2995</v>
      </c>
      <c r="G1319">
        <v>0</v>
      </c>
      <c r="H1319">
        <v>0</v>
      </c>
      <c r="I1319">
        <v>0</v>
      </c>
      <c r="J1319">
        <v>23</v>
      </c>
      <c r="K1319">
        <v>0</v>
      </c>
      <c r="L1319">
        <f>Résultats!G$32+Résultats!G$33*Données!C1319+Résultats!G$34*Données!D1319+Résultats!G$35*Données!E1319+Résultats!G$36*Données!F1319+Résultats!G$37*Données!G1319+Résultats!G$38*Données!H1319+Résultats!G$39*Données!I1319</f>
        <v>132196.1340944533</v>
      </c>
      <c r="M1319">
        <f t="shared" si="80"/>
        <v>-72196.1340944533</v>
      </c>
      <c r="Q1319">
        <v>187000</v>
      </c>
      <c r="R1319">
        <v>1</v>
      </c>
      <c r="S1319">
        <v>29</v>
      </c>
      <c r="T1319">
        <v>0</v>
      </c>
      <c r="U1319">
        <f t="shared" si="81"/>
        <v>12.460714863903755</v>
      </c>
      <c r="V1319">
        <f t="shared" si="82"/>
        <v>8.9226582995244019</v>
      </c>
      <c r="W1319">
        <v>1</v>
      </c>
      <c r="X1319">
        <v>0</v>
      </c>
      <c r="Y1319">
        <v>0</v>
      </c>
      <c r="Z1319">
        <f>'Résultat (Ln)'!F$30+'Résultat (Ln)'!F$31*Données!S1319+'Résultat (Ln)'!F$32*Données!T1319+'Résultat (Ln)'!F$33*Données!U1319+'Résultat (Ln)'!F$34*Données!V1319+'Résultat (Ln)'!F$35*Données!W1319+'Résultat (Ln)'!F$36*Données!X1319+'Résultat (Ln)'!F$37*Données!Y1319</f>
        <v>196099.60709163538</v>
      </c>
      <c r="AA1319">
        <f t="shared" si="83"/>
        <v>-9099.6070916353783</v>
      </c>
    </row>
    <row r="1320" spans="1:27" x14ac:dyDescent="0.25">
      <c r="A1320">
        <v>120000</v>
      </c>
      <c r="B1320">
        <v>1</v>
      </c>
      <c r="C1320">
        <v>15</v>
      </c>
      <c r="D1320">
        <v>0</v>
      </c>
      <c r="E1320">
        <v>161000</v>
      </c>
      <c r="F1320">
        <v>16666</v>
      </c>
      <c r="G1320">
        <v>1</v>
      </c>
      <c r="H1320">
        <v>0</v>
      </c>
      <c r="I1320">
        <v>1</v>
      </c>
      <c r="J1320">
        <v>7</v>
      </c>
      <c r="K1320">
        <v>1</v>
      </c>
      <c r="L1320">
        <f>Résultats!G$32+Résultats!G$33*Données!C1320+Résultats!G$34*Données!D1320+Résultats!G$35*Données!E1320+Résultats!G$36*Données!F1320+Résultats!G$37*Données!G1320+Résultats!G$38*Données!H1320+Résultats!G$39*Données!I1320</f>
        <v>138208.37751464703</v>
      </c>
      <c r="M1320">
        <f t="shared" si="80"/>
        <v>-18208.377514647029</v>
      </c>
      <c r="Q1320">
        <v>60000</v>
      </c>
      <c r="R1320">
        <v>1</v>
      </c>
      <c r="S1320">
        <v>24</v>
      </c>
      <c r="T1320">
        <v>0</v>
      </c>
      <c r="U1320">
        <f t="shared" si="81"/>
        <v>12.296827008798639</v>
      </c>
      <c r="V1320">
        <f t="shared" si="82"/>
        <v>8.0046995105495498</v>
      </c>
      <c r="W1320">
        <v>0</v>
      </c>
      <c r="X1320">
        <v>0</v>
      </c>
      <c r="Y1320">
        <v>0</v>
      </c>
      <c r="Z1320">
        <f>'Résultat (Ln)'!F$30+'Résultat (Ln)'!F$31*Données!S1320+'Résultat (Ln)'!F$32*Données!T1320+'Résultat (Ln)'!F$33*Données!U1320+'Résultat (Ln)'!F$34*Données!V1320+'Résultat (Ln)'!F$35*Données!W1320+'Résultat (Ln)'!F$36*Données!X1320+'Résultat (Ln)'!F$37*Données!Y1320</f>
        <v>142162.43785810188</v>
      </c>
      <c r="AA1320">
        <f t="shared" si="83"/>
        <v>-82162.437858101883</v>
      </c>
    </row>
    <row r="1321" spans="1:27" x14ac:dyDescent="0.25">
      <c r="A1321">
        <v>105000</v>
      </c>
      <c r="B1321">
        <v>1</v>
      </c>
      <c r="C1321">
        <v>25</v>
      </c>
      <c r="D1321">
        <v>0</v>
      </c>
      <c r="E1321">
        <v>117000</v>
      </c>
      <c r="F1321">
        <v>3887</v>
      </c>
      <c r="G1321">
        <v>1</v>
      </c>
      <c r="H1321">
        <v>0</v>
      </c>
      <c r="I1321">
        <v>0</v>
      </c>
      <c r="J1321">
        <v>22</v>
      </c>
      <c r="K1321">
        <v>1</v>
      </c>
      <c r="L1321">
        <f>Résultats!G$32+Résultats!G$33*Données!C1321+Résultats!G$34*Données!D1321+Résultats!G$35*Données!E1321+Résultats!G$36*Données!F1321+Résultats!G$37*Données!G1321+Résultats!G$38*Données!H1321+Résultats!G$39*Données!I1321</f>
        <v>94460.695880266634</v>
      </c>
      <c r="M1321">
        <f t="shared" si="80"/>
        <v>10539.304119733366</v>
      </c>
      <c r="Q1321">
        <v>120000</v>
      </c>
      <c r="R1321">
        <v>1</v>
      </c>
      <c r="S1321">
        <v>15</v>
      </c>
      <c r="T1321">
        <v>0</v>
      </c>
      <c r="U1321">
        <f t="shared" si="81"/>
        <v>11.9891596439666</v>
      </c>
      <c r="V1321">
        <f t="shared" si="82"/>
        <v>9.7211259949421525</v>
      </c>
      <c r="W1321">
        <v>1</v>
      </c>
      <c r="X1321">
        <v>0</v>
      </c>
      <c r="Y1321">
        <v>1</v>
      </c>
      <c r="Z1321">
        <f>'Résultat (Ln)'!F$30+'Résultat (Ln)'!F$31*Données!S1321+'Résultat (Ln)'!F$32*Données!T1321+'Résultat (Ln)'!F$33*Données!U1321+'Résultat (Ln)'!F$34*Données!V1321+'Résultat (Ln)'!F$35*Données!W1321+'Résultat (Ln)'!F$36*Données!X1321+'Résultat (Ln)'!F$37*Données!Y1321</f>
        <v>164922.99516371152</v>
      </c>
      <c r="AA1321">
        <f t="shared" si="83"/>
        <v>-44922.995163711515</v>
      </c>
    </row>
    <row r="1322" spans="1:27" x14ac:dyDescent="0.25">
      <c r="A1322">
        <v>171000</v>
      </c>
      <c r="B1322">
        <v>1</v>
      </c>
      <c r="C1322">
        <v>40</v>
      </c>
      <c r="D1322">
        <v>0</v>
      </c>
      <c r="E1322">
        <v>195000</v>
      </c>
      <c r="F1322">
        <v>5200</v>
      </c>
      <c r="G1322">
        <v>1</v>
      </c>
      <c r="H1322">
        <v>0</v>
      </c>
      <c r="I1322">
        <v>1</v>
      </c>
      <c r="J1322">
        <v>18</v>
      </c>
      <c r="K1322">
        <v>1</v>
      </c>
      <c r="L1322">
        <f>Résultats!G$32+Résultats!G$33*Données!C1322+Résultats!G$34*Données!D1322+Résultats!G$35*Données!E1322+Résultats!G$36*Données!F1322+Résultats!G$37*Données!G1322+Résultats!G$38*Données!H1322+Résultats!G$39*Données!I1322</f>
        <v>160582.87819170323</v>
      </c>
      <c r="M1322">
        <f t="shared" si="80"/>
        <v>10417.121808296768</v>
      </c>
      <c r="Q1322">
        <v>105000</v>
      </c>
      <c r="R1322">
        <v>1</v>
      </c>
      <c r="S1322">
        <v>25</v>
      </c>
      <c r="T1322">
        <v>0</v>
      </c>
      <c r="U1322">
        <f t="shared" si="81"/>
        <v>11.669929213779893</v>
      </c>
      <c r="V1322">
        <f t="shared" si="82"/>
        <v>8.265392930852224</v>
      </c>
      <c r="W1322">
        <v>1</v>
      </c>
      <c r="X1322">
        <v>0</v>
      </c>
      <c r="Y1322">
        <v>0</v>
      </c>
      <c r="Z1322">
        <f>'Résultat (Ln)'!F$30+'Résultat (Ln)'!F$31*Données!S1322+'Résultat (Ln)'!F$32*Données!T1322+'Résultat (Ln)'!F$33*Données!U1322+'Résultat (Ln)'!F$34*Données!V1322+'Résultat (Ln)'!F$35*Données!W1322+'Résultat (Ln)'!F$36*Données!X1322+'Résultat (Ln)'!F$37*Données!Y1322</f>
        <v>88009.199158194984</v>
      </c>
      <c r="AA1322">
        <f t="shared" si="83"/>
        <v>16990.800841805016</v>
      </c>
    </row>
    <row r="1323" spans="1:27" x14ac:dyDescent="0.25">
      <c r="A1323">
        <v>160000</v>
      </c>
      <c r="B1323">
        <v>1</v>
      </c>
      <c r="C1323">
        <v>49</v>
      </c>
      <c r="D1323">
        <v>0</v>
      </c>
      <c r="E1323">
        <v>160000</v>
      </c>
      <c r="F1323">
        <v>2600</v>
      </c>
      <c r="G1323">
        <v>0</v>
      </c>
      <c r="H1323">
        <v>6</v>
      </c>
      <c r="I1323">
        <v>1</v>
      </c>
      <c r="J1323">
        <v>39</v>
      </c>
      <c r="K1323">
        <v>0</v>
      </c>
      <c r="L1323">
        <f>Résultats!G$32+Résultats!G$33*Données!C1323+Résultats!G$34*Données!D1323+Résultats!G$35*Données!E1323+Résultats!G$36*Données!F1323+Résultats!G$37*Données!G1323+Résultats!G$38*Données!H1323+Résultats!G$39*Données!I1323</f>
        <v>132771.02269314311</v>
      </c>
      <c r="M1323">
        <f t="shared" si="80"/>
        <v>27228.97730685689</v>
      </c>
      <c r="Q1323">
        <v>171000</v>
      </c>
      <c r="R1323">
        <v>1</v>
      </c>
      <c r="S1323">
        <v>40</v>
      </c>
      <c r="T1323">
        <v>0</v>
      </c>
      <c r="U1323">
        <f t="shared" si="81"/>
        <v>12.180754837545884</v>
      </c>
      <c r="V1323">
        <f t="shared" si="82"/>
        <v>8.5564139045695189</v>
      </c>
      <c r="W1323">
        <v>1</v>
      </c>
      <c r="X1323">
        <v>0</v>
      </c>
      <c r="Y1323">
        <v>1</v>
      </c>
      <c r="Z1323">
        <f>'Résultat (Ln)'!F$30+'Résultat (Ln)'!F$31*Données!S1323+'Résultat (Ln)'!F$32*Données!T1323+'Résultat (Ln)'!F$33*Données!U1323+'Résultat (Ln)'!F$34*Données!V1323+'Résultat (Ln)'!F$35*Données!W1323+'Résultat (Ln)'!F$36*Données!X1323+'Résultat (Ln)'!F$37*Données!Y1323</f>
        <v>183346.90063951976</v>
      </c>
      <c r="AA1323">
        <f t="shared" si="83"/>
        <v>-12346.900639519765</v>
      </c>
    </row>
    <row r="1324" spans="1:27" x14ac:dyDescent="0.25">
      <c r="A1324">
        <v>239000</v>
      </c>
      <c r="B1324">
        <v>1</v>
      </c>
      <c r="C1324">
        <v>47</v>
      </c>
      <c r="D1324">
        <v>0</v>
      </c>
      <c r="E1324">
        <v>265000</v>
      </c>
      <c r="F1324">
        <v>1600</v>
      </c>
      <c r="G1324">
        <v>1</v>
      </c>
      <c r="H1324">
        <v>0</v>
      </c>
      <c r="I1324">
        <v>0</v>
      </c>
      <c r="J1324">
        <v>11</v>
      </c>
      <c r="K1324">
        <v>1</v>
      </c>
      <c r="L1324">
        <f>Résultats!G$32+Résultats!G$33*Données!C1324+Résultats!G$34*Données!D1324+Résultats!G$35*Données!E1324+Résultats!G$36*Données!F1324+Résultats!G$37*Données!G1324+Résultats!G$38*Données!H1324+Résultats!G$39*Données!I1324</f>
        <v>184408.80827892094</v>
      </c>
      <c r="M1324">
        <f t="shared" si="80"/>
        <v>54591.191721079056</v>
      </c>
      <c r="Q1324">
        <v>160000</v>
      </c>
      <c r="R1324">
        <v>1</v>
      </c>
      <c r="S1324">
        <v>49</v>
      </c>
      <c r="T1324">
        <v>0</v>
      </c>
      <c r="U1324">
        <f t="shared" si="81"/>
        <v>11.982929094215963</v>
      </c>
      <c r="V1324">
        <f t="shared" si="82"/>
        <v>7.8632667240095735</v>
      </c>
      <c r="W1324">
        <v>0</v>
      </c>
      <c r="X1324">
        <v>6</v>
      </c>
      <c r="Y1324">
        <v>1</v>
      </c>
      <c r="Z1324">
        <f>'Résultat (Ln)'!F$30+'Résultat (Ln)'!F$31*Données!S1324+'Résultat (Ln)'!F$32*Données!T1324+'Résultat (Ln)'!F$33*Données!U1324+'Résultat (Ln)'!F$34*Données!V1324+'Résultat (Ln)'!F$35*Données!W1324+'Résultat (Ln)'!F$36*Données!X1324+'Résultat (Ln)'!F$37*Données!Y1324</f>
        <v>148120.09920028003</v>
      </c>
      <c r="AA1324">
        <f t="shared" si="83"/>
        <v>11879.900799719966</v>
      </c>
    </row>
    <row r="1325" spans="1:27" x14ac:dyDescent="0.25">
      <c r="A1325">
        <v>226000</v>
      </c>
      <c r="B1325">
        <v>1</v>
      </c>
      <c r="C1325">
        <v>27</v>
      </c>
      <c r="D1325">
        <v>0</v>
      </c>
      <c r="E1325">
        <v>282000</v>
      </c>
      <c r="F1325">
        <v>6667</v>
      </c>
      <c r="G1325">
        <v>1</v>
      </c>
      <c r="H1325">
        <v>1</v>
      </c>
      <c r="I1325">
        <v>0</v>
      </c>
      <c r="J1325">
        <v>18</v>
      </c>
      <c r="K1325">
        <v>1</v>
      </c>
      <c r="L1325">
        <f>Résultats!G$32+Résultats!G$33*Données!C1325+Résultats!G$34*Données!D1325+Résultats!G$35*Données!E1325+Résultats!G$36*Données!F1325+Résultats!G$37*Données!G1325+Résultats!G$38*Données!H1325+Résultats!G$39*Données!I1325</f>
        <v>177567.09836710821</v>
      </c>
      <c r="M1325">
        <f t="shared" si="80"/>
        <v>48432.901632891793</v>
      </c>
      <c r="Q1325">
        <v>239000</v>
      </c>
      <c r="R1325">
        <v>1</v>
      </c>
      <c r="S1325">
        <v>47</v>
      </c>
      <c r="T1325">
        <v>0</v>
      </c>
      <c r="U1325">
        <f t="shared" si="81"/>
        <v>12.487485104968359</v>
      </c>
      <c r="V1325">
        <f t="shared" si="82"/>
        <v>7.3777589082278725</v>
      </c>
      <c r="W1325">
        <v>1</v>
      </c>
      <c r="X1325">
        <v>0</v>
      </c>
      <c r="Y1325">
        <v>0</v>
      </c>
      <c r="Z1325">
        <f>'Résultat (Ln)'!F$30+'Résultat (Ln)'!F$31*Données!S1325+'Résultat (Ln)'!F$32*Données!T1325+'Résultat (Ln)'!F$33*Données!U1325+'Résultat (Ln)'!F$34*Données!V1325+'Résultat (Ln)'!F$35*Données!W1325+'Résultat (Ln)'!F$36*Données!X1325+'Résultat (Ln)'!F$37*Données!Y1325</f>
        <v>177638.06734296746</v>
      </c>
      <c r="AA1325">
        <f t="shared" si="83"/>
        <v>61361.932657032536</v>
      </c>
    </row>
    <row r="1326" spans="1:27" x14ac:dyDescent="0.25">
      <c r="A1326">
        <v>105000</v>
      </c>
      <c r="B1326">
        <v>1</v>
      </c>
      <c r="C1326">
        <v>28</v>
      </c>
      <c r="D1326">
        <v>0</v>
      </c>
      <c r="E1326">
        <v>133000</v>
      </c>
      <c r="F1326">
        <v>3510</v>
      </c>
      <c r="G1326">
        <v>1</v>
      </c>
      <c r="H1326">
        <v>0</v>
      </c>
      <c r="I1326">
        <v>0</v>
      </c>
      <c r="J1326">
        <v>24</v>
      </c>
      <c r="K1326">
        <v>1</v>
      </c>
      <c r="L1326">
        <f>Résultats!G$32+Résultats!G$33*Données!C1326+Résultats!G$34*Données!D1326+Résultats!G$35*Données!E1326+Résultats!G$36*Données!F1326+Résultats!G$37*Données!G1326+Résultats!G$38*Données!H1326+Résultats!G$39*Données!I1326</f>
        <v>104647.41347949182</v>
      </c>
      <c r="M1326">
        <f t="shared" si="80"/>
        <v>352.58652050817909</v>
      </c>
      <c r="Q1326">
        <v>226000</v>
      </c>
      <c r="R1326">
        <v>1</v>
      </c>
      <c r="S1326">
        <v>27</v>
      </c>
      <c r="T1326">
        <v>0</v>
      </c>
      <c r="U1326">
        <f t="shared" si="81"/>
        <v>12.549662349920251</v>
      </c>
      <c r="V1326">
        <f t="shared" si="82"/>
        <v>8.8049252626180596</v>
      </c>
      <c r="W1326">
        <v>1</v>
      </c>
      <c r="X1326">
        <v>1</v>
      </c>
      <c r="Y1326">
        <v>0</v>
      </c>
      <c r="Z1326">
        <f>'Résultat (Ln)'!F$30+'Résultat (Ln)'!F$31*Données!S1326+'Résultat (Ln)'!F$32*Données!T1326+'Résultat (Ln)'!F$33*Données!U1326+'Résultat (Ln)'!F$34*Données!V1326+'Résultat (Ln)'!F$35*Données!W1326+'Résultat (Ln)'!F$36*Données!X1326+'Résultat (Ln)'!F$37*Données!Y1326</f>
        <v>199710.84585391631</v>
      </c>
      <c r="AA1326">
        <f t="shared" si="83"/>
        <v>26289.154146083689</v>
      </c>
    </row>
    <row r="1327" spans="1:27" x14ac:dyDescent="0.25">
      <c r="A1327">
        <v>112000</v>
      </c>
      <c r="B1327">
        <v>1</v>
      </c>
      <c r="C1327">
        <v>30.29999923706055</v>
      </c>
      <c r="D1327">
        <v>0</v>
      </c>
      <c r="E1327">
        <v>124000</v>
      </c>
      <c r="F1327">
        <v>1025</v>
      </c>
      <c r="G1327">
        <v>1</v>
      </c>
      <c r="H1327">
        <v>0</v>
      </c>
      <c r="I1327">
        <v>0</v>
      </c>
      <c r="J1327">
        <v>29.04000091552734</v>
      </c>
      <c r="K1327">
        <v>1</v>
      </c>
      <c r="L1327">
        <f>Résultats!G$32+Résultats!G$33*Données!C1327+Résultats!G$34*Données!D1327+Résultats!G$35*Données!E1327+Résultats!G$36*Données!F1327+Résultats!G$37*Données!G1327+Résultats!G$38*Données!H1327+Résultats!G$39*Données!I1327</f>
        <v>98271.373453139866</v>
      </c>
      <c r="M1327">
        <f t="shared" si="80"/>
        <v>13728.626546860134</v>
      </c>
      <c r="Q1327">
        <v>105000</v>
      </c>
      <c r="R1327">
        <v>1</v>
      </c>
      <c r="S1327">
        <v>28</v>
      </c>
      <c r="T1327">
        <v>0</v>
      </c>
      <c r="U1327">
        <f t="shared" si="81"/>
        <v>11.798104407203891</v>
      </c>
      <c r="V1327">
        <f t="shared" si="82"/>
        <v>8.1633713164599122</v>
      </c>
      <c r="W1327">
        <v>1</v>
      </c>
      <c r="X1327">
        <v>0</v>
      </c>
      <c r="Y1327">
        <v>0</v>
      </c>
      <c r="Z1327">
        <f>'Résultat (Ln)'!F$30+'Résultat (Ln)'!F$31*Données!S1327+'Résultat (Ln)'!F$32*Données!T1327+'Résultat (Ln)'!F$33*Données!U1327+'Résultat (Ln)'!F$34*Données!V1327+'Résultat (Ln)'!F$35*Données!W1327+'Résultat (Ln)'!F$36*Données!X1327+'Résultat (Ln)'!F$37*Données!Y1327</f>
        <v>102553.85745588898</v>
      </c>
      <c r="AA1327">
        <f t="shared" si="83"/>
        <v>2446.1425441110187</v>
      </c>
    </row>
    <row r="1328" spans="1:27" x14ac:dyDescent="0.25">
      <c r="A1328">
        <v>125000</v>
      </c>
      <c r="B1328">
        <v>1</v>
      </c>
      <c r="C1328">
        <v>57.599998474121087</v>
      </c>
      <c r="D1328">
        <v>0</v>
      </c>
      <c r="E1328">
        <v>139000</v>
      </c>
      <c r="F1328">
        <v>2539</v>
      </c>
      <c r="G1328">
        <v>1</v>
      </c>
      <c r="H1328">
        <v>0</v>
      </c>
      <c r="I1328">
        <v>1</v>
      </c>
      <c r="J1328">
        <v>32.900001525878913</v>
      </c>
      <c r="K1328">
        <v>1</v>
      </c>
      <c r="L1328">
        <f>Résultats!G$32+Résultats!G$33*Données!C1328+Résultats!G$34*Données!D1328+Résultats!G$35*Données!E1328+Résultats!G$36*Données!F1328+Résultats!G$37*Données!G1328+Résultats!G$38*Données!H1328+Résultats!G$39*Données!I1328</f>
        <v>149493.63988550042</v>
      </c>
      <c r="M1328">
        <f t="shared" si="80"/>
        <v>-24493.639885500423</v>
      </c>
      <c r="Q1328">
        <v>112000</v>
      </c>
      <c r="R1328">
        <v>1</v>
      </c>
      <c r="S1328">
        <v>30.29999923706055</v>
      </c>
      <c r="T1328">
        <v>0</v>
      </c>
      <c r="U1328">
        <f t="shared" si="81"/>
        <v>11.728036844587175</v>
      </c>
      <c r="V1328">
        <f t="shared" si="82"/>
        <v>6.932447891572509</v>
      </c>
      <c r="W1328">
        <v>1</v>
      </c>
      <c r="X1328">
        <v>0</v>
      </c>
      <c r="Y1328">
        <v>0</v>
      </c>
      <c r="Z1328">
        <f>'Résultat (Ln)'!F$30+'Résultat (Ln)'!F$31*Données!S1328+'Résultat (Ln)'!F$32*Données!T1328+'Résultat (Ln)'!F$33*Données!U1328+'Résultat (Ln)'!F$34*Données!V1328+'Résultat (Ln)'!F$35*Données!W1328+'Résultat (Ln)'!F$36*Données!X1328+'Résultat (Ln)'!F$37*Données!Y1328</f>
        <v>63331.395264491199</v>
      </c>
      <c r="AA1328">
        <f t="shared" si="83"/>
        <v>48668.604735508801</v>
      </c>
    </row>
    <row r="1329" spans="1:27" x14ac:dyDescent="0.25">
      <c r="A1329">
        <v>138000</v>
      </c>
      <c r="B1329">
        <v>1</v>
      </c>
      <c r="C1329">
        <v>36</v>
      </c>
      <c r="D1329">
        <v>0</v>
      </c>
      <c r="E1329">
        <v>145000</v>
      </c>
      <c r="F1329">
        <v>3246</v>
      </c>
      <c r="G1329">
        <v>1</v>
      </c>
      <c r="H1329">
        <v>0</v>
      </c>
      <c r="I1329">
        <v>0</v>
      </c>
      <c r="J1329">
        <v>28</v>
      </c>
      <c r="K1329">
        <v>1</v>
      </c>
      <c r="L1329">
        <f>Résultats!G$32+Résultats!G$33*Données!C1329+Résultats!G$34*Données!D1329+Résultats!G$35*Données!E1329+Résultats!G$36*Données!F1329+Résultats!G$37*Données!G1329+Résultats!G$38*Données!H1329+Résultats!G$39*Données!I1329</f>
        <v>118928.63987194559</v>
      </c>
      <c r="M1329">
        <f t="shared" si="80"/>
        <v>19071.36012805441</v>
      </c>
      <c r="Q1329">
        <v>125000</v>
      </c>
      <c r="R1329">
        <v>1</v>
      </c>
      <c r="S1329">
        <v>57.599998474121087</v>
      </c>
      <c r="T1329">
        <v>0</v>
      </c>
      <c r="U1329">
        <f t="shared" si="81"/>
        <v>11.842229212112828</v>
      </c>
      <c r="V1329">
        <f t="shared" si="82"/>
        <v>7.8395255817046783</v>
      </c>
      <c r="W1329">
        <v>1</v>
      </c>
      <c r="X1329">
        <v>0</v>
      </c>
      <c r="Y1329">
        <v>1</v>
      </c>
      <c r="Z1329">
        <f>'Résultat (Ln)'!F$30+'Résultat (Ln)'!F$31*Données!S1329+'Résultat (Ln)'!F$32*Données!T1329+'Résultat (Ln)'!F$33*Données!U1329+'Résultat (Ln)'!F$34*Données!V1329+'Résultat (Ln)'!F$35*Données!W1329+'Résultat (Ln)'!F$36*Données!X1329+'Résultat (Ln)'!F$37*Données!Y1329</f>
        <v>148460.67225956972</v>
      </c>
      <c r="AA1329">
        <f t="shared" si="83"/>
        <v>-23460.672259569721</v>
      </c>
    </row>
    <row r="1330" spans="1:27" x14ac:dyDescent="0.25">
      <c r="A1330">
        <v>138000</v>
      </c>
      <c r="B1330">
        <v>1</v>
      </c>
      <c r="C1330">
        <v>31.89999961853027</v>
      </c>
      <c r="D1330">
        <v>0</v>
      </c>
      <c r="E1330">
        <v>145000</v>
      </c>
      <c r="F1330">
        <v>5829</v>
      </c>
      <c r="G1330">
        <v>1</v>
      </c>
      <c r="H1330">
        <v>0</v>
      </c>
      <c r="I1330">
        <v>1</v>
      </c>
      <c r="J1330">
        <v>28</v>
      </c>
      <c r="K1330">
        <v>1</v>
      </c>
      <c r="L1330">
        <f>Résultats!G$32+Résultats!G$33*Données!C1330+Résultats!G$34*Données!D1330+Résultats!G$35*Données!E1330+Résultats!G$36*Données!F1330+Résultats!G$37*Données!G1330+Résultats!G$38*Données!H1330+Résultats!G$39*Données!I1330</f>
        <v>129149.85250209599</v>
      </c>
      <c r="M1330">
        <f t="shared" si="80"/>
        <v>8850.1474979040067</v>
      </c>
      <c r="Q1330">
        <v>138000</v>
      </c>
      <c r="R1330">
        <v>1</v>
      </c>
      <c r="S1330">
        <v>36</v>
      </c>
      <c r="T1330">
        <v>0</v>
      </c>
      <c r="U1330">
        <f t="shared" si="81"/>
        <v>11.884489021402711</v>
      </c>
      <c r="V1330">
        <f t="shared" si="82"/>
        <v>8.0851787480745365</v>
      </c>
      <c r="W1330">
        <v>1</v>
      </c>
      <c r="X1330">
        <v>0</v>
      </c>
      <c r="Y1330">
        <v>0</v>
      </c>
      <c r="Z1330">
        <f>'Résultat (Ln)'!F$30+'Résultat (Ln)'!F$31*Données!S1330+'Résultat (Ln)'!F$32*Données!T1330+'Résultat (Ln)'!F$33*Données!U1330+'Résultat (Ln)'!F$34*Données!V1330+'Résultat (Ln)'!F$35*Données!W1330+'Résultat (Ln)'!F$36*Données!X1330+'Résultat (Ln)'!F$37*Données!Y1330</f>
        <v>119397.2602801929</v>
      </c>
      <c r="AA1330">
        <f t="shared" si="83"/>
        <v>18602.739719807098</v>
      </c>
    </row>
    <row r="1331" spans="1:27" x14ac:dyDescent="0.25">
      <c r="A1331">
        <v>80000</v>
      </c>
      <c r="B1331">
        <v>1</v>
      </c>
      <c r="C1331">
        <v>30.20000076293945</v>
      </c>
      <c r="D1331">
        <v>0</v>
      </c>
      <c r="E1331">
        <v>102000</v>
      </c>
      <c r="F1331">
        <v>2810</v>
      </c>
      <c r="G1331">
        <v>1</v>
      </c>
      <c r="H1331">
        <v>0</v>
      </c>
      <c r="I1331">
        <v>0</v>
      </c>
      <c r="J1331">
        <v>26.340000152587891</v>
      </c>
      <c r="K1331">
        <v>1</v>
      </c>
      <c r="L1331">
        <f>Résultats!G$32+Résultats!G$33*Données!C1331+Résultats!G$34*Données!D1331+Résultats!G$35*Données!E1331+Résultats!G$36*Données!F1331+Résultats!G$37*Données!G1331+Résultats!G$38*Données!H1331+Résultats!G$39*Données!I1331</f>
        <v>91342.486705036485</v>
      </c>
      <c r="M1331">
        <f t="shared" si="80"/>
        <v>-11342.486705036485</v>
      </c>
      <c r="Q1331">
        <v>138000</v>
      </c>
      <c r="R1331">
        <v>1</v>
      </c>
      <c r="S1331">
        <v>31.89999961853027</v>
      </c>
      <c r="T1331">
        <v>0</v>
      </c>
      <c r="U1331">
        <f t="shared" si="81"/>
        <v>11.884489021402711</v>
      </c>
      <c r="V1331">
        <f t="shared" si="82"/>
        <v>8.6706007380455503</v>
      </c>
      <c r="W1331">
        <v>1</v>
      </c>
      <c r="X1331">
        <v>0</v>
      </c>
      <c r="Y1331">
        <v>1</v>
      </c>
      <c r="Z1331">
        <f>'Résultat (Ln)'!F$30+'Résultat (Ln)'!F$31*Données!S1331+'Résultat (Ln)'!F$32*Données!T1331+'Résultat (Ln)'!F$33*Données!U1331+'Résultat (Ln)'!F$34*Données!V1331+'Résultat (Ln)'!F$35*Données!W1331+'Résultat (Ln)'!F$36*Données!X1331+'Résultat (Ln)'!F$37*Données!Y1331</f>
        <v>144892.44663909939</v>
      </c>
      <c r="AA1331">
        <f t="shared" si="83"/>
        <v>-6892.4466390993912</v>
      </c>
    </row>
    <row r="1332" spans="1:27" x14ac:dyDescent="0.25">
      <c r="A1332">
        <v>250000</v>
      </c>
      <c r="B1332">
        <v>1</v>
      </c>
      <c r="C1332">
        <v>30.10000038146973</v>
      </c>
      <c r="D1332">
        <v>0</v>
      </c>
      <c r="E1332">
        <v>285000</v>
      </c>
      <c r="F1332">
        <v>6891</v>
      </c>
      <c r="G1332">
        <v>1</v>
      </c>
      <c r="H1332">
        <v>0</v>
      </c>
      <c r="I1332">
        <v>1</v>
      </c>
      <c r="J1332">
        <v>28.639999389648441</v>
      </c>
      <c r="K1332">
        <v>1</v>
      </c>
      <c r="L1332">
        <f>Résultats!G$32+Résultats!G$33*Données!C1332+Résultats!G$34*Données!D1332+Résultats!G$35*Données!E1332+Résultats!G$36*Données!F1332+Résultats!G$37*Données!G1332+Résultats!G$38*Données!H1332+Résultats!G$39*Données!I1332</f>
        <v>194513.63449264952</v>
      </c>
      <c r="M1332">
        <f t="shared" si="80"/>
        <v>55486.365507350478</v>
      </c>
      <c r="Q1332">
        <v>80000</v>
      </c>
      <c r="R1332">
        <v>1</v>
      </c>
      <c r="S1332">
        <v>30.20000076293945</v>
      </c>
      <c r="T1332">
        <v>0</v>
      </c>
      <c r="U1332">
        <f t="shared" si="81"/>
        <v>11.532728092266408</v>
      </c>
      <c r="V1332">
        <f t="shared" si="82"/>
        <v>7.9409397623277913</v>
      </c>
      <c r="W1332">
        <v>1</v>
      </c>
      <c r="X1332">
        <v>0</v>
      </c>
      <c r="Y1332">
        <v>0</v>
      </c>
      <c r="Z1332">
        <f>'Résultat (Ln)'!F$30+'Résultat (Ln)'!F$31*Données!S1332+'Résultat (Ln)'!F$32*Données!T1332+'Résultat (Ln)'!F$33*Données!U1332+'Résultat (Ln)'!F$34*Données!V1332+'Résultat (Ln)'!F$35*Données!W1332+'Résultat (Ln)'!F$36*Données!X1332+'Résultat (Ln)'!F$37*Données!Y1332</f>
        <v>70556.9148375925</v>
      </c>
      <c r="AA1332">
        <f t="shared" si="83"/>
        <v>9443.0851624075003</v>
      </c>
    </row>
    <row r="1333" spans="1:27" x14ac:dyDescent="0.25">
      <c r="A1333">
        <v>113000</v>
      </c>
      <c r="B1333">
        <v>1</v>
      </c>
      <c r="C1333">
        <v>33</v>
      </c>
      <c r="D1333">
        <v>0</v>
      </c>
      <c r="E1333">
        <v>141000</v>
      </c>
      <c r="F1333">
        <v>3584</v>
      </c>
      <c r="G1333">
        <v>0</v>
      </c>
      <c r="H1333">
        <v>0</v>
      </c>
      <c r="I1333">
        <v>1</v>
      </c>
      <c r="J1333">
        <v>32</v>
      </c>
      <c r="K1333">
        <v>0</v>
      </c>
      <c r="L1333">
        <f>Résultats!G$32+Résultats!G$33*Données!C1333+Résultats!G$34*Données!D1333+Résultats!G$35*Données!E1333+Résultats!G$36*Données!F1333+Résultats!G$37*Données!G1333+Résultats!G$38*Données!H1333+Résultats!G$39*Données!I1333</f>
        <v>117178.62616544752</v>
      </c>
      <c r="M1333">
        <f t="shared" si="80"/>
        <v>-4178.6261654475238</v>
      </c>
      <c r="Q1333">
        <v>250000</v>
      </c>
      <c r="R1333">
        <v>1</v>
      </c>
      <c r="S1333">
        <v>30.10000038146973</v>
      </c>
      <c r="T1333">
        <v>0</v>
      </c>
      <c r="U1333">
        <f t="shared" si="81"/>
        <v>12.560244459250788</v>
      </c>
      <c r="V1333">
        <f t="shared" si="82"/>
        <v>8.8379714913572087</v>
      </c>
      <c r="W1333">
        <v>1</v>
      </c>
      <c r="X1333">
        <v>0</v>
      </c>
      <c r="Y1333">
        <v>1</v>
      </c>
      <c r="Z1333">
        <f>'Résultat (Ln)'!F$30+'Résultat (Ln)'!F$31*Données!S1333+'Résultat (Ln)'!F$32*Données!T1333+'Résultat (Ln)'!F$33*Données!U1333+'Résultat (Ln)'!F$34*Données!V1333+'Résultat (Ln)'!F$35*Données!W1333+'Résultat (Ln)'!F$36*Données!X1333+'Résultat (Ln)'!F$37*Données!Y1333</f>
        <v>219824.80620846743</v>
      </c>
      <c r="AA1333">
        <f t="shared" si="83"/>
        <v>30175.193791532569</v>
      </c>
    </row>
    <row r="1334" spans="1:27" x14ac:dyDescent="0.25">
      <c r="A1334">
        <v>108000</v>
      </c>
      <c r="B1334">
        <v>1</v>
      </c>
      <c r="C1334">
        <v>35</v>
      </c>
      <c r="D1334">
        <v>0</v>
      </c>
      <c r="E1334">
        <v>135000</v>
      </c>
      <c r="F1334">
        <v>3253</v>
      </c>
      <c r="G1334">
        <v>0</v>
      </c>
      <c r="H1334">
        <v>0</v>
      </c>
      <c r="I1334">
        <v>0</v>
      </c>
      <c r="J1334">
        <v>34</v>
      </c>
      <c r="K1334">
        <v>0</v>
      </c>
      <c r="L1334">
        <f>Résultats!G$32+Résultats!G$33*Données!C1334+Résultats!G$34*Données!D1334+Résultats!G$35*Données!E1334+Résultats!G$36*Données!F1334+Résultats!G$37*Données!G1334+Résultats!G$38*Données!H1334+Résultats!G$39*Données!I1334</f>
        <v>106107.38283661329</v>
      </c>
      <c r="M1334">
        <f t="shared" si="80"/>
        <v>1892.6171633867052</v>
      </c>
      <c r="Q1334">
        <v>113000</v>
      </c>
      <c r="R1334">
        <v>1</v>
      </c>
      <c r="S1334">
        <v>33</v>
      </c>
      <c r="T1334">
        <v>0</v>
      </c>
      <c r="U1334">
        <f t="shared" si="81"/>
        <v>11.856515169360305</v>
      </c>
      <c r="V1334">
        <f t="shared" si="82"/>
        <v>8.1842347740948203</v>
      </c>
      <c r="W1334">
        <v>0</v>
      </c>
      <c r="X1334">
        <v>0</v>
      </c>
      <c r="Y1334">
        <v>1</v>
      </c>
      <c r="Z1334">
        <f>'Résultat (Ln)'!F$30+'Résultat (Ln)'!F$31*Données!S1334+'Résultat (Ln)'!F$32*Données!T1334+'Résultat (Ln)'!F$33*Données!U1334+'Résultat (Ln)'!F$34*Données!V1334+'Résultat (Ln)'!F$35*Données!W1334+'Résultat (Ln)'!F$36*Données!X1334+'Résultat (Ln)'!F$37*Données!Y1334</f>
        <v>125083.46930428105</v>
      </c>
      <c r="AA1334">
        <f t="shared" si="83"/>
        <v>-12083.469304281054</v>
      </c>
    </row>
    <row r="1335" spans="1:27" x14ac:dyDescent="0.25">
      <c r="A1335">
        <v>112000</v>
      </c>
      <c r="B1335">
        <v>1</v>
      </c>
      <c r="C1335">
        <v>37</v>
      </c>
      <c r="D1335">
        <v>0</v>
      </c>
      <c r="E1335">
        <v>140000</v>
      </c>
      <c r="F1335">
        <v>4544</v>
      </c>
      <c r="G1335">
        <v>1</v>
      </c>
      <c r="H1335">
        <v>0</v>
      </c>
      <c r="I1335">
        <v>1</v>
      </c>
      <c r="J1335">
        <v>27</v>
      </c>
      <c r="K1335">
        <v>1</v>
      </c>
      <c r="L1335">
        <f>Résultats!G$32+Résultats!G$33*Données!C1335+Résultats!G$34*Données!D1335+Résultats!G$35*Données!E1335+Résultats!G$36*Données!F1335+Résultats!G$37*Données!G1335+Résultats!G$38*Données!H1335+Résultats!G$39*Données!I1335</f>
        <v>130183.24876542008</v>
      </c>
      <c r="M1335">
        <f t="shared" si="80"/>
        <v>-18183.248765420081</v>
      </c>
      <c r="Q1335">
        <v>108000</v>
      </c>
      <c r="R1335">
        <v>1</v>
      </c>
      <c r="S1335">
        <v>35</v>
      </c>
      <c r="T1335">
        <v>0</v>
      </c>
      <c r="U1335">
        <f t="shared" si="81"/>
        <v>11.813030057420567</v>
      </c>
      <c r="V1335">
        <f t="shared" si="82"/>
        <v>8.0873329264733513</v>
      </c>
      <c r="W1335">
        <v>0</v>
      </c>
      <c r="X1335">
        <v>0</v>
      </c>
      <c r="Y1335">
        <v>0</v>
      </c>
      <c r="Z1335">
        <f>'Résultat (Ln)'!F$30+'Résultat (Ln)'!F$31*Données!S1335+'Résultat (Ln)'!F$32*Données!T1335+'Résultat (Ln)'!F$33*Données!U1335+'Résultat (Ln)'!F$34*Données!V1335+'Résultat (Ln)'!F$35*Données!W1335+'Résultat (Ln)'!F$36*Données!X1335+'Résultat (Ln)'!F$37*Données!Y1335</f>
        <v>106061.51997074729</v>
      </c>
      <c r="AA1335">
        <f t="shared" si="83"/>
        <v>1938.480029252707</v>
      </c>
    </row>
    <row r="1336" spans="1:27" x14ac:dyDescent="0.25">
      <c r="A1336">
        <v>64000</v>
      </c>
      <c r="B1336">
        <v>1</v>
      </c>
      <c r="C1336">
        <v>29.89999961853027</v>
      </c>
      <c r="D1336">
        <v>0</v>
      </c>
      <c r="E1336">
        <v>81000</v>
      </c>
      <c r="F1336">
        <v>2107</v>
      </c>
      <c r="G1336">
        <v>0</v>
      </c>
      <c r="H1336">
        <v>0</v>
      </c>
      <c r="I1336">
        <v>1</v>
      </c>
      <c r="J1336">
        <v>29.879999160766602</v>
      </c>
      <c r="K1336">
        <v>0</v>
      </c>
      <c r="L1336">
        <f>Résultats!G$32+Résultats!G$33*Données!C1336+Résultats!G$34*Données!D1336+Résultats!G$35*Données!E1336+Résultats!G$36*Données!F1336+Résultats!G$37*Données!G1336+Résultats!G$38*Données!H1336+Résultats!G$39*Données!I1336</f>
        <v>82738.439492421036</v>
      </c>
      <c r="M1336">
        <f t="shared" si="80"/>
        <v>-18738.439492421036</v>
      </c>
      <c r="Q1336">
        <v>112000</v>
      </c>
      <c r="R1336">
        <v>1</v>
      </c>
      <c r="S1336">
        <v>37</v>
      </c>
      <c r="T1336">
        <v>0</v>
      </c>
      <c r="U1336">
        <f t="shared" si="81"/>
        <v>11.849397701591441</v>
      </c>
      <c r="V1336">
        <f t="shared" si="82"/>
        <v>8.421562960400987</v>
      </c>
      <c r="W1336">
        <v>1</v>
      </c>
      <c r="X1336">
        <v>0</v>
      </c>
      <c r="Y1336">
        <v>1</v>
      </c>
      <c r="Z1336">
        <f>'Résultat (Ln)'!F$30+'Résultat (Ln)'!F$31*Données!S1336+'Résultat (Ln)'!F$32*Données!T1336+'Résultat (Ln)'!F$33*Données!U1336+'Résultat (Ln)'!F$34*Données!V1336+'Résultat (Ln)'!F$35*Données!W1336+'Résultat (Ln)'!F$36*Données!X1336+'Résultat (Ln)'!F$37*Données!Y1336</f>
        <v>140378.7602154233</v>
      </c>
      <c r="AA1336">
        <f t="shared" si="83"/>
        <v>-28378.760215423303</v>
      </c>
    </row>
    <row r="1337" spans="1:27" x14ac:dyDescent="0.25">
      <c r="A1337">
        <v>150000</v>
      </c>
      <c r="B1337">
        <v>1</v>
      </c>
      <c r="C1337">
        <v>40</v>
      </c>
      <c r="D1337">
        <v>1</v>
      </c>
      <c r="E1337">
        <v>167000</v>
      </c>
      <c r="F1337">
        <v>3186</v>
      </c>
      <c r="G1337">
        <v>1</v>
      </c>
      <c r="H1337">
        <v>1</v>
      </c>
      <c r="I1337">
        <v>0</v>
      </c>
      <c r="J1337">
        <v>28</v>
      </c>
      <c r="K1337">
        <v>1</v>
      </c>
      <c r="L1337">
        <f>Résultats!G$32+Résultats!G$33*Données!C1337+Résultats!G$34*Données!D1337+Résultats!G$35*Données!E1337+Résultats!G$36*Données!F1337+Résultats!G$37*Données!G1337+Résultats!G$38*Données!H1337+Résultats!G$39*Données!I1337</f>
        <v>136902.99829338197</v>
      </c>
      <c r="M1337">
        <f t="shared" si="80"/>
        <v>13097.00170661803</v>
      </c>
      <c r="Q1337">
        <v>64000</v>
      </c>
      <c r="R1337">
        <v>1</v>
      </c>
      <c r="S1337">
        <v>29.89999961853027</v>
      </c>
      <c r="T1337">
        <v>0</v>
      </c>
      <c r="U1337">
        <f t="shared" si="81"/>
        <v>11.302204433654575</v>
      </c>
      <c r="V1337">
        <f t="shared" si="82"/>
        <v>7.6530204138041888</v>
      </c>
      <c r="W1337">
        <v>0</v>
      </c>
      <c r="X1337">
        <v>0</v>
      </c>
      <c r="Y1337">
        <v>1</v>
      </c>
      <c r="Z1337">
        <f>'Résultat (Ln)'!F$30+'Résultat (Ln)'!F$31*Données!S1337+'Résultat (Ln)'!F$32*Données!T1337+'Résultat (Ln)'!F$33*Données!U1337+'Résultat (Ln)'!F$34*Données!V1337+'Résultat (Ln)'!F$35*Données!W1337+'Résultat (Ln)'!F$36*Données!X1337+'Résultat (Ln)'!F$37*Données!Y1337</f>
        <v>46977.160638606612</v>
      </c>
      <c r="AA1337">
        <f t="shared" si="83"/>
        <v>17022.839361393388</v>
      </c>
    </row>
    <row r="1338" spans="1:27" x14ac:dyDescent="0.25">
      <c r="A1338">
        <v>210000</v>
      </c>
      <c r="B1338">
        <v>1</v>
      </c>
      <c r="C1338">
        <v>34</v>
      </c>
      <c r="D1338">
        <v>1</v>
      </c>
      <c r="E1338">
        <v>290000</v>
      </c>
      <c r="F1338">
        <v>7451</v>
      </c>
      <c r="G1338">
        <v>1</v>
      </c>
      <c r="H1338">
        <v>0</v>
      </c>
      <c r="I1338">
        <v>0</v>
      </c>
      <c r="J1338">
        <v>30</v>
      </c>
      <c r="K1338">
        <v>1</v>
      </c>
      <c r="L1338">
        <f>Résultats!G$32+Résultats!G$33*Données!C1338+Résultats!G$34*Données!D1338+Résultats!G$35*Données!E1338+Résultats!G$36*Données!F1338+Résultats!G$37*Données!G1338+Résultats!G$38*Données!H1338+Résultats!G$39*Données!I1338</f>
        <v>197336.16765953379</v>
      </c>
      <c r="M1338">
        <f t="shared" si="80"/>
        <v>12663.832340466208</v>
      </c>
      <c r="Q1338">
        <v>150000</v>
      </c>
      <c r="R1338">
        <v>1</v>
      </c>
      <c r="S1338">
        <v>40</v>
      </c>
      <c r="T1338">
        <v>1</v>
      </c>
      <c r="U1338">
        <f t="shared" si="81"/>
        <v>12.025749091398891</v>
      </c>
      <c r="V1338">
        <f t="shared" si="82"/>
        <v>8.0665214904699933</v>
      </c>
      <c r="W1338">
        <v>1</v>
      </c>
      <c r="X1338">
        <v>1</v>
      </c>
      <c r="Y1338">
        <v>0</v>
      </c>
      <c r="Z1338">
        <f>'Résultat (Ln)'!F$30+'Résultat (Ln)'!F$31*Données!S1338+'Résultat (Ln)'!F$32*Données!T1338+'Résultat (Ln)'!F$33*Données!U1338+'Résultat (Ln)'!F$34*Données!V1338+'Résultat (Ln)'!F$35*Données!W1338+'Résultat (Ln)'!F$36*Données!X1338+'Résultat (Ln)'!F$37*Données!Y1338</f>
        <v>143075.89271108533</v>
      </c>
      <c r="AA1338">
        <f t="shared" si="83"/>
        <v>6924.1072889146744</v>
      </c>
    </row>
    <row r="1339" spans="1:27" x14ac:dyDescent="0.25">
      <c r="A1339">
        <v>80000</v>
      </c>
      <c r="B1339">
        <v>1</v>
      </c>
      <c r="C1339">
        <v>30</v>
      </c>
      <c r="D1339">
        <v>0</v>
      </c>
      <c r="E1339">
        <v>104000</v>
      </c>
      <c r="F1339">
        <v>2720</v>
      </c>
      <c r="G1339">
        <v>0</v>
      </c>
      <c r="H1339">
        <v>1</v>
      </c>
      <c r="I1339">
        <v>1</v>
      </c>
      <c r="J1339">
        <v>30</v>
      </c>
      <c r="K1339">
        <v>0</v>
      </c>
      <c r="L1339">
        <f>Résultats!G$32+Résultats!G$33*Données!C1339+Résultats!G$34*Données!D1339+Résultats!G$35*Données!E1339+Résultats!G$36*Données!F1339+Résultats!G$37*Données!G1339+Résultats!G$38*Données!H1339+Résultats!G$39*Données!I1339</f>
        <v>93155.819324017008</v>
      </c>
      <c r="M1339">
        <f t="shared" si="80"/>
        <v>-13155.819324017008</v>
      </c>
      <c r="Q1339">
        <v>210000</v>
      </c>
      <c r="R1339">
        <v>1</v>
      </c>
      <c r="S1339">
        <v>34</v>
      </c>
      <c r="T1339">
        <v>1</v>
      </c>
      <c r="U1339">
        <f t="shared" si="81"/>
        <v>12.577636201962656</v>
      </c>
      <c r="V1339">
        <f t="shared" si="82"/>
        <v>8.9161035305537268</v>
      </c>
      <c r="W1339">
        <v>1</v>
      </c>
      <c r="X1339">
        <v>0</v>
      </c>
      <c r="Y1339">
        <v>0</v>
      </c>
      <c r="Z1339">
        <f>'Résultat (Ln)'!F$30+'Résultat (Ln)'!F$31*Données!S1339+'Résultat (Ln)'!F$32*Données!T1339+'Résultat (Ln)'!F$33*Données!U1339+'Résultat (Ln)'!F$34*Données!V1339+'Résultat (Ln)'!F$35*Données!W1339+'Résultat (Ln)'!F$36*Données!X1339+'Résultat (Ln)'!F$37*Données!Y1339</f>
        <v>218908.23929899806</v>
      </c>
      <c r="AA1339">
        <f t="shared" si="83"/>
        <v>-8908.2392989980581</v>
      </c>
    </row>
    <row r="1340" spans="1:27" x14ac:dyDescent="0.25">
      <c r="A1340">
        <v>150000</v>
      </c>
      <c r="B1340">
        <v>1</v>
      </c>
      <c r="C1340">
        <v>34</v>
      </c>
      <c r="D1340">
        <v>1</v>
      </c>
      <c r="E1340">
        <v>285000</v>
      </c>
      <c r="F1340">
        <v>5000</v>
      </c>
      <c r="G1340">
        <v>1</v>
      </c>
      <c r="H1340">
        <v>0</v>
      </c>
      <c r="I1340">
        <v>0</v>
      </c>
      <c r="J1340">
        <v>24</v>
      </c>
      <c r="K1340">
        <v>1</v>
      </c>
      <c r="L1340">
        <f>Résultats!G$32+Résultats!G$33*Données!C1340+Résultats!G$34*Données!D1340+Résultats!G$35*Données!E1340+Résultats!G$36*Données!F1340+Résultats!G$37*Données!G1340+Résultats!G$38*Données!H1340+Résultats!G$39*Données!I1340</f>
        <v>190251.8844827032</v>
      </c>
      <c r="M1340">
        <f t="shared" si="80"/>
        <v>-40251.884482703201</v>
      </c>
      <c r="Q1340">
        <v>80000</v>
      </c>
      <c r="R1340">
        <v>1</v>
      </c>
      <c r="S1340">
        <v>30</v>
      </c>
      <c r="T1340">
        <v>0</v>
      </c>
      <c r="U1340">
        <f t="shared" si="81"/>
        <v>11.552146178123509</v>
      </c>
      <c r="V1340">
        <f t="shared" si="82"/>
        <v>7.9083871592900428</v>
      </c>
      <c r="W1340">
        <v>0</v>
      </c>
      <c r="X1340">
        <v>1</v>
      </c>
      <c r="Y1340">
        <v>1</v>
      </c>
      <c r="Z1340">
        <f>'Résultat (Ln)'!F$30+'Résultat (Ln)'!F$31*Données!S1340+'Résultat (Ln)'!F$32*Données!T1340+'Résultat (Ln)'!F$33*Données!U1340+'Résultat (Ln)'!F$34*Données!V1340+'Résultat (Ln)'!F$35*Données!W1340+'Résultat (Ln)'!F$36*Données!X1340+'Résultat (Ln)'!F$37*Données!Y1340</f>
        <v>80876.435844581472</v>
      </c>
      <c r="AA1340">
        <f t="shared" si="83"/>
        <v>-876.43584458147234</v>
      </c>
    </row>
    <row r="1341" spans="1:27" x14ac:dyDescent="0.25">
      <c r="A1341">
        <v>127000</v>
      </c>
      <c r="B1341">
        <v>1</v>
      </c>
      <c r="C1341">
        <v>31</v>
      </c>
      <c r="D1341">
        <v>0</v>
      </c>
      <c r="E1341">
        <v>148000</v>
      </c>
      <c r="F1341">
        <v>3640</v>
      </c>
      <c r="G1341">
        <v>1</v>
      </c>
      <c r="H1341">
        <v>0</v>
      </c>
      <c r="I1341">
        <v>1</v>
      </c>
      <c r="J1341">
        <v>31</v>
      </c>
      <c r="K1341">
        <v>1</v>
      </c>
      <c r="L1341">
        <f>Résultats!G$32+Résultats!G$33*Données!C1341+Résultats!G$34*Données!D1341+Résultats!G$35*Données!E1341+Résultats!G$36*Données!F1341+Résultats!G$37*Données!G1341+Résultats!G$38*Données!H1341+Résultats!G$39*Données!I1341</f>
        <v>125275.09286145137</v>
      </c>
      <c r="M1341">
        <f t="shared" si="80"/>
        <v>1724.9071385486313</v>
      </c>
      <c r="Q1341">
        <v>150000</v>
      </c>
      <c r="R1341">
        <v>1</v>
      </c>
      <c r="S1341">
        <v>34</v>
      </c>
      <c r="T1341">
        <v>1</v>
      </c>
      <c r="U1341">
        <f t="shared" si="81"/>
        <v>12.560244459250788</v>
      </c>
      <c r="V1341">
        <f t="shared" si="82"/>
        <v>8.5171931914162382</v>
      </c>
      <c r="W1341">
        <v>1</v>
      </c>
      <c r="X1341">
        <v>0</v>
      </c>
      <c r="Y1341">
        <v>0</v>
      </c>
      <c r="Z1341">
        <f>'Résultat (Ln)'!F$30+'Résultat (Ln)'!F$31*Données!S1341+'Résultat (Ln)'!F$32*Données!T1341+'Résultat (Ln)'!F$33*Données!U1341+'Résultat (Ln)'!F$34*Données!V1341+'Résultat (Ln)'!F$35*Données!W1341+'Résultat (Ln)'!F$36*Données!X1341+'Résultat (Ln)'!F$37*Données!Y1341</f>
        <v>205856.16483834153</v>
      </c>
      <c r="AA1341">
        <f t="shared" si="83"/>
        <v>-55856.16483834153</v>
      </c>
    </row>
    <row r="1342" spans="1:27" x14ac:dyDescent="0.25">
      <c r="A1342">
        <v>206000</v>
      </c>
      <c r="B1342">
        <v>1</v>
      </c>
      <c r="C1342">
        <v>26</v>
      </c>
      <c r="D1342">
        <v>0</v>
      </c>
      <c r="E1342">
        <v>258000</v>
      </c>
      <c r="F1342">
        <v>10000</v>
      </c>
      <c r="G1342">
        <v>1</v>
      </c>
      <c r="H1342">
        <v>0</v>
      </c>
      <c r="I1342">
        <v>1</v>
      </c>
      <c r="J1342">
        <v>20</v>
      </c>
      <c r="K1342">
        <v>1</v>
      </c>
      <c r="L1342">
        <f>Résultats!G$32+Résultats!G$33*Données!C1342+Résultats!G$34*Données!D1342+Résultats!G$35*Données!E1342+Résultats!G$36*Données!F1342+Résultats!G$37*Données!G1342+Résultats!G$38*Données!H1342+Résultats!G$39*Données!I1342</f>
        <v>183220.92816605794</v>
      </c>
      <c r="M1342">
        <f t="shared" si="80"/>
        <v>22779.071833942056</v>
      </c>
      <c r="Q1342">
        <v>127000</v>
      </c>
      <c r="R1342">
        <v>1</v>
      </c>
      <c r="S1342">
        <v>31</v>
      </c>
      <c r="T1342">
        <v>0</v>
      </c>
      <c r="U1342">
        <f t="shared" si="81"/>
        <v>11.904967552746252</v>
      </c>
      <c r="V1342">
        <f t="shared" si="82"/>
        <v>8.1997389606307856</v>
      </c>
      <c r="W1342">
        <v>1</v>
      </c>
      <c r="X1342">
        <v>0</v>
      </c>
      <c r="Y1342">
        <v>1</v>
      </c>
      <c r="Z1342">
        <f>'Résultat (Ln)'!F$30+'Résultat (Ln)'!F$31*Données!S1342+'Résultat (Ln)'!F$32*Données!T1342+'Résultat (Ln)'!F$33*Données!U1342+'Résultat (Ln)'!F$34*Données!V1342+'Résultat (Ln)'!F$35*Données!W1342+'Résultat (Ln)'!F$36*Données!X1342+'Résultat (Ln)'!F$37*Données!Y1342</f>
        <v>132782.12611319526</v>
      </c>
      <c r="AA1342">
        <f t="shared" si="83"/>
        <v>-5782.1261131952633</v>
      </c>
    </row>
    <row r="1343" spans="1:27" x14ac:dyDescent="0.25">
      <c r="A1343">
        <v>100000</v>
      </c>
      <c r="B1343">
        <v>1</v>
      </c>
      <c r="C1343">
        <v>32</v>
      </c>
      <c r="D1343">
        <v>0</v>
      </c>
      <c r="E1343">
        <v>160000</v>
      </c>
      <c r="F1343">
        <v>1820</v>
      </c>
      <c r="G1343">
        <v>1</v>
      </c>
      <c r="H1343">
        <v>0</v>
      </c>
      <c r="I1343">
        <v>1</v>
      </c>
      <c r="J1343">
        <v>26</v>
      </c>
      <c r="K1343">
        <v>1</v>
      </c>
      <c r="L1343">
        <f>Résultats!G$32+Résultats!G$33*Données!C1343+Résultats!G$34*Données!D1343+Résultats!G$35*Données!E1343+Résultats!G$36*Données!F1343+Résultats!G$37*Données!G1343+Résultats!G$38*Données!H1343+Résultats!G$39*Données!I1343</f>
        <v>128500.42945896497</v>
      </c>
      <c r="M1343">
        <f t="shared" si="80"/>
        <v>-28500.429458964965</v>
      </c>
      <c r="Q1343">
        <v>206000</v>
      </c>
      <c r="R1343">
        <v>1</v>
      </c>
      <c r="S1343">
        <v>26</v>
      </c>
      <c r="T1343">
        <v>0</v>
      </c>
      <c r="U1343">
        <f t="shared" si="81"/>
        <v>12.460714863903755</v>
      </c>
      <c r="V1343">
        <f t="shared" si="82"/>
        <v>9.2103403719761836</v>
      </c>
      <c r="W1343">
        <v>1</v>
      </c>
      <c r="X1343">
        <v>0</v>
      </c>
      <c r="Y1343">
        <v>1</v>
      </c>
      <c r="Z1343">
        <f>'Résultat (Ln)'!F$30+'Résultat (Ln)'!F$31*Données!S1343+'Résultat (Ln)'!F$32*Données!T1343+'Résultat (Ln)'!F$33*Données!U1343+'Résultat (Ln)'!F$34*Données!V1343+'Résultat (Ln)'!F$35*Données!W1343+'Résultat (Ln)'!F$36*Données!X1343+'Résultat (Ln)'!F$37*Données!Y1343</f>
        <v>214588.6869235257</v>
      </c>
      <c r="AA1343">
        <f t="shared" si="83"/>
        <v>-8588.6869235257036</v>
      </c>
    </row>
    <row r="1344" spans="1:27" x14ac:dyDescent="0.25">
      <c r="A1344">
        <v>110000</v>
      </c>
      <c r="B1344">
        <v>1</v>
      </c>
      <c r="C1344">
        <v>18</v>
      </c>
      <c r="D1344">
        <v>0</v>
      </c>
      <c r="E1344">
        <v>140000</v>
      </c>
      <c r="F1344">
        <v>7250</v>
      </c>
      <c r="G1344">
        <v>1</v>
      </c>
      <c r="H1344">
        <v>0</v>
      </c>
      <c r="I1344">
        <v>1</v>
      </c>
      <c r="J1344">
        <v>13</v>
      </c>
      <c r="K1344">
        <v>1</v>
      </c>
      <c r="L1344">
        <f>Résultats!G$32+Résultats!G$33*Données!C1344+Résultats!G$34*Données!D1344+Résultats!G$35*Données!E1344+Résultats!G$36*Données!F1344+Résultats!G$37*Données!G1344+Résultats!G$38*Données!H1344+Résultats!G$39*Données!I1344</f>
        <v>113602.1641739184</v>
      </c>
      <c r="M1344">
        <f t="shared" si="80"/>
        <v>-3602.1641739183979</v>
      </c>
      <c r="Q1344">
        <v>100000</v>
      </c>
      <c r="R1344">
        <v>1</v>
      </c>
      <c r="S1344">
        <v>32</v>
      </c>
      <c r="T1344">
        <v>0</v>
      </c>
      <c r="U1344">
        <f t="shared" si="81"/>
        <v>11.982929094215963</v>
      </c>
      <c r="V1344">
        <f t="shared" si="82"/>
        <v>7.506591780070841</v>
      </c>
      <c r="W1344">
        <v>1</v>
      </c>
      <c r="X1344">
        <v>0</v>
      </c>
      <c r="Y1344">
        <v>1</v>
      </c>
      <c r="Z1344">
        <f>'Résultat (Ln)'!F$30+'Résultat (Ln)'!F$31*Données!S1344+'Résultat (Ln)'!F$32*Données!T1344+'Résultat (Ln)'!F$33*Données!U1344+'Résultat (Ln)'!F$34*Données!V1344+'Résultat (Ln)'!F$35*Données!W1344+'Résultat (Ln)'!F$36*Données!X1344+'Résultat (Ln)'!F$37*Données!Y1344</f>
        <v>122921.43641389655</v>
      </c>
      <c r="AA1344">
        <f t="shared" si="83"/>
        <v>-22921.436413896547</v>
      </c>
    </row>
    <row r="1345" spans="1:27" x14ac:dyDescent="0.25">
      <c r="A1345">
        <v>280000</v>
      </c>
      <c r="B1345">
        <v>1</v>
      </c>
      <c r="C1345">
        <v>36</v>
      </c>
      <c r="D1345">
        <v>0</v>
      </c>
      <c r="E1345">
        <v>370000</v>
      </c>
      <c r="F1345">
        <v>7417</v>
      </c>
      <c r="G1345">
        <v>1</v>
      </c>
      <c r="H1345">
        <v>0</v>
      </c>
      <c r="I1345">
        <v>1</v>
      </c>
      <c r="J1345">
        <v>32</v>
      </c>
      <c r="K1345">
        <v>1</v>
      </c>
      <c r="L1345">
        <f>Résultats!G$32+Résultats!G$33*Données!C1345+Résultats!G$34*Données!D1345+Résultats!G$35*Données!E1345+Résultats!G$36*Données!F1345+Résultats!G$37*Données!G1345+Résultats!G$38*Données!H1345+Résultats!G$39*Données!I1345</f>
        <v>242001.09328282144</v>
      </c>
      <c r="M1345">
        <f t="shared" si="80"/>
        <v>37998.906717178557</v>
      </c>
      <c r="Q1345">
        <v>110000</v>
      </c>
      <c r="R1345">
        <v>1</v>
      </c>
      <c r="S1345">
        <v>18</v>
      </c>
      <c r="T1345">
        <v>0</v>
      </c>
      <c r="U1345">
        <f t="shared" si="81"/>
        <v>11.849397701591441</v>
      </c>
      <c r="V1345">
        <f t="shared" si="82"/>
        <v>8.8887567478487206</v>
      </c>
      <c r="W1345">
        <v>1</v>
      </c>
      <c r="X1345">
        <v>0</v>
      </c>
      <c r="Y1345">
        <v>1</v>
      </c>
      <c r="Z1345">
        <f>'Résultat (Ln)'!F$30+'Résultat (Ln)'!F$31*Données!S1345+'Résultat (Ln)'!F$32*Données!T1345+'Résultat (Ln)'!F$33*Données!U1345+'Résultat (Ln)'!F$34*Données!V1345+'Résultat (Ln)'!F$35*Données!W1345+'Résultat (Ln)'!F$36*Données!X1345+'Résultat (Ln)'!F$37*Données!Y1345</f>
        <v>130262.80199391382</v>
      </c>
      <c r="AA1345">
        <f t="shared" si="83"/>
        <v>-20262.801993913818</v>
      </c>
    </row>
    <row r="1346" spans="1:27" x14ac:dyDescent="0.25">
      <c r="A1346">
        <v>96000</v>
      </c>
      <c r="B1346">
        <v>1</v>
      </c>
      <c r="C1346">
        <v>41</v>
      </c>
      <c r="D1346">
        <v>0</v>
      </c>
      <c r="E1346">
        <v>120000</v>
      </c>
      <c r="F1346">
        <v>14880</v>
      </c>
      <c r="G1346">
        <v>1</v>
      </c>
      <c r="H1346">
        <v>6</v>
      </c>
      <c r="I1346">
        <v>0</v>
      </c>
      <c r="J1346">
        <v>7</v>
      </c>
      <c r="K1346">
        <v>1</v>
      </c>
      <c r="L1346">
        <f>Résultats!G$32+Résultats!G$33*Données!C1346+Résultats!G$34*Données!D1346+Résultats!G$35*Données!E1346+Résultats!G$36*Données!F1346+Résultats!G$37*Données!G1346+Résultats!G$38*Données!H1346+Résultats!G$39*Données!I1346</f>
        <v>125790.71938885773</v>
      </c>
      <c r="M1346">
        <f t="shared" si="80"/>
        <v>-29790.719388857731</v>
      </c>
      <c r="Q1346">
        <v>280000</v>
      </c>
      <c r="R1346">
        <v>1</v>
      </c>
      <c r="S1346">
        <v>36</v>
      </c>
      <c r="T1346">
        <v>0</v>
      </c>
      <c r="U1346">
        <f t="shared" si="81"/>
        <v>12.821258284620408</v>
      </c>
      <c r="V1346">
        <f t="shared" si="82"/>
        <v>8.9115299417365588</v>
      </c>
      <c r="W1346">
        <v>1</v>
      </c>
      <c r="X1346">
        <v>0</v>
      </c>
      <c r="Y1346">
        <v>1</v>
      </c>
      <c r="Z1346">
        <f>'Résultat (Ln)'!F$30+'Résultat (Ln)'!F$31*Données!S1346+'Résultat (Ln)'!F$32*Données!T1346+'Résultat (Ln)'!F$33*Données!U1346+'Résultat (Ln)'!F$34*Données!V1346+'Résultat (Ln)'!F$35*Données!W1346+'Résultat (Ln)'!F$36*Données!X1346+'Résultat (Ln)'!F$37*Données!Y1346</f>
        <v>257077.37737207217</v>
      </c>
      <c r="AA1346">
        <f t="shared" si="83"/>
        <v>22922.622627927834</v>
      </c>
    </row>
    <row r="1347" spans="1:27" x14ac:dyDescent="0.25">
      <c r="A1347">
        <v>125000</v>
      </c>
      <c r="B1347">
        <v>1</v>
      </c>
      <c r="C1347">
        <v>25</v>
      </c>
      <c r="D1347">
        <v>0</v>
      </c>
      <c r="E1347">
        <v>125000</v>
      </c>
      <c r="F1347">
        <v>6500</v>
      </c>
      <c r="G1347">
        <v>1</v>
      </c>
      <c r="H1347">
        <v>0</v>
      </c>
      <c r="I1347">
        <v>1</v>
      </c>
      <c r="J1347">
        <v>17</v>
      </c>
      <c r="K1347">
        <v>1</v>
      </c>
      <c r="L1347">
        <f>Résultats!G$32+Résultats!G$33*Données!C1347+Résultats!G$34*Données!D1347+Résultats!G$35*Données!E1347+Résultats!G$36*Données!F1347+Résultats!G$37*Données!G1347+Résultats!G$38*Données!H1347+Résultats!G$39*Données!I1347</f>
        <v>113185.21727333638</v>
      </c>
      <c r="M1347">
        <f t="shared" ref="M1347:M1410" si="84">A1347-L1347</f>
        <v>11814.782726663616</v>
      </c>
      <c r="Q1347">
        <v>96000</v>
      </c>
      <c r="R1347">
        <v>1</v>
      </c>
      <c r="S1347">
        <v>41</v>
      </c>
      <c r="T1347">
        <v>0</v>
      </c>
      <c r="U1347">
        <f t="shared" si="81"/>
        <v>11.695247021764184</v>
      </c>
      <c r="V1347">
        <f t="shared" si="82"/>
        <v>9.6077733083870829</v>
      </c>
      <c r="W1347">
        <v>1</v>
      </c>
      <c r="X1347">
        <v>6</v>
      </c>
      <c r="Y1347">
        <v>0</v>
      </c>
      <c r="Z1347">
        <f>'Résultat (Ln)'!F$30+'Résultat (Ln)'!F$31*Données!S1347+'Résultat (Ln)'!F$32*Données!T1347+'Résultat (Ln)'!F$33*Données!U1347+'Résultat (Ln)'!F$34*Données!V1347+'Résultat (Ln)'!F$35*Données!W1347+'Résultat (Ln)'!F$36*Données!X1347+'Résultat (Ln)'!F$37*Données!Y1347</f>
        <v>146858.69903913696</v>
      </c>
      <c r="AA1347">
        <f t="shared" si="83"/>
        <v>-50858.699039136962</v>
      </c>
    </row>
    <row r="1348" spans="1:27" x14ac:dyDescent="0.25">
      <c r="A1348">
        <v>121000</v>
      </c>
      <c r="B1348">
        <v>1</v>
      </c>
      <c r="C1348">
        <v>36</v>
      </c>
      <c r="D1348">
        <v>0</v>
      </c>
      <c r="E1348">
        <v>151000</v>
      </c>
      <c r="F1348">
        <v>2666</v>
      </c>
      <c r="G1348">
        <v>1</v>
      </c>
      <c r="H1348">
        <v>0</v>
      </c>
      <c r="I1348">
        <v>0</v>
      </c>
      <c r="J1348">
        <v>21</v>
      </c>
      <c r="K1348">
        <v>1</v>
      </c>
      <c r="L1348">
        <f>Résultats!G$32+Résultats!G$33*Données!C1348+Résultats!G$34*Données!D1348+Résultats!G$35*Données!E1348+Résultats!G$36*Données!F1348+Résultats!G$37*Données!G1348+Résultats!G$38*Données!H1348+Résultats!G$39*Données!I1348</f>
        <v>120606.44281184294</v>
      </c>
      <c r="M1348">
        <f t="shared" si="84"/>
        <v>393.55718815706496</v>
      </c>
      <c r="Q1348">
        <v>125000</v>
      </c>
      <c r="R1348">
        <v>1</v>
      </c>
      <c r="S1348">
        <v>25</v>
      </c>
      <c r="T1348">
        <v>0</v>
      </c>
      <c r="U1348">
        <f t="shared" ref="U1348:U1411" si="85">LN(E1347)</f>
        <v>11.736069016284437</v>
      </c>
      <c r="V1348">
        <f t="shared" ref="V1348:V1411" si="86">LN(F1347)</f>
        <v>8.7795574558837277</v>
      </c>
      <c r="W1348">
        <v>1</v>
      </c>
      <c r="X1348">
        <v>0</v>
      </c>
      <c r="Y1348">
        <v>1</v>
      </c>
      <c r="Z1348">
        <f>'Résultat (Ln)'!F$30+'Résultat (Ln)'!F$31*Données!S1348+'Résultat (Ln)'!F$32*Données!T1348+'Résultat (Ln)'!F$33*Données!U1348+'Résultat (Ln)'!F$34*Données!V1348+'Résultat (Ln)'!F$35*Données!W1348+'Résultat (Ln)'!F$36*Données!X1348+'Résultat (Ln)'!F$37*Données!Y1348</f>
        <v>123606.17544543593</v>
      </c>
      <c r="AA1348">
        <f t="shared" ref="AA1348:AA1411" si="87">Q1348-Z1348</f>
        <v>1393.8245545640675</v>
      </c>
    </row>
    <row r="1349" spans="1:27" x14ac:dyDescent="0.25">
      <c r="A1349">
        <v>81000</v>
      </c>
      <c r="B1349">
        <v>1</v>
      </c>
      <c r="C1349">
        <v>25</v>
      </c>
      <c r="D1349">
        <v>0</v>
      </c>
      <c r="E1349">
        <v>101000</v>
      </c>
      <c r="F1349">
        <v>4606</v>
      </c>
      <c r="G1349">
        <v>0</v>
      </c>
      <c r="H1349">
        <v>0</v>
      </c>
      <c r="I1349">
        <v>0</v>
      </c>
      <c r="J1349">
        <v>18</v>
      </c>
      <c r="K1349">
        <v>0</v>
      </c>
      <c r="L1349">
        <f>Résultats!G$32+Résultats!G$33*Données!C1349+Résultats!G$34*Données!D1349+Résultats!G$35*Données!E1349+Résultats!G$36*Données!F1349+Résultats!G$37*Données!G1349+Résultats!G$38*Données!H1349+Résultats!G$39*Données!I1349</f>
        <v>81366.094216434518</v>
      </c>
      <c r="M1349">
        <f t="shared" si="84"/>
        <v>-366.09421643451788</v>
      </c>
      <c r="Q1349">
        <v>121000</v>
      </c>
      <c r="R1349">
        <v>1</v>
      </c>
      <c r="S1349">
        <v>36</v>
      </c>
      <c r="T1349">
        <v>0</v>
      </c>
      <c r="U1349">
        <f t="shared" si="85"/>
        <v>11.925035115797062</v>
      </c>
      <c r="V1349">
        <f t="shared" si="86"/>
        <v>7.8883345007386536</v>
      </c>
      <c r="W1349">
        <v>1</v>
      </c>
      <c r="X1349">
        <v>0</v>
      </c>
      <c r="Y1349">
        <v>0</v>
      </c>
      <c r="Z1349">
        <f>'Résultat (Ln)'!F$30+'Résultat (Ln)'!F$31*Données!S1349+'Résultat (Ln)'!F$32*Données!T1349+'Résultat (Ln)'!F$33*Données!U1349+'Résultat (Ln)'!F$34*Données!V1349+'Résultat (Ln)'!F$35*Données!W1349+'Résultat (Ln)'!F$36*Données!X1349+'Résultat (Ln)'!F$37*Données!Y1349</f>
        <v>118222.96884271708</v>
      </c>
      <c r="AA1349">
        <f t="shared" si="87"/>
        <v>2777.0311572829232</v>
      </c>
    </row>
    <row r="1350" spans="1:27" x14ac:dyDescent="0.25">
      <c r="A1350">
        <v>133000</v>
      </c>
      <c r="B1350">
        <v>1</v>
      </c>
      <c r="C1350">
        <v>30.89999961853027</v>
      </c>
      <c r="D1350">
        <v>0</v>
      </c>
      <c r="E1350">
        <v>166000</v>
      </c>
      <c r="F1350">
        <v>5935</v>
      </c>
      <c r="G1350">
        <v>1</v>
      </c>
      <c r="H1350">
        <v>0</v>
      </c>
      <c r="I1350">
        <v>0</v>
      </c>
      <c r="J1350">
        <v>22.559999465942379</v>
      </c>
      <c r="K1350">
        <v>1</v>
      </c>
      <c r="L1350">
        <f>Résultats!G$32+Résultats!G$33*Données!C1350+Résultats!G$34*Données!D1350+Résultats!G$35*Données!E1350+Résultats!G$36*Données!F1350+Résultats!G$37*Données!G1350+Résultats!G$38*Données!H1350+Résultats!G$39*Données!I1350</f>
        <v>128087.1493689046</v>
      </c>
      <c r="M1350">
        <f t="shared" si="84"/>
        <v>4912.8506310953962</v>
      </c>
      <c r="Q1350">
        <v>81000</v>
      </c>
      <c r="R1350">
        <v>1</v>
      </c>
      <c r="S1350">
        <v>25</v>
      </c>
      <c r="T1350">
        <v>0</v>
      </c>
      <c r="U1350">
        <f t="shared" si="85"/>
        <v>11.522875795823397</v>
      </c>
      <c r="V1350">
        <f t="shared" si="86"/>
        <v>8.4351150803806298</v>
      </c>
      <c r="W1350">
        <v>0</v>
      </c>
      <c r="X1350">
        <v>0</v>
      </c>
      <c r="Y1350">
        <v>0</v>
      </c>
      <c r="Z1350">
        <f>'Résultat (Ln)'!F$30+'Résultat (Ln)'!F$31*Données!S1350+'Résultat (Ln)'!F$32*Données!T1350+'Résultat (Ln)'!F$33*Données!U1350+'Résultat (Ln)'!F$34*Données!V1350+'Résultat (Ln)'!F$35*Données!W1350+'Résultat (Ln)'!F$36*Données!X1350+'Résultat (Ln)'!F$37*Données!Y1350</f>
        <v>72491.686120699276</v>
      </c>
      <c r="AA1350">
        <f t="shared" si="87"/>
        <v>8508.3138793007238</v>
      </c>
    </row>
    <row r="1351" spans="1:27" x14ac:dyDescent="0.25">
      <c r="A1351">
        <v>87000</v>
      </c>
      <c r="B1351">
        <v>1</v>
      </c>
      <c r="C1351">
        <v>38</v>
      </c>
      <c r="D1351">
        <v>0</v>
      </c>
      <c r="E1351">
        <v>147000</v>
      </c>
      <c r="F1351">
        <v>2920</v>
      </c>
      <c r="G1351">
        <v>1</v>
      </c>
      <c r="H1351">
        <v>0</v>
      </c>
      <c r="I1351">
        <v>0</v>
      </c>
      <c r="J1351">
        <v>33</v>
      </c>
      <c r="K1351">
        <v>1</v>
      </c>
      <c r="L1351">
        <f>Résultats!G$32+Résultats!G$33*Données!C1351+Résultats!G$34*Données!D1351+Résultats!G$35*Données!E1351+Résultats!G$36*Données!F1351+Résultats!G$37*Données!G1351+Résultats!G$38*Données!H1351+Résultats!G$39*Données!I1351</f>
        <v>121528.1684862899</v>
      </c>
      <c r="M1351">
        <f t="shared" si="84"/>
        <v>-34528.168486289898</v>
      </c>
      <c r="Q1351">
        <v>133000</v>
      </c>
      <c r="R1351">
        <v>1</v>
      </c>
      <c r="S1351">
        <v>30.89999961853027</v>
      </c>
      <c r="T1351">
        <v>0</v>
      </c>
      <c r="U1351">
        <f t="shared" si="85"/>
        <v>12.01974306733868</v>
      </c>
      <c r="V1351">
        <f t="shared" si="86"/>
        <v>8.6886223070437687</v>
      </c>
      <c r="W1351">
        <v>1</v>
      </c>
      <c r="X1351">
        <v>0</v>
      </c>
      <c r="Y1351">
        <v>0</v>
      </c>
      <c r="Z1351">
        <f>'Résultat (Ln)'!F$30+'Résultat (Ln)'!F$31*Données!S1351+'Résultat (Ln)'!F$32*Données!T1351+'Résultat (Ln)'!F$33*Données!U1351+'Résultat (Ln)'!F$34*Données!V1351+'Résultat (Ln)'!F$35*Données!W1351+'Résultat (Ln)'!F$36*Données!X1351+'Résultat (Ln)'!F$37*Données!Y1351</f>
        <v>144587.53800123339</v>
      </c>
      <c r="AA1351">
        <f t="shared" si="87"/>
        <v>-11587.538001233392</v>
      </c>
    </row>
    <row r="1352" spans="1:27" x14ac:dyDescent="0.25">
      <c r="A1352">
        <v>60000</v>
      </c>
      <c r="B1352">
        <v>1</v>
      </c>
      <c r="C1352">
        <v>29.70000076293945</v>
      </c>
      <c r="D1352">
        <v>0</v>
      </c>
      <c r="E1352">
        <v>95000</v>
      </c>
      <c r="F1352">
        <v>2717</v>
      </c>
      <c r="G1352">
        <v>0</v>
      </c>
      <c r="H1352">
        <v>0</v>
      </c>
      <c r="I1352">
        <v>0</v>
      </c>
      <c r="J1352">
        <v>28.5</v>
      </c>
      <c r="K1352">
        <v>1</v>
      </c>
      <c r="L1352">
        <f>Résultats!G$32+Résultats!G$33*Données!C1352+Résultats!G$34*Données!D1352+Résultats!G$35*Données!E1352+Résultats!G$36*Données!F1352+Résultats!G$37*Données!G1352+Résultats!G$38*Données!H1352+Résultats!G$39*Données!I1352</f>
        <v>80302.645928705329</v>
      </c>
      <c r="M1352">
        <f t="shared" si="84"/>
        <v>-20302.645928705329</v>
      </c>
      <c r="Q1352">
        <v>87000</v>
      </c>
      <c r="R1352">
        <v>1</v>
      </c>
      <c r="S1352">
        <v>38</v>
      </c>
      <c r="T1352">
        <v>0</v>
      </c>
      <c r="U1352">
        <f t="shared" si="85"/>
        <v>11.898187865760873</v>
      </c>
      <c r="V1352">
        <f t="shared" si="86"/>
        <v>7.9793388952623276</v>
      </c>
      <c r="W1352">
        <v>1</v>
      </c>
      <c r="X1352">
        <v>0</v>
      </c>
      <c r="Y1352">
        <v>0</v>
      </c>
      <c r="Z1352">
        <f>'Résultat (Ln)'!F$30+'Résultat (Ln)'!F$31*Données!S1352+'Résultat (Ln)'!F$32*Données!T1352+'Résultat (Ln)'!F$33*Données!U1352+'Résultat (Ln)'!F$34*Données!V1352+'Résultat (Ln)'!F$35*Données!W1352+'Résultat (Ln)'!F$36*Données!X1352+'Résultat (Ln)'!F$37*Données!Y1352</f>
        <v>120341.43500831515</v>
      </c>
      <c r="AA1352">
        <f t="shared" si="87"/>
        <v>-33341.435008315151</v>
      </c>
    </row>
    <row r="1353" spans="1:27" x14ac:dyDescent="0.25">
      <c r="A1353">
        <v>175000</v>
      </c>
      <c r="B1353">
        <v>1</v>
      </c>
      <c r="C1353">
        <v>21</v>
      </c>
      <c r="D1353">
        <v>1</v>
      </c>
      <c r="E1353">
        <v>315000</v>
      </c>
      <c r="F1353">
        <v>7115</v>
      </c>
      <c r="G1353">
        <v>1</v>
      </c>
      <c r="H1353">
        <v>0</v>
      </c>
      <c r="I1353">
        <v>0</v>
      </c>
      <c r="J1353">
        <v>21</v>
      </c>
      <c r="K1353">
        <v>1</v>
      </c>
      <c r="L1353">
        <f>Résultats!G$32+Résultats!G$33*Données!C1353+Résultats!G$34*Données!D1353+Résultats!G$35*Données!E1353+Résultats!G$36*Données!F1353+Résultats!G$37*Données!G1353+Résultats!G$38*Données!H1353+Résultats!G$39*Données!I1353</f>
        <v>193426.18789292482</v>
      </c>
      <c r="M1353">
        <f t="shared" si="84"/>
        <v>-18426.18789292482</v>
      </c>
      <c r="Q1353">
        <v>60000</v>
      </c>
      <c r="R1353">
        <v>1</v>
      </c>
      <c r="S1353">
        <v>29.70000076293945</v>
      </c>
      <c r="T1353">
        <v>0</v>
      </c>
      <c r="U1353">
        <f t="shared" si="85"/>
        <v>11.461632170582678</v>
      </c>
      <c r="V1353">
        <f t="shared" si="86"/>
        <v>7.9072836094263481</v>
      </c>
      <c r="W1353">
        <v>0</v>
      </c>
      <c r="X1353">
        <v>0</v>
      </c>
      <c r="Y1353">
        <v>0</v>
      </c>
      <c r="Z1353">
        <f>'Résultat (Ln)'!F$30+'Résultat (Ln)'!F$31*Données!S1353+'Résultat (Ln)'!F$32*Données!T1353+'Résultat (Ln)'!F$33*Données!U1353+'Résultat (Ln)'!F$34*Données!V1353+'Résultat (Ln)'!F$35*Données!W1353+'Résultat (Ln)'!F$36*Données!X1353+'Résultat (Ln)'!F$37*Données!Y1353</f>
        <v>56866.782402989018</v>
      </c>
      <c r="AA1353">
        <f t="shared" si="87"/>
        <v>3133.217597010982</v>
      </c>
    </row>
    <row r="1354" spans="1:27" x14ac:dyDescent="0.25">
      <c r="A1354">
        <v>144000</v>
      </c>
      <c r="B1354">
        <v>1</v>
      </c>
      <c r="C1354">
        <v>33</v>
      </c>
      <c r="D1354">
        <v>0</v>
      </c>
      <c r="E1354">
        <v>169000</v>
      </c>
      <c r="F1354">
        <v>2500</v>
      </c>
      <c r="G1354">
        <v>1</v>
      </c>
      <c r="H1354">
        <v>0</v>
      </c>
      <c r="I1354">
        <v>0</v>
      </c>
      <c r="J1354">
        <v>28</v>
      </c>
      <c r="K1354">
        <v>1</v>
      </c>
      <c r="L1354">
        <f>Résultats!G$32+Résultats!G$33*Données!C1354+Résultats!G$34*Données!D1354+Résultats!G$35*Données!E1354+Résultats!G$36*Données!F1354+Résultats!G$37*Données!G1354+Résultats!G$38*Données!H1354+Résultats!G$39*Données!I1354</f>
        <v>125243.91780788143</v>
      </c>
      <c r="M1354">
        <f t="shared" si="84"/>
        <v>18756.082192118571</v>
      </c>
      <c r="Q1354">
        <v>175000</v>
      </c>
      <c r="R1354">
        <v>1</v>
      </c>
      <c r="S1354">
        <v>21</v>
      </c>
      <c r="T1354">
        <v>1</v>
      </c>
      <c r="U1354">
        <f t="shared" si="85"/>
        <v>12.66032791780777</v>
      </c>
      <c r="V1354">
        <f t="shared" si="86"/>
        <v>8.8699605105239527</v>
      </c>
      <c r="W1354">
        <v>1</v>
      </c>
      <c r="X1354">
        <v>0</v>
      </c>
      <c r="Y1354">
        <v>0</v>
      </c>
      <c r="Z1354">
        <f>'Résultat (Ln)'!F$30+'Résultat (Ln)'!F$31*Données!S1354+'Résultat (Ln)'!F$32*Données!T1354+'Résultat (Ln)'!F$33*Données!U1354+'Résultat (Ln)'!F$34*Données!V1354+'Résultat (Ln)'!F$35*Données!W1354+'Résultat (Ln)'!F$36*Données!X1354+'Résultat (Ln)'!F$37*Données!Y1354</f>
        <v>210591.77442853854</v>
      </c>
      <c r="AA1354">
        <f t="shared" si="87"/>
        <v>-35591.774428538542</v>
      </c>
    </row>
    <row r="1355" spans="1:27" x14ac:dyDescent="0.25">
      <c r="A1355">
        <v>126000</v>
      </c>
      <c r="B1355">
        <v>1</v>
      </c>
      <c r="C1355">
        <v>27.5</v>
      </c>
      <c r="D1355">
        <v>0</v>
      </c>
      <c r="E1355">
        <v>140000</v>
      </c>
      <c r="F1355">
        <v>5375</v>
      </c>
      <c r="G1355">
        <v>0</v>
      </c>
      <c r="H1355">
        <v>0</v>
      </c>
      <c r="I1355">
        <v>0</v>
      </c>
      <c r="J1355">
        <v>25.60000038146973</v>
      </c>
      <c r="K1355">
        <v>0</v>
      </c>
      <c r="L1355">
        <f>Résultats!G$32+Résultats!G$33*Données!C1355+Résultats!G$34*Données!D1355+Résultats!G$35*Données!E1355+Résultats!G$36*Données!F1355+Résultats!G$37*Données!G1355+Résultats!G$38*Données!H1355+Résultats!G$39*Données!I1355</f>
        <v>103939.10612672725</v>
      </c>
      <c r="M1355">
        <f t="shared" si="84"/>
        <v>22060.893873272755</v>
      </c>
      <c r="Q1355">
        <v>144000</v>
      </c>
      <c r="R1355">
        <v>1</v>
      </c>
      <c r="S1355">
        <v>33</v>
      </c>
      <c r="T1355">
        <v>0</v>
      </c>
      <c r="U1355">
        <f t="shared" si="85"/>
        <v>12.037653993905211</v>
      </c>
      <c r="V1355">
        <f t="shared" si="86"/>
        <v>7.8240460108562919</v>
      </c>
      <c r="W1355">
        <v>1</v>
      </c>
      <c r="X1355">
        <v>0</v>
      </c>
      <c r="Y1355">
        <v>0</v>
      </c>
      <c r="Z1355">
        <f>'Résultat (Ln)'!F$30+'Résultat (Ln)'!F$31*Données!S1355+'Résultat (Ln)'!F$32*Données!T1355+'Résultat (Ln)'!F$33*Données!U1355+'Résultat (Ln)'!F$34*Données!V1355+'Résultat (Ln)'!F$35*Données!W1355+'Résultat (Ln)'!F$36*Données!X1355+'Résultat (Ln)'!F$37*Données!Y1355</f>
        <v>124826.06868709404</v>
      </c>
      <c r="AA1355">
        <f t="shared" si="87"/>
        <v>19173.931312905959</v>
      </c>
    </row>
    <row r="1356" spans="1:27" x14ac:dyDescent="0.25">
      <c r="A1356">
        <v>100000</v>
      </c>
      <c r="B1356">
        <v>1</v>
      </c>
      <c r="C1356">
        <v>38</v>
      </c>
      <c r="D1356">
        <v>0</v>
      </c>
      <c r="E1356">
        <v>125000</v>
      </c>
      <c r="F1356">
        <v>1803</v>
      </c>
      <c r="G1356">
        <v>1</v>
      </c>
      <c r="H1356">
        <v>0</v>
      </c>
      <c r="I1356">
        <v>0</v>
      </c>
      <c r="J1356">
        <v>34</v>
      </c>
      <c r="K1356">
        <v>1</v>
      </c>
      <c r="L1356">
        <f>Résultats!G$32+Résultats!G$33*Données!C1356+Résultats!G$34*Données!D1356+Résultats!G$35*Données!E1356+Résultats!G$36*Données!F1356+Résultats!G$37*Données!G1356+Résultats!G$38*Données!H1356+Résultats!G$39*Données!I1356</f>
        <v>109090.688087943</v>
      </c>
      <c r="M1356">
        <f t="shared" si="84"/>
        <v>-9090.6880879429955</v>
      </c>
      <c r="Q1356">
        <v>126000</v>
      </c>
      <c r="R1356">
        <v>1</v>
      </c>
      <c r="S1356">
        <v>27.5</v>
      </c>
      <c r="T1356">
        <v>0</v>
      </c>
      <c r="U1356">
        <f t="shared" si="85"/>
        <v>11.849397701591441</v>
      </c>
      <c r="V1356">
        <f t="shared" si="86"/>
        <v>8.5895138529958643</v>
      </c>
      <c r="W1356">
        <v>0</v>
      </c>
      <c r="X1356">
        <v>0</v>
      </c>
      <c r="Y1356">
        <v>0</v>
      </c>
      <c r="Z1356">
        <f>'Résultat (Ln)'!F$30+'Résultat (Ln)'!F$31*Données!S1356+'Résultat (Ln)'!F$32*Données!T1356+'Résultat (Ln)'!F$33*Données!U1356+'Résultat (Ln)'!F$34*Données!V1356+'Résultat (Ln)'!F$35*Données!W1356+'Résultat (Ln)'!F$36*Données!X1356+'Résultat (Ln)'!F$37*Données!Y1356</f>
        <v>114878.72516952245</v>
      </c>
      <c r="AA1356">
        <f t="shared" si="87"/>
        <v>11121.274830477545</v>
      </c>
    </row>
    <row r="1357" spans="1:27" x14ac:dyDescent="0.25">
      <c r="A1357">
        <v>64000</v>
      </c>
      <c r="B1357">
        <v>1</v>
      </c>
      <c r="C1357">
        <v>23</v>
      </c>
      <c r="D1357">
        <v>0</v>
      </c>
      <c r="E1357">
        <v>80000</v>
      </c>
      <c r="F1357">
        <v>3943</v>
      </c>
      <c r="G1357">
        <v>1</v>
      </c>
      <c r="H1357">
        <v>0</v>
      </c>
      <c r="I1357">
        <v>0</v>
      </c>
      <c r="J1357">
        <v>19</v>
      </c>
      <c r="K1357">
        <v>1</v>
      </c>
      <c r="L1357">
        <f>Résultats!G$32+Résultats!G$33*Données!C1357+Résultats!G$34*Données!D1357+Résultats!G$35*Données!E1357+Résultats!G$36*Données!F1357+Résultats!G$37*Données!G1357+Résultats!G$38*Données!H1357+Résultats!G$39*Données!I1357</f>
        <v>74994.600273626565</v>
      </c>
      <c r="M1357">
        <f t="shared" si="84"/>
        <v>-10994.600273626565</v>
      </c>
      <c r="Q1357">
        <v>100000</v>
      </c>
      <c r="R1357">
        <v>1</v>
      </c>
      <c r="S1357">
        <v>38</v>
      </c>
      <c r="T1357">
        <v>0</v>
      </c>
      <c r="U1357">
        <f t="shared" si="85"/>
        <v>11.736069016284437</v>
      </c>
      <c r="V1357">
        <f t="shared" si="86"/>
        <v>7.4972072232033176</v>
      </c>
      <c r="W1357">
        <v>1</v>
      </c>
      <c r="X1357">
        <v>0</v>
      </c>
      <c r="Y1357">
        <v>0</v>
      </c>
      <c r="Z1357">
        <f>'Résultat (Ln)'!F$30+'Résultat (Ln)'!F$31*Données!S1357+'Résultat (Ln)'!F$32*Données!T1357+'Résultat (Ln)'!F$33*Données!U1357+'Résultat (Ln)'!F$34*Données!V1357+'Résultat (Ln)'!F$35*Données!W1357+'Résultat (Ln)'!F$36*Données!X1357+'Résultat (Ln)'!F$37*Données!Y1357</f>
        <v>89441.248099754986</v>
      </c>
      <c r="AA1357">
        <f t="shared" si="87"/>
        <v>10558.751900245014</v>
      </c>
    </row>
    <row r="1358" spans="1:27" x14ac:dyDescent="0.25">
      <c r="A1358">
        <v>40000</v>
      </c>
      <c r="B1358">
        <v>1</v>
      </c>
      <c r="C1358">
        <v>26.39999961853027</v>
      </c>
      <c r="D1358">
        <v>0</v>
      </c>
      <c r="E1358">
        <v>100000</v>
      </c>
      <c r="F1358">
        <v>2925</v>
      </c>
      <c r="G1358">
        <v>0</v>
      </c>
      <c r="H1358">
        <v>1</v>
      </c>
      <c r="I1358">
        <v>0</v>
      </c>
      <c r="J1358">
        <v>18.79999923706055</v>
      </c>
      <c r="K1358">
        <v>1</v>
      </c>
      <c r="L1358">
        <f>Résultats!G$32+Résultats!G$33*Données!C1358+Résultats!G$34*Données!D1358+Résultats!G$35*Données!E1358+Résultats!G$36*Données!F1358+Résultats!G$37*Données!G1358+Résultats!G$38*Données!H1358+Résultats!G$39*Données!I1358</f>
        <v>77624.581999330825</v>
      </c>
      <c r="M1358">
        <f t="shared" si="84"/>
        <v>-37624.581999330825</v>
      </c>
      <c r="Q1358">
        <v>64000</v>
      </c>
      <c r="R1358">
        <v>1</v>
      </c>
      <c r="S1358">
        <v>23</v>
      </c>
      <c r="T1358">
        <v>0</v>
      </c>
      <c r="U1358">
        <f t="shared" si="85"/>
        <v>11.289781913656018</v>
      </c>
      <c r="V1358">
        <f t="shared" si="86"/>
        <v>8.2796971338776277</v>
      </c>
      <c r="W1358">
        <v>1</v>
      </c>
      <c r="X1358">
        <v>0</v>
      </c>
      <c r="Y1358">
        <v>0</v>
      </c>
      <c r="Z1358">
        <f>'Résultat (Ln)'!F$30+'Résultat (Ln)'!F$31*Données!S1358+'Résultat (Ln)'!F$32*Données!T1358+'Résultat (Ln)'!F$33*Données!U1358+'Résultat (Ln)'!F$34*Données!V1358+'Résultat (Ln)'!F$35*Données!W1358+'Résultat (Ln)'!F$36*Données!X1358+'Résultat (Ln)'!F$37*Données!Y1358</f>
        <v>45216.184786840917</v>
      </c>
      <c r="AA1358">
        <f t="shared" si="87"/>
        <v>18783.815213159083</v>
      </c>
    </row>
    <row r="1359" spans="1:27" x14ac:dyDescent="0.25">
      <c r="A1359">
        <v>150000</v>
      </c>
      <c r="B1359">
        <v>1</v>
      </c>
      <c r="C1359">
        <v>34</v>
      </c>
      <c r="D1359">
        <v>1</v>
      </c>
      <c r="E1359">
        <v>550000</v>
      </c>
      <c r="F1359">
        <v>8624</v>
      </c>
      <c r="G1359">
        <v>0</v>
      </c>
      <c r="H1359">
        <v>9</v>
      </c>
      <c r="I1359">
        <v>0</v>
      </c>
      <c r="J1359">
        <v>18</v>
      </c>
      <c r="K1359">
        <v>0</v>
      </c>
      <c r="L1359">
        <f>Résultats!G$32+Résultats!G$33*Données!C1359+Résultats!G$34*Données!D1359+Résultats!G$35*Données!E1359+Résultats!G$36*Données!F1359+Résultats!G$37*Données!G1359+Résultats!G$38*Données!H1359+Résultats!G$39*Données!I1359</f>
        <v>299372.93530080165</v>
      </c>
      <c r="M1359">
        <f t="shared" si="84"/>
        <v>-149372.93530080165</v>
      </c>
      <c r="Q1359">
        <v>40000</v>
      </c>
      <c r="R1359">
        <v>1</v>
      </c>
      <c r="S1359">
        <v>26.39999961853027</v>
      </c>
      <c r="T1359">
        <v>0</v>
      </c>
      <c r="U1359">
        <f t="shared" si="85"/>
        <v>11.512925464970229</v>
      </c>
      <c r="V1359">
        <f t="shared" si="86"/>
        <v>7.9810497596659573</v>
      </c>
      <c r="W1359">
        <v>0</v>
      </c>
      <c r="X1359">
        <v>1</v>
      </c>
      <c r="Y1359">
        <v>0</v>
      </c>
      <c r="Z1359">
        <f>'Résultat (Ln)'!F$30+'Résultat (Ln)'!F$31*Données!S1359+'Résultat (Ln)'!F$32*Données!T1359+'Résultat (Ln)'!F$33*Données!U1359+'Résultat (Ln)'!F$34*Données!V1359+'Résultat (Ln)'!F$35*Données!W1359+'Résultat (Ln)'!F$36*Données!X1359+'Résultat (Ln)'!F$37*Données!Y1359</f>
        <v>60223.750647740097</v>
      </c>
      <c r="AA1359">
        <f t="shared" si="87"/>
        <v>-20223.750647740097</v>
      </c>
    </row>
    <row r="1360" spans="1:27" x14ac:dyDescent="0.25">
      <c r="A1360">
        <v>148000</v>
      </c>
      <c r="B1360">
        <v>1</v>
      </c>
      <c r="C1360">
        <v>27</v>
      </c>
      <c r="D1360">
        <v>0</v>
      </c>
      <c r="E1360">
        <v>185000</v>
      </c>
      <c r="F1360">
        <v>2083</v>
      </c>
      <c r="G1360">
        <v>1</v>
      </c>
      <c r="H1360">
        <v>0</v>
      </c>
      <c r="I1360">
        <v>1</v>
      </c>
      <c r="J1360">
        <v>27</v>
      </c>
      <c r="K1360">
        <v>1</v>
      </c>
      <c r="L1360">
        <f>Résultats!G$32+Résultats!G$33*Données!C1360+Résultats!G$34*Données!D1360+Résultats!G$35*Données!E1360+Résultats!G$36*Données!F1360+Résultats!G$37*Données!G1360+Résultats!G$38*Données!H1360+Résultats!G$39*Données!I1360</f>
        <v>134940.54735738557</v>
      </c>
      <c r="M1360">
        <f t="shared" si="84"/>
        <v>13059.452642614429</v>
      </c>
      <c r="Q1360">
        <v>150000</v>
      </c>
      <c r="R1360">
        <v>1</v>
      </c>
      <c r="S1360">
        <v>34</v>
      </c>
      <c r="T1360">
        <v>1</v>
      </c>
      <c r="U1360">
        <f t="shared" si="85"/>
        <v>13.217673557208654</v>
      </c>
      <c r="V1360">
        <f t="shared" si="86"/>
        <v>9.0623042931487792</v>
      </c>
      <c r="W1360">
        <v>0</v>
      </c>
      <c r="X1360">
        <v>9</v>
      </c>
      <c r="Y1360">
        <v>0</v>
      </c>
      <c r="Z1360">
        <f>'Résultat (Ln)'!F$30+'Résultat (Ln)'!F$31*Données!S1360+'Résultat (Ln)'!F$32*Données!T1360+'Résultat (Ln)'!F$33*Données!U1360+'Résultat (Ln)'!F$34*Données!V1360+'Résultat (Ln)'!F$35*Données!W1360+'Résultat (Ln)'!F$36*Données!X1360+'Résultat (Ln)'!F$37*Données!Y1360</f>
        <v>285505.83989449847</v>
      </c>
      <c r="AA1360">
        <f t="shared" si="87"/>
        <v>-135505.83989449847</v>
      </c>
    </row>
    <row r="1361" spans="1:27" x14ac:dyDescent="0.25">
      <c r="A1361">
        <v>105000</v>
      </c>
      <c r="B1361">
        <v>1</v>
      </c>
      <c r="C1361">
        <v>18</v>
      </c>
      <c r="D1361">
        <v>1</v>
      </c>
      <c r="E1361">
        <v>105000</v>
      </c>
      <c r="F1361">
        <v>6500</v>
      </c>
      <c r="G1361">
        <v>0</v>
      </c>
      <c r="H1361">
        <v>1</v>
      </c>
      <c r="I1361">
        <v>0</v>
      </c>
      <c r="J1361">
        <v>18</v>
      </c>
      <c r="K1361">
        <v>1</v>
      </c>
      <c r="L1361">
        <f>Résultats!G$32+Résultats!G$33*Données!C1361+Résultats!G$34*Données!D1361+Résultats!G$35*Données!E1361+Résultats!G$36*Données!F1361+Résultats!G$37*Données!G1361+Résultats!G$38*Données!H1361+Résultats!G$39*Données!I1361</f>
        <v>82086.356144155565</v>
      </c>
      <c r="M1361">
        <f t="shared" si="84"/>
        <v>22913.643855844435</v>
      </c>
      <c r="Q1361">
        <v>148000</v>
      </c>
      <c r="R1361">
        <v>1</v>
      </c>
      <c r="S1361">
        <v>27</v>
      </c>
      <c r="T1361">
        <v>0</v>
      </c>
      <c r="U1361">
        <f t="shared" si="85"/>
        <v>12.128111104060462</v>
      </c>
      <c r="V1361">
        <f t="shared" si="86"/>
        <v>7.6415644412609716</v>
      </c>
      <c r="W1361">
        <v>1</v>
      </c>
      <c r="X1361">
        <v>0</v>
      </c>
      <c r="Y1361">
        <v>1</v>
      </c>
      <c r="Z1361">
        <f>'Résultat (Ln)'!F$30+'Résultat (Ln)'!F$31*Données!S1361+'Résultat (Ln)'!F$32*Données!T1361+'Résultat (Ln)'!F$33*Données!U1361+'Résultat (Ln)'!F$34*Données!V1361+'Résultat (Ln)'!F$35*Données!W1361+'Résultat (Ln)'!F$36*Données!X1361+'Résultat (Ln)'!F$37*Données!Y1361</f>
        <v>136159.51464167738</v>
      </c>
      <c r="AA1361">
        <f t="shared" si="87"/>
        <v>11840.485358322621</v>
      </c>
    </row>
    <row r="1362" spans="1:27" x14ac:dyDescent="0.25">
      <c r="A1362">
        <v>70000</v>
      </c>
      <c r="B1362">
        <v>1</v>
      </c>
      <c r="C1362">
        <v>21</v>
      </c>
      <c r="D1362">
        <v>0</v>
      </c>
      <c r="E1362">
        <v>242000</v>
      </c>
      <c r="F1362">
        <v>5500</v>
      </c>
      <c r="G1362">
        <v>1</v>
      </c>
      <c r="H1362">
        <v>0</v>
      </c>
      <c r="I1362">
        <v>0</v>
      </c>
      <c r="J1362">
        <v>16</v>
      </c>
      <c r="K1362">
        <v>1</v>
      </c>
      <c r="L1362">
        <f>Résultats!G$32+Résultats!G$33*Données!C1362+Résultats!G$34*Données!D1362+Résultats!G$35*Données!E1362+Résultats!G$36*Données!F1362+Résultats!G$37*Données!G1362+Résultats!G$38*Données!H1362+Résultats!G$39*Données!I1362</f>
        <v>151360.82396883736</v>
      </c>
      <c r="M1362">
        <f t="shared" si="84"/>
        <v>-81360.823968837358</v>
      </c>
      <c r="Q1362">
        <v>105000</v>
      </c>
      <c r="R1362">
        <v>1</v>
      </c>
      <c r="S1362">
        <v>18</v>
      </c>
      <c r="T1362">
        <v>1</v>
      </c>
      <c r="U1362">
        <f t="shared" si="85"/>
        <v>11.561715629139661</v>
      </c>
      <c r="V1362">
        <f t="shared" si="86"/>
        <v>8.7795574558837277</v>
      </c>
      <c r="W1362">
        <v>0</v>
      </c>
      <c r="X1362">
        <v>1</v>
      </c>
      <c r="Y1362">
        <v>0</v>
      </c>
      <c r="Z1362">
        <f>'Résultat (Ln)'!F$30+'Résultat (Ln)'!F$31*Données!S1362+'Résultat (Ln)'!F$32*Données!T1362+'Résultat (Ln)'!F$33*Données!U1362+'Résultat (Ln)'!F$34*Données!V1362+'Résultat (Ln)'!F$35*Données!W1362+'Résultat (Ln)'!F$36*Données!X1362+'Résultat (Ln)'!F$37*Données!Y1362</f>
        <v>81932.289712557671</v>
      </c>
      <c r="AA1362">
        <f t="shared" si="87"/>
        <v>23067.710287442329</v>
      </c>
    </row>
    <row r="1363" spans="1:27" x14ac:dyDescent="0.25">
      <c r="A1363">
        <v>100000</v>
      </c>
      <c r="B1363">
        <v>1</v>
      </c>
      <c r="C1363">
        <v>35.5</v>
      </c>
      <c r="D1363">
        <v>0</v>
      </c>
      <c r="E1363">
        <v>145000</v>
      </c>
      <c r="F1363">
        <v>3335</v>
      </c>
      <c r="G1363">
        <v>0</v>
      </c>
      <c r="H1363">
        <v>0</v>
      </c>
      <c r="I1363">
        <v>0</v>
      </c>
      <c r="J1363">
        <v>31.20000076293945</v>
      </c>
      <c r="K1363">
        <v>0</v>
      </c>
      <c r="L1363">
        <f>Résultats!G$32+Résultats!G$33*Données!C1363+Résultats!G$34*Données!D1363+Résultats!G$35*Données!E1363+Résultats!G$36*Données!F1363+Résultats!G$37*Données!G1363+Résultats!G$38*Données!H1363+Résultats!G$39*Données!I1363</f>
        <v>111510.14927689033</v>
      </c>
      <c r="M1363">
        <f t="shared" si="84"/>
        <v>-11510.149276890326</v>
      </c>
      <c r="Q1363">
        <v>70000</v>
      </c>
      <c r="R1363">
        <v>1</v>
      </c>
      <c r="S1363">
        <v>21</v>
      </c>
      <c r="T1363">
        <v>0</v>
      </c>
      <c r="U1363">
        <f t="shared" si="85"/>
        <v>12.396693005138824</v>
      </c>
      <c r="V1363">
        <f t="shared" si="86"/>
        <v>8.6125033712205621</v>
      </c>
      <c r="W1363">
        <v>1</v>
      </c>
      <c r="X1363">
        <v>0</v>
      </c>
      <c r="Y1363">
        <v>0</v>
      </c>
      <c r="Z1363">
        <f>'Résultat (Ln)'!F$30+'Résultat (Ln)'!F$31*Données!S1363+'Résultat (Ln)'!F$32*Données!T1363+'Résultat (Ln)'!F$33*Données!U1363+'Résultat (Ln)'!F$34*Données!V1363+'Résultat (Ln)'!F$35*Données!W1363+'Résultat (Ln)'!F$36*Données!X1363+'Résultat (Ln)'!F$37*Données!Y1363</f>
        <v>170761.87904344924</v>
      </c>
      <c r="AA1363">
        <f t="shared" si="87"/>
        <v>-100761.87904344924</v>
      </c>
    </row>
    <row r="1364" spans="1:27" x14ac:dyDescent="0.25">
      <c r="A1364">
        <v>112000</v>
      </c>
      <c r="B1364">
        <v>1</v>
      </c>
      <c r="C1364">
        <v>38</v>
      </c>
      <c r="D1364">
        <v>0</v>
      </c>
      <c r="E1364">
        <v>140000</v>
      </c>
      <c r="F1364">
        <v>2478</v>
      </c>
      <c r="G1364">
        <v>1</v>
      </c>
      <c r="H1364">
        <v>0</v>
      </c>
      <c r="I1364">
        <v>1</v>
      </c>
      <c r="J1364">
        <v>23</v>
      </c>
      <c r="K1364">
        <v>0</v>
      </c>
      <c r="L1364">
        <f>Résultats!G$32+Résultats!G$33*Données!C1364+Résultats!G$34*Données!D1364+Résultats!G$35*Données!E1364+Résultats!G$36*Données!F1364+Résultats!G$37*Données!G1364+Résultats!G$38*Données!H1364+Résultats!G$39*Données!I1364</f>
        <v>127328.45044688629</v>
      </c>
      <c r="M1364">
        <f t="shared" si="84"/>
        <v>-15328.450446886287</v>
      </c>
      <c r="Q1364">
        <v>100000</v>
      </c>
      <c r="R1364">
        <v>1</v>
      </c>
      <c r="S1364">
        <v>35.5</v>
      </c>
      <c r="T1364">
        <v>0</v>
      </c>
      <c r="U1364">
        <f t="shared" si="85"/>
        <v>11.884489021402711</v>
      </c>
      <c r="V1364">
        <f t="shared" si="86"/>
        <v>8.1122279583497239</v>
      </c>
      <c r="W1364">
        <v>0</v>
      </c>
      <c r="X1364">
        <v>0</v>
      </c>
      <c r="Y1364">
        <v>0</v>
      </c>
      <c r="Z1364">
        <f>'Résultat (Ln)'!F$30+'Résultat (Ln)'!F$31*Données!S1364+'Résultat (Ln)'!F$32*Données!T1364+'Résultat (Ln)'!F$33*Données!U1364+'Résultat (Ln)'!F$34*Données!V1364+'Résultat (Ln)'!F$35*Données!W1364+'Résultat (Ln)'!F$36*Données!X1364+'Résultat (Ln)'!F$37*Données!Y1364</f>
        <v>115030.82548089206</v>
      </c>
      <c r="AA1364">
        <f t="shared" si="87"/>
        <v>-15030.825480892061</v>
      </c>
    </row>
    <row r="1365" spans="1:27" x14ac:dyDescent="0.25">
      <c r="A1365">
        <v>142000</v>
      </c>
      <c r="B1365">
        <v>1</v>
      </c>
      <c r="C1365">
        <v>44</v>
      </c>
      <c r="D1365">
        <v>1</v>
      </c>
      <c r="E1365">
        <v>158000</v>
      </c>
      <c r="F1365">
        <v>3242</v>
      </c>
      <c r="G1365">
        <v>1</v>
      </c>
      <c r="H1365">
        <v>0</v>
      </c>
      <c r="I1365">
        <v>1</v>
      </c>
      <c r="J1365">
        <v>39</v>
      </c>
      <c r="K1365">
        <v>1</v>
      </c>
      <c r="L1365">
        <f>Résultats!G$32+Résultats!G$33*Données!C1365+Résultats!G$34*Données!D1365+Résultats!G$35*Données!E1365+Résultats!G$36*Données!F1365+Résultats!G$37*Données!G1365+Résultats!G$38*Données!H1365+Résultats!G$39*Données!I1365</f>
        <v>148954.34982042786</v>
      </c>
      <c r="M1365">
        <f t="shared" si="84"/>
        <v>-6954.3498204278585</v>
      </c>
      <c r="Q1365">
        <v>112000</v>
      </c>
      <c r="R1365">
        <v>1</v>
      </c>
      <c r="S1365">
        <v>38</v>
      </c>
      <c r="T1365">
        <v>0</v>
      </c>
      <c r="U1365">
        <f t="shared" si="85"/>
        <v>11.849397701591441</v>
      </c>
      <c r="V1365">
        <f t="shared" si="86"/>
        <v>7.8152070621890877</v>
      </c>
      <c r="W1365">
        <v>1</v>
      </c>
      <c r="X1365">
        <v>0</v>
      </c>
      <c r="Y1365">
        <v>1</v>
      </c>
      <c r="Z1365">
        <f>'Résultat (Ln)'!F$30+'Résultat (Ln)'!F$31*Données!S1365+'Résultat (Ln)'!F$32*Données!T1365+'Résultat (Ln)'!F$33*Données!U1365+'Résultat (Ln)'!F$34*Données!V1365+'Résultat (Ln)'!F$35*Données!W1365+'Résultat (Ln)'!F$36*Données!X1365+'Résultat (Ln)'!F$37*Données!Y1365</f>
        <v>124595.06925051946</v>
      </c>
      <c r="AA1365">
        <f t="shared" si="87"/>
        <v>-12595.06925051946</v>
      </c>
    </row>
    <row r="1366" spans="1:27" x14ac:dyDescent="0.25">
      <c r="A1366">
        <v>92000</v>
      </c>
      <c r="B1366">
        <v>1</v>
      </c>
      <c r="C1366">
        <v>31</v>
      </c>
      <c r="D1366">
        <v>0</v>
      </c>
      <c r="E1366">
        <v>114000</v>
      </c>
      <c r="F1366">
        <v>5000</v>
      </c>
      <c r="G1366">
        <v>0</v>
      </c>
      <c r="H1366">
        <v>1</v>
      </c>
      <c r="I1366">
        <v>0</v>
      </c>
      <c r="J1366">
        <v>20</v>
      </c>
      <c r="K1366">
        <v>1</v>
      </c>
      <c r="L1366">
        <f>Résultats!G$32+Résultats!G$33*Données!C1366+Résultats!G$34*Données!D1366+Résultats!G$35*Données!E1366+Résultats!G$36*Données!F1366+Résultats!G$37*Données!G1366+Résultats!G$38*Données!H1366+Résultats!G$39*Données!I1366</f>
        <v>93466.720726815402</v>
      </c>
      <c r="M1366">
        <f t="shared" si="84"/>
        <v>-1466.7207268154016</v>
      </c>
      <c r="Q1366">
        <v>142000</v>
      </c>
      <c r="R1366">
        <v>1</v>
      </c>
      <c r="S1366">
        <v>44</v>
      </c>
      <c r="T1366">
        <v>1</v>
      </c>
      <c r="U1366">
        <f t="shared" si="85"/>
        <v>11.970350312009105</v>
      </c>
      <c r="V1366">
        <f t="shared" si="86"/>
        <v>8.0839457022956207</v>
      </c>
      <c r="W1366">
        <v>1</v>
      </c>
      <c r="X1366">
        <v>0</v>
      </c>
      <c r="Y1366">
        <v>1</v>
      </c>
      <c r="Z1366">
        <f>'Résultat (Ln)'!F$30+'Résultat (Ln)'!F$31*Données!S1366+'Résultat (Ln)'!F$32*Données!T1366+'Résultat (Ln)'!F$33*Données!U1366+'Résultat (Ln)'!F$34*Données!V1366+'Résultat (Ln)'!F$35*Données!W1366+'Résultat (Ln)'!F$36*Données!X1366+'Résultat (Ln)'!F$37*Données!Y1366</f>
        <v>156778.69888405941</v>
      </c>
      <c r="AA1366">
        <f t="shared" si="87"/>
        <v>-14778.698884059413</v>
      </c>
    </row>
    <row r="1367" spans="1:27" x14ac:dyDescent="0.25">
      <c r="A1367">
        <v>70000</v>
      </c>
      <c r="B1367">
        <v>1</v>
      </c>
      <c r="C1367">
        <v>24.60000038146973</v>
      </c>
      <c r="D1367">
        <v>0</v>
      </c>
      <c r="E1367">
        <v>218000</v>
      </c>
      <c r="F1367">
        <v>3863</v>
      </c>
      <c r="G1367">
        <v>1</v>
      </c>
      <c r="H1367">
        <v>0</v>
      </c>
      <c r="I1367">
        <v>0</v>
      </c>
      <c r="J1367">
        <v>23.079999923706058</v>
      </c>
      <c r="K1367">
        <v>1</v>
      </c>
      <c r="L1367">
        <f>Résultats!G$32+Résultats!G$33*Données!C1367+Résultats!G$34*Données!D1367+Résultats!G$35*Données!E1367+Résultats!G$36*Données!F1367+Résultats!G$37*Données!G1367+Résultats!G$38*Données!H1367+Résultats!G$39*Données!I1367</f>
        <v>141117.00140595902</v>
      </c>
      <c r="M1367">
        <f t="shared" si="84"/>
        <v>-71117.001405959018</v>
      </c>
      <c r="Q1367">
        <v>92000</v>
      </c>
      <c r="R1367">
        <v>1</v>
      </c>
      <c r="S1367">
        <v>31</v>
      </c>
      <c r="T1367">
        <v>0</v>
      </c>
      <c r="U1367">
        <f t="shared" si="85"/>
        <v>11.643953727376633</v>
      </c>
      <c r="V1367">
        <f t="shared" si="86"/>
        <v>8.5171931914162382</v>
      </c>
      <c r="W1367">
        <v>0</v>
      </c>
      <c r="X1367">
        <v>1</v>
      </c>
      <c r="Y1367">
        <v>0</v>
      </c>
      <c r="Z1367">
        <f>'Résultat (Ln)'!F$30+'Résultat (Ln)'!F$31*Données!S1367+'Résultat (Ln)'!F$32*Données!T1367+'Résultat (Ln)'!F$33*Données!U1367+'Résultat (Ln)'!F$34*Données!V1367+'Résultat (Ln)'!F$35*Données!W1367+'Résultat (Ln)'!F$36*Données!X1367+'Résultat (Ln)'!F$37*Données!Y1367</f>
        <v>94927.356017333295</v>
      </c>
      <c r="AA1367">
        <f t="shared" si="87"/>
        <v>-2927.3560173332953</v>
      </c>
    </row>
    <row r="1368" spans="1:27" x14ac:dyDescent="0.25">
      <c r="A1368">
        <v>405000</v>
      </c>
      <c r="B1368">
        <v>1</v>
      </c>
      <c r="C1368">
        <v>36.5</v>
      </c>
      <c r="D1368">
        <v>0</v>
      </c>
      <c r="E1368">
        <v>405000</v>
      </c>
      <c r="F1368">
        <v>12876</v>
      </c>
      <c r="G1368">
        <v>0</v>
      </c>
      <c r="H1368">
        <v>0</v>
      </c>
      <c r="I1368">
        <v>1</v>
      </c>
      <c r="J1368">
        <v>31.79999923706055</v>
      </c>
      <c r="K1368">
        <v>1</v>
      </c>
      <c r="L1368">
        <f>Résultats!G$32+Résultats!G$33*Données!C1368+Résultats!G$34*Données!D1368+Résultats!G$35*Données!E1368+Résultats!G$36*Données!F1368+Résultats!G$37*Données!G1368+Résultats!G$38*Données!H1368+Résultats!G$39*Données!I1368</f>
        <v>262480.55562453438</v>
      </c>
      <c r="M1368">
        <f t="shared" si="84"/>
        <v>142519.44437546562</v>
      </c>
      <c r="Q1368">
        <v>70000</v>
      </c>
      <c r="R1368">
        <v>1</v>
      </c>
      <c r="S1368">
        <v>24.60000038146973</v>
      </c>
      <c r="T1368">
        <v>0</v>
      </c>
      <c r="U1368">
        <f t="shared" si="85"/>
        <v>12.292250341771226</v>
      </c>
      <c r="V1368">
        <f t="shared" si="86"/>
        <v>8.2591993626662816</v>
      </c>
      <c r="W1368">
        <v>1</v>
      </c>
      <c r="X1368">
        <v>0</v>
      </c>
      <c r="Y1368">
        <v>0</v>
      </c>
      <c r="Z1368">
        <f>'Résultat (Ln)'!F$30+'Résultat (Ln)'!F$31*Données!S1368+'Résultat (Ln)'!F$32*Données!T1368+'Résultat (Ln)'!F$33*Données!U1368+'Résultat (Ln)'!F$34*Données!V1368+'Résultat (Ln)'!F$35*Données!W1368+'Résultat (Ln)'!F$36*Données!X1368+'Résultat (Ln)'!F$37*Données!Y1368</f>
        <v>154056.74549648265</v>
      </c>
      <c r="AA1368">
        <f t="shared" si="87"/>
        <v>-84056.745496482647</v>
      </c>
    </row>
    <row r="1369" spans="1:27" x14ac:dyDescent="0.25">
      <c r="A1369">
        <v>143000</v>
      </c>
      <c r="B1369">
        <v>1</v>
      </c>
      <c r="C1369">
        <v>36</v>
      </c>
      <c r="D1369">
        <v>0</v>
      </c>
      <c r="E1369">
        <v>179000</v>
      </c>
      <c r="F1369">
        <v>2425</v>
      </c>
      <c r="G1369">
        <v>1</v>
      </c>
      <c r="H1369">
        <v>0</v>
      </c>
      <c r="I1369">
        <v>0</v>
      </c>
      <c r="J1369">
        <v>31</v>
      </c>
      <c r="K1369">
        <v>1</v>
      </c>
      <c r="L1369">
        <f>Résultats!G$32+Résultats!G$33*Données!C1369+Résultats!G$34*Données!D1369+Résultats!G$35*Données!E1369+Résultats!G$36*Données!F1369+Résultats!G$37*Données!G1369+Résultats!G$38*Données!H1369+Résultats!G$39*Données!I1369</f>
        <v>133214.12757952916</v>
      </c>
      <c r="M1369">
        <f t="shared" si="84"/>
        <v>9785.8724204708415</v>
      </c>
      <c r="Q1369">
        <v>405000</v>
      </c>
      <c r="R1369">
        <v>1</v>
      </c>
      <c r="S1369">
        <v>36.5</v>
      </c>
      <c r="T1369">
        <v>0</v>
      </c>
      <c r="U1369">
        <f t="shared" si="85"/>
        <v>12.911642346088676</v>
      </c>
      <c r="V1369">
        <f t="shared" si="86"/>
        <v>9.4631203924186984</v>
      </c>
      <c r="W1369">
        <v>0</v>
      </c>
      <c r="X1369">
        <v>0</v>
      </c>
      <c r="Y1369">
        <v>1</v>
      </c>
      <c r="Z1369">
        <f>'Résultat (Ln)'!F$30+'Résultat (Ln)'!F$31*Données!S1369+'Résultat (Ln)'!F$32*Données!T1369+'Résultat (Ln)'!F$33*Données!U1369+'Résultat (Ln)'!F$34*Données!V1369+'Résultat (Ln)'!F$35*Données!W1369+'Résultat (Ln)'!F$36*Données!X1369+'Résultat (Ln)'!F$37*Données!Y1369</f>
        <v>278332.92919066577</v>
      </c>
      <c r="AA1369">
        <f t="shared" si="87"/>
        <v>126667.07080933423</v>
      </c>
    </row>
    <row r="1370" spans="1:27" x14ac:dyDescent="0.25">
      <c r="A1370">
        <v>92000</v>
      </c>
      <c r="B1370">
        <v>1</v>
      </c>
      <c r="C1370">
        <v>22</v>
      </c>
      <c r="D1370">
        <v>0</v>
      </c>
      <c r="E1370">
        <v>149000</v>
      </c>
      <c r="F1370">
        <v>2733</v>
      </c>
      <c r="G1370">
        <v>1</v>
      </c>
      <c r="H1370">
        <v>0</v>
      </c>
      <c r="I1370">
        <v>0</v>
      </c>
      <c r="J1370">
        <v>22</v>
      </c>
      <c r="K1370">
        <v>1</v>
      </c>
      <c r="L1370">
        <f>Résultats!G$32+Résultats!G$33*Données!C1370+Résultats!G$34*Données!D1370+Résultats!G$35*Données!E1370+Résultats!G$36*Données!F1370+Résultats!G$37*Données!G1370+Résultats!G$38*Données!H1370+Résultats!G$39*Données!I1370</f>
        <v>103720.98272035507</v>
      </c>
      <c r="M1370">
        <f t="shared" si="84"/>
        <v>-11720.982720355067</v>
      </c>
      <c r="Q1370">
        <v>143000</v>
      </c>
      <c r="R1370">
        <v>1</v>
      </c>
      <c r="S1370">
        <v>36</v>
      </c>
      <c r="T1370">
        <v>0</v>
      </c>
      <c r="U1370">
        <f t="shared" si="85"/>
        <v>12.095141084822892</v>
      </c>
      <c r="V1370">
        <f t="shared" si="86"/>
        <v>7.7935868033715838</v>
      </c>
      <c r="W1370">
        <v>1</v>
      </c>
      <c r="X1370">
        <v>0</v>
      </c>
      <c r="Y1370">
        <v>0</v>
      </c>
      <c r="Z1370">
        <f>'Résultat (Ln)'!F$30+'Résultat (Ln)'!F$31*Données!S1370+'Résultat (Ln)'!F$32*Données!T1370+'Résultat (Ln)'!F$33*Données!U1370+'Résultat (Ln)'!F$34*Données!V1370+'Résultat (Ln)'!F$35*Données!W1370+'Résultat (Ln)'!F$36*Données!X1370+'Résultat (Ln)'!F$37*Données!Y1370</f>
        <v>133800.30024201763</v>
      </c>
      <c r="AA1370">
        <f t="shared" si="87"/>
        <v>9199.6997579823656</v>
      </c>
    </row>
    <row r="1371" spans="1:27" x14ac:dyDescent="0.25">
      <c r="A1371">
        <v>131000</v>
      </c>
      <c r="B1371">
        <v>1</v>
      </c>
      <c r="C1371">
        <v>33</v>
      </c>
      <c r="D1371">
        <v>0</v>
      </c>
      <c r="E1371">
        <v>131000</v>
      </c>
      <c r="F1371">
        <v>4028</v>
      </c>
      <c r="G1371">
        <v>0</v>
      </c>
      <c r="H1371">
        <v>0</v>
      </c>
      <c r="I1371">
        <v>1</v>
      </c>
      <c r="J1371">
        <v>32</v>
      </c>
      <c r="K1371">
        <v>0</v>
      </c>
      <c r="L1371">
        <f>Résultats!G$32+Résultats!G$33*Données!C1371+Résultats!G$34*Données!D1371+Résultats!G$35*Données!E1371+Résultats!G$36*Données!F1371+Résultats!G$37*Données!G1371+Résultats!G$38*Données!H1371+Résultats!G$39*Données!I1371</f>
        <v>113369.47106911693</v>
      </c>
      <c r="M1371">
        <f t="shared" si="84"/>
        <v>17630.528930883069</v>
      </c>
      <c r="Q1371">
        <v>92000</v>
      </c>
      <c r="R1371">
        <v>1</v>
      </c>
      <c r="S1371">
        <v>22</v>
      </c>
      <c r="T1371">
        <v>0</v>
      </c>
      <c r="U1371">
        <f t="shared" si="85"/>
        <v>11.911701584927597</v>
      </c>
      <c r="V1371">
        <f t="shared" si="86"/>
        <v>7.9131551859280682</v>
      </c>
      <c r="W1371">
        <v>1</v>
      </c>
      <c r="X1371">
        <v>0</v>
      </c>
      <c r="Y1371">
        <v>0</v>
      </c>
      <c r="Z1371">
        <f>'Résultat (Ln)'!F$30+'Résultat (Ln)'!F$31*Données!S1371+'Résultat (Ln)'!F$32*Données!T1371+'Résultat (Ln)'!F$33*Données!U1371+'Résultat (Ln)'!F$34*Données!V1371+'Résultat (Ln)'!F$35*Données!W1371+'Résultat (Ln)'!F$36*Données!X1371+'Résultat (Ln)'!F$37*Données!Y1371</f>
        <v>100381.21567237792</v>
      </c>
      <c r="AA1371">
        <f t="shared" si="87"/>
        <v>-8381.215672377919</v>
      </c>
    </row>
    <row r="1372" spans="1:27" x14ac:dyDescent="0.25">
      <c r="A1372">
        <v>100000</v>
      </c>
      <c r="B1372">
        <v>1</v>
      </c>
      <c r="C1372">
        <v>29</v>
      </c>
      <c r="D1372">
        <v>0</v>
      </c>
      <c r="E1372">
        <v>300000</v>
      </c>
      <c r="F1372">
        <v>3750</v>
      </c>
      <c r="G1372">
        <v>0</v>
      </c>
      <c r="H1372">
        <v>0</v>
      </c>
      <c r="I1372">
        <v>0</v>
      </c>
      <c r="J1372">
        <v>29</v>
      </c>
      <c r="K1372">
        <v>1</v>
      </c>
      <c r="L1372">
        <f>Résultats!G$32+Résultats!G$33*Données!C1372+Résultats!G$34*Données!D1372+Résultats!G$35*Données!E1372+Résultats!G$36*Données!F1372+Résultats!G$37*Données!G1372+Résultats!G$38*Données!H1372+Résultats!G$39*Données!I1372</f>
        <v>177225.73021366986</v>
      </c>
      <c r="M1372">
        <f t="shared" si="84"/>
        <v>-77225.730213669856</v>
      </c>
      <c r="Q1372">
        <v>131000</v>
      </c>
      <c r="R1372">
        <v>1</v>
      </c>
      <c r="S1372">
        <v>33</v>
      </c>
      <c r="T1372">
        <v>0</v>
      </c>
      <c r="U1372">
        <f t="shared" si="85"/>
        <v>11.782952602183288</v>
      </c>
      <c r="V1372">
        <f t="shared" si="86"/>
        <v>8.3010252538384535</v>
      </c>
      <c r="W1372">
        <v>0</v>
      </c>
      <c r="X1372">
        <v>0</v>
      </c>
      <c r="Y1372">
        <v>1</v>
      </c>
      <c r="Z1372">
        <f>'Résultat (Ln)'!F$30+'Résultat (Ln)'!F$31*Données!S1372+'Résultat (Ln)'!F$32*Données!T1372+'Résultat (Ln)'!F$33*Données!U1372+'Résultat (Ln)'!F$34*Données!V1372+'Résultat (Ln)'!F$35*Données!W1372+'Résultat (Ln)'!F$36*Données!X1372+'Résultat (Ln)'!F$37*Données!Y1372</f>
        <v>120473.36985631008</v>
      </c>
      <c r="AA1372">
        <f t="shared" si="87"/>
        <v>10526.630143689923</v>
      </c>
    </row>
    <row r="1373" spans="1:27" x14ac:dyDescent="0.25">
      <c r="A1373">
        <v>152000</v>
      </c>
      <c r="B1373">
        <v>1</v>
      </c>
      <c r="C1373">
        <v>28</v>
      </c>
      <c r="D1373">
        <v>0</v>
      </c>
      <c r="E1373">
        <v>179000</v>
      </c>
      <c r="F1373">
        <v>2135</v>
      </c>
      <c r="G1373">
        <v>1</v>
      </c>
      <c r="H1373">
        <v>0</v>
      </c>
      <c r="I1373">
        <v>0</v>
      </c>
      <c r="J1373">
        <v>28</v>
      </c>
      <c r="K1373">
        <v>1</v>
      </c>
      <c r="L1373">
        <f>Résultats!G$32+Résultats!G$33*Données!C1373+Résultats!G$34*Données!D1373+Résultats!G$35*Données!E1373+Résultats!G$36*Données!F1373+Résultats!G$37*Données!G1373+Résultats!G$38*Données!H1373+Résultats!G$39*Données!I1373</f>
        <v>123462.80621051809</v>
      </c>
      <c r="M1373">
        <f t="shared" si="84"/>
        <v>28537.193789481913</v>
      </c>
      <c r="Q1373">
        <v>100000</v>
      </c>
      <c r="R1373">
        <v>1</v>
      </c>
      <c r="S1373">
        <v>29</v>
      </c>
      <c r="T1373">
        <v>0</v>
      </c>
      <c r="U1373">
        <f t="shared" si="85"/>
        <v>12.611537753638338</v>
      </c>
      <c r="V1373">
        <f t="shared" si="86"/>
        <v>8.2295111189644565</v>
      </c>
      <c r="W1373">
        <v>0</v>
      </c>
      <c r="X1373">
        <v>0</v>
      </c>
      <c r="Y1373">
        <v>0</v>
      </c>
      <c r="Z1373">
        <f>'Résultat (Ln)'!F$30+'Résultat (Ln)'!F$31*Données!S1373+'Résultat (Ln)'!F$32*Données!T1373+'Résultat (Ln)'!F$33*Données!U1373+'Résultat (Ln)'!F$34*Données!V1373+'Résultat (Ln)'!F$35*Données!W1373+'Résultat (Ln)'!F$36*Données!X1373+'Résultat (Ln)'!F$37*Données!Y1373</f>
        <v>188313.25905434592</v>
      </c>
      <c r="AA1373">
        <f t="shared" si="87"/>
        <v>-88313.259054345923</v>
      </c>
    </row>
    <row r="1374" spans="1:27" x14ac:dyDescent="0.25">
      <c r="A1374">
        <v>97000</v>
      </c>
      <c r="B1374">
        <v>1</v>
      </c>
      <c r="C1374">
        <v>27</v>
      </c>
      <c r="D1374">
        <v>0</v>
      </c>
      <c r="E1374">
        <v>102000</v>
      </c>
      <c r="F1374">
        <v>3081</v>
      </c>
      <c r="G1374">
        <v>1</v>
      </c>
      <c r="H1374">
        <v>0</v>
      </c>
      <c r="I1374">
        <v>0</v>
      </c>
      <c r="J1374">
        <v>24</v>
      </c>
      <c r="K1374">
        <v>1</v>
      </c>
      <c r="L1374">
        <f>Résultats!G$32+Résultats!G$33*Données!C1374+Résultats!G$34*Données!D1374+Résultats!G$35*Données!E1374+Résultats!G$36*Données!F1374+Résultats!G$37*Données!G1374+Résultats!G$38*Données!H1374+Résultats!G$39*Données!I1374</f>
        <v>88191.880991613609</v>
      </c>
      <c r="M1374">
        <f t="shared" si="84"/>
        <v>8808.1190083863912</v>
      </c>
      <c r="Q1374">
        <v>152000</v>
      </c>
      <c r="R1374">
        <v>1</v>
      </c>
      <c r="S1374">
        <v>28</v>
      </c>
      <c r="T1374">
        <v>0</v>
      </c>
      <c r="U1374">
        <f t="shared" si="85"/>
        <v>12.095141084822892</v>
      </c>
      <c r="V1374">
        <f t="shared" si="86"/>
        <v>7.6662219256627253</v>
      </c>
      <c r="W1374">
        <v>1</v>
      </c>
      <c r="X1374">
        <v>0</v>
      </c>
      <c r="Y1374">
        <v>0</v>
      </c>
      <c r="Z1374">
        <f>'Résultat (Ln)'!F$30+'Résultat (Ln)'!F$31*Données!S1374+'Résultat (Ln)'!F$32*Données!T1374+'Résultat (Ln)'!F$33*Données!U1374+'Résultat (Ln)'!F$34*Données!V1374+'Résultat (Ln)'!F$35*Données!W1374+'Résultat (Ln)'!F$36*Données!X1374+'Résultat (Ln)'!F$37*Données!Y1374</f>
        <v>120451.92350535911</v>
      </c>
      <c r="AA1374">
        <f t="shared" si="87"/>
        <v>31548.076494640889</v>
      </c>
    </row>
    <row r="1375" spans="1:27" x14ac:dyDescent="0.25">
      <c r="A1375">
        <v>120000</v>
      </c>
      <c r="B1375">
        <v>1</v>
      </c>
      <c r="C1375">
        <v>31.20000076293945</v>
      </c>
      <c r="D1375">
        <v>0</v>
      </c>
      <c r="E1375">
        <v>190000</v>
      </c>
      <c r="F1375">
        <v>4010</v>
      </c>
      <c r="G1375">
        <v>1</v>
      </c>
      <c r="H1375">
        <v>0</v>
      </c>
      <c r="I1375">
        <v>1</v>
      </c>
      <c r="J1375">
        <v>22.70000076293945</v>
      </c>
      <c r="K1375">
        <v>1</v>
      </c>
      <c r="L1375">
        <f>Résultats!G$32+Résultats!G$33*Données!C1375+Résultats!G$34*Données!D1375+Résultats!G$35*Données!E1375+Résultats!G$36*Données!F1375+Résultats!G$37*Données!G1375+Résultats!G$38*Données!H1375+Résultats!G$39*Données!I1375</f>
        <v>145833.84642322056</v>
      </c>
      <c r="M1375">
        <f t="shared" si="84"/>
        <v>-25833.846423220559</v>
      </c>
      <c r="Q1375">
        <v>97000</v>
      </c>
      <c r="R1375">
        <v>1</v>
      </c>
      <c r="S1375">
        <v>27</v>
      </c>
      <c r="T1375">
        <v>0</v>
      </c>
      <c r="U1375">
        <f t="shared" si="85"/>
        <v>11.532728092266408</v>
      </c>
      <c r="V1375">
        <f t="shared" si="86"/>
        <v>8.0330094985966678</v>
      </c>
      <c r="W1375">
        <v>1</v>
      </c>
      <c r="X1375">
        <v>0</v>
      </c>
      <c r="Y1375">
        <v>0</v>
      </c>
      <c r="Z1375">
        <f>'Résultat (Ln)'!F$30+'Résultat (Ln)'!F$31*Données!S1375+'Résultat (Ln)'!F$32*Données!T1375+'Résultat (Ln)'!F$33*Données!U1375+'Résultat (Ln)'!F$34*Données!V1375+'Résultat (Ln)'!F$35*Données!W1375+'Résultat (Ln)'!F$36*Données!X1375+'Résultat (Ln)'!F$37*Données!Y1375</f>
        <v>69228.551557034443</v>
      </c>
      <c r="AA1375">
        <f t="shared" si="87"/>
        <v>27771.448442965557</v>
      </c>
    </row>
    <row r="1376" spans="1:27" x14ac:dyDescent="0.25">
      <c r="A1376">
        <v>162000</v>
      </c>
      <c r="B1376">
        <v>1</v>
      </c>
      <c r="C1376">
        <v>37</v>
      </c>
      <c r="D1376">
        <v>0</v>
      </c>
      <c r="E1376">
        <v>142000</v>
      </c>
      <c r="F1376">
        <v>2958</v>
      </c>
      <c r="G1376">
        <v>1</v>
      </c>
      <c r="H1376">
        <v>0</v>
      </c>
      <c r="I1376">
        <v>1</v>
      </c>
      <c r="J1376">
        <v>29</v>
      </c>
      <c r="K1376">
        <v>1</v>
      </c>
      <c r="L1376">
        <f>Résultats!G$32+Résultats!G$33*Données!C1376+Résultats!G$34*Données!D1376+Résultats!G$35*Données!E1376+Résultats!G$36*Données!F1376+Résultats!G$37*Données!G1376+Résultats!G$38*Données!H1376+Résultats!G$39*Données!I1376</f>
        <v>128043.82454067658</v>
      </c>
      <c r="M1376">
        <f t="shared" si="84"/>
        <v>33956.175459323422</v>
      </c>
      <c r="Q1376">
        <v>120000</v>
      </c>
      <c r="R1376">
        <v>1</v>
      </c>
      <c r="S1376">
        <v>31.20000076293945</v>
      </c>
      <c r="T1376">
        <v>0</v>
      </c>
      <c r="U1376">
        <f t="shared" si="85"/>
        <v>12.154779351142624</v>
      </c>
      <c r="V1376">
        <f t="shared" si="86"/>
        <v>8.2965465203006143</v>
      </c>
      <c r="W1376">
        <v>1</v>
      </c>
      <c r="X1376">
        <v>0</v>
      </c>
      <c r="Y1376">
        <v>1</v>
      </c>
      <c r="Z1376">
        <f>'Résultat (Ln)'!F$30+'Résultat (Ln)'!F$31*Données!S1376+'Résultat (Ln)'!F$32*Données!T1376+'Résultat (Ln)'!F$33*Données!U1376+'Résultat (Ln)'!F$34*Données!V1376+'Résultat (Ln)'!F$35*Données!W1376+'Résultat (Ln)'!F$36*Données!X1376+'Résultat (Ln)'!F$37*Données!Y1376</f>
        <v>162520.29722699433</v>
      </c>
      <c r="AA1376">
        <f t="shared" si="87"/>
        <v>-42520.297226994328</v>
      </c>
    </row>
    <row r="1377" spans="1:27" x14ac:dyDescent="0.25">
      <c r="A1377">
        <v>187000</v>
      </c>
      <c r="B1377">
        <v>1</v>
      </c>
      <c r="C1377">
        <v>34</v>
      </c>
      <c r="D1377">
        <v>0</v>
      </c>
      <c r="E1377">
        <v>245000</v>
      </c>
      <c r="F1377">
        <v>6667</v>
      </c>
      <c r="G1377">
        <v>1</v>
      </c>
      <c r="H1377">
        <v>0</v>
      </c>
      <c r="I1377">
        <v>0</v>
      </c>
      <c r="J1377">
        <v>30</v>
      </c>
      <c r="K1377">
        <v>1</v>
      </c>
      <c r="L1377">
        <f>Résultats!G$32+Résultats!G$33*Données!C1377+Résultats!G$34*Données!D1377+Résultats!G$35*Données!E1377+Résultats!G$36*Données!F1377+Résultats!G$37*Données!G1377+Résultats!G$38*Données!H1377+Résultats!G$39*Données!I1377</f>
        <v>169955.79655922277</v>
      </c>
      <c r="M1377">
        <f t="shared" si="84"/>
        <v>17044.20344077723</v>
      </c>
      <c r="Q1377">
        <v>162000</v>
      </c>
      <c r="R1377">
        <v>1</v>
      </c>
      <c r="S1377">
        <v>37</v>
      </c>
      <c r="T1377">
        <v>0</v>
      </c>
      <c r="U1377">
        <f t="shared" si="85"/>
        <v>11.863582336583399</v>
      </c>
      <c r="V1377">
        <f t="shared" si="86"/>
        <v>7.9922686432707453</v>
      </c>
      <c r="W1377">
        <v>1</v>
      </c>
      <c r="X1377">
        <v>0</v>
      </c>
      <c r="Y1377">
        <v>1</v>
      </c>
      <c r="Z1377">
        <f>'Résultat (Ln)'!F$30+'Résultat (Ln)'!F$31*Données!S1377+'Résultat (Ln)'!F$32*Données!T1377+'Résultat (Ln)'!F$33*Données!U1377+'Résultat (Ln)'!F$34*Données!V1377+'Résultat (Ln)'!F$35*Données!W1377+'Résultat (Ln)'!F$36*Données!X1377+'Résultat (Ln)'!F$37*Données!Y1377</f>
        <v>129859.39069348636</v>
      </c>
      <c r="AA1377">
        <f t="shared" si="87"/>
        <v>32140.609306513637</v>
      </c>
    </row>
    <row r="1378" spans="1:27" x14ac:dyDescent="0.25">
      <c r="A1378">
        <v>114000</v>
      </c>
      <c r="B1378">
        <v>1</v>
      </c>
      <c r="C1378">
        <v>26</v>
      </c>
      <c r="D1378">
        <v>0</v>
      </c>
      <c r="E1378">
        <v>143000</v>
      </c>
      <c r="F1378">
        <v>3719</v>
      </c>
      <c r="G1378">
        <v>1</v>
      </c>
      <c r="H1378">
        <v>0</v>
      </c>
      <c r="I1378">
        <v>0</v>
      </c>
      <c r="J1378">
        <v>22</v>
      </c>
      <c r="K1378">
        <v>0</v>
      </c>
      <c r="L1378">
        <f>Résultats!G$32+Résultats!G$33*Données!C1378+Résultats!G$34*Données!D1378+Résultats!G$35*Données!E1378+Résultats!G$36*Données!F1378+Résultats!G$37*Données!G1378+Résultats!G$38*Données!H1378+Résultats!G$39*Données!I1378</f>
        <v>107424.60296742553</v>
      </c>
      <c r="M1378">
        <f t="shared" si="84"/>
        <v>6575.397032574474</v>
      </c>
      <c r="Q1378">
        <v>187000</v>
      </c>
      <c r="R1378">
        <v>1</v>
      </c>
      <c r="S1378">
        <v>34</v>
      </c>
      <c r="T1378">
        <v>0</v>
      </c>
      <c r="U1378">
        <f t="shared" si="85"/>
        <v>12.409013489526863</v>
      </c>
      <c r="V1378">
        <f t="shared" si="86"/>
        <v>8.8049252626180596</v>
      </c>
      <c r="W1378">
        <v>1</v>
      </c>
      <c r="X1378">
        <v>0</v>
      </c>
      <c r="Y1378">
        <v>0</v>
      </c>
      <c r="Z1378">
        <f>'Résultat (Ln)'!F$30+'Résultat (Ln)'!F$31*Données!S1378+'Résultat (Ln)'!F$32*Données!T1378+'Résultat (Ln)'!F$33*Données!U1378+'Résultat (Ln)'!F$34*Données!V1378+'Résultat (Ln)'!F$35*Données!W1378+'Résultat (Ln)'!F$36*Données!X1378+'Résultat (Ln)'!F$37*Données!Y1378</f>
        <v>193365.73746118319</v>
      </c>
      <c r="AA1378">
        <f t="shared" si="87"/>
        <v>-6365.737461183191</v>
      </c>
    </row>
    <row r="1379" spans="1:27" x14ac:dyDescent="0.25">
      <c r="A1379">
        <v>50000</v>
      </c>
      <c r="B1379">
        <v>1</v>
      </c>
      <c r="C1379">
        <v>19</v>
      </c>
      <c r="D1379">
        <v>0</v>
      </c>
      <c r="E1379">
        <v>80000</v>
      </c>
      <c r="F1379">
        <v>1926</v>
      </c>
      <c r="G1379">
        <v>0</v>
      </c>
      <c r="H1379">
        <v>1</v>
      </c>
      <c r="I1379">
        <v>0</v>
      </c>
      <c r="J1379">
        <v>16</v>
      </c>
      <c r="K1379">
        <v>1</v>
      </c>
      <c r="L1379">
        <f>Résultats!G$32+Résultats!G$33*Données!C1379+Résultats!G$34*Données!D1379+Résultats!G$35*Données!E1379+Résultats!G$36*Données!F1379+Résultats!G$37*Données!G1379+Résultats!G$38*Données!H1379+Résultats!G$39*Données!I1379</f>
        <v>57849.506680200124</v>
      </c>
      <c r="M1379">
        <f t="shared" si="84"/>
        <v>-7849.5066802001238</v>
      </c>
      <c r="Q1379">
        <v>114000</v>
      </c>
      <c r="R1379">
        <v>1</v>
      </c>
      <c r="S1379">
        <v>26</v>
      </c>
      <c r="T1379">
        <v>0</v>
      </c>
      <c r="U1379">
        <f t="shared" si="85"/>
        <v>11.870599909242044</v>
      </c>
      <c r="V1379">
        <f t="shared" si="86"/>
        <v>8.2212100939250696</v>
      </c>
      <c r="W1379">
        <v>1</v>
      </c>
      <c r="X1379">
        <v>0</v>
      </c>
      <c r="Y1379">
        <v>0</v>
      </c>
      <c r="Z1379">
        <f>'Résultat (Ln)'!F$30+'Résultat (Ln)'!F$31*Données!S1379+'Résultat (Ln)'!F$32*Données!T1379+'Résultat (Ln)'!F$33*Données!U1379+'Résultat (Ln)'!F$34*Données!V1379+'Résultat (Ln)'!F$35*Données!W1379+'Résultat (Ln)'!F$36*Données!X1379+'Résultat (Ln)'!F$37*Données!Y1379</f>
        <v>109503.10629186661</v>
      </c>
      <c r="AA1379">
        <f t="shared" si="87"/>
        <v>4496.8937081333861</v>
      </c>
    </row>
    <row r="1380" spans="1:27" x14ac:dyDescent="0.25">
      <c r="A1380">
        <v>123000</v>
      </c>
      <c r="B1380">
        <v>1</v>
      </c>
      <c r="C1380">
        <v>58.400001525878913</v>
      </c>
      <c r="D1380">
        <v>0</v>
      </c>
      <c r="E1380">
        <v>163000</v>
      </c>
      <c r="F1380">
        <v>2858</v>
      </c>
      <c r="G1380">
        <v>0</v>
      </c>
      <c r="H1380">
        <v>0</v>
      </c>
      <c r="I1380">
        <v>1</v>
      </c>
      <c r="J1380">
        <v>44.700000762939453</v>
      </c>
      <c r="K1380">
        <v>1</v>
      </c>
      <c r="L1380">
        <f>Résultats!G$32+Résultats!G$33*Données!C1380+Résultats!G$34*Données!D1380+Résultats!G$35*Données!E1380+Résultats!G$36*Données!F1380+Résultats!G$37*Données!G1380+Résultats!G$38*Données!H1380+Résultats!G$39*Données!I1380</f>
        <v>155220.99383102878</v>
      </c>
      <c r="M1380">
        <f t="shared" si="84"/>
        <v>-32220.993831028783</v>
      </c>
      <c r="Q1380">
        <v>50000</v>
      </c>
      <c r="R1380">
        <v>1</v>
      </c>
      <c r="S1380">
        <v>19</v>
      </c>
      <c r="T1380">
        <v>0</v>
      </c>
      <c r="U1380">
        <f t="shared" si="85"/>
        <v>11.289781913656018</v>
      </c>
      <c r="V1380">
        <f t="shared" si="86"/>
        <v>7.5632005923580712</v>
      </c>
      <c r="W1380">
        <v>0</v>
      </c>
      <c r="X1380">
        <v>1</v>
      </c>
      <c r="Y1380">
        <v>0</v>
      </c>
      <c r="Z1380">
        <f>'Résultat (Ln)'!F$30+'Résultat (Ln)'!F$31*Données!S1380+'Résultat (Ln)'!F$32*Données!T1380+'Résultat (Ln)'!F$33*Données!U1380+'Résultat (Ln)'!F$34*Données!V1380+'Résultat (Ln)'!F$35*Données!W1380+'Résultat (Ln)'!F$36*Données!X1380+'Résultat (Ln)'!F$37*Données!Y1380</f>
        <v>15541.737368172362</v>
      </c>
      <c r="AA1380">
        <f t="shared" si="87"/>
        <v>34458.262631827638</v>
      </c>
    </row>
    <row r="1381" spans="1:27" x14ac:dyDescent="0.25">
      <c r="A1381">
        <v>92000</v>
      </c>
      <c r="B1381">
        <v>1</v>
      </c>
      <c r="C1381">
        <v>28</v>
      </c>
      <c r="D1381">
        <v>0</v>
      </c>
      <c r="E1381">
        <v>123000</v>
      </c>
      <c r="F1381">
        <v>3833</v>
      </c>
      <c r="G1381">
        <v>1</v>
      </c>
      <c r="H1381">
        <v>0</v>
      </c>
      <c r="I1381">
        <v>0</v>
      </c>
      <c r="J1381">
        <v>25</v>
      </c>
      <c r="K1381">
        <v>0</v>
      </c>
      <c r="L1381">
        <f>Résultats!G$32+Résultats!G$33*Données!C1381+Résultats!G$34*Données!D1381+Résultats!G$35*Données!E1381+Résultats!G$36*Données!F1381+Résultats!G$37*Données!G1381+Résultats!G$38*Données!H1381+Résultats!G$39*Données!I1381</f>
        <v>100603.78611190474</v>
      </c>
      <c r="M1381">
        <f t="shared" si="84"/>
        <v>-8603.7861119047448</v>
      </c>
      <c r="Q1381">
        <v>123000</v>
      </c>
      <c r="R1381">
        <v>1</v>
      </c>
      <c r="S1381">
        <v>58.400001525878913</v>
      </c>
      <c r="T1381">
        <v>0</v>
      </c>
      <c r="U1381">
        <f t="shared" si="85"/>
        <v>12.0015054797889</v>
      </c>
      <c r="V1381">
        <f t="shared" si="86"/>
        <v>7.9578773584898128</v>
      </c>
      <c r="W1381">
        <v>0</v>
      </c>
      <c r="X1381">
        <v>0</v>
      </c>
      <c r="Y1381">
        <v>1</v>
      </c>
      <c r="Z1381">
        <f>'Résultat (Ln)'!F$30+'Résultat (Ln)'!F$31*Données!S1381+'Résultat (Ln)'!F$32*Données!T1381+'Résultat (Ln)'!F$33*Données!U1381+'Résultat (Ln)'!F$34*Données!V1381+'Résultat (Ln)'!F$35*Données!W1381+'Résultat (Ln)'!F$36*Données!X1381+'Résultat (Ln)'!F$37*Données!Y1381</f>
        <v>165317.25704572347</v>
      </c>
      <c r="AA1381">
        <f t="shared" si="87"/>
        <v>-42317.257045723469</v>
      </c>
    </row>
    <row r="1382" spans="1:27" x14ac:dyDescent="0.25">
      <c r="A1382">
        <v>60000</v>
      </c>
      <c r="B1382">
        <v>1</v>
      </c>
      <c r="C1382">
        <v>31.79999923706055</v>
      </c>
      <c r="D1382">
        <v>0</v>
      </c>
      <c r="E1382">
        <v>190000</v>
      </c>
      <c r="F1382">
        <v>2213</v>
      </c>
      <c r="G1382">
        <v>1</v>
      </c>
      <c r="H1382">
        <v>6</v>
      </c>
      <c r="I1382">
        <v>1</v>
      </c>
      <c r="J1382">
        <v>23.559999465942379</v>
      </c>
      <c r="K1382">
        <v>1</v>
      </c>
      <c r="L1382">
        <f>Résultats!G$32+Résultats!G$33*Données!C1382+Résultats!G$34*Données!D1382+Résultats!G$35*Données!E1382+Résultats!G$36*Données!F1382+Résultats!G$37*Données!G1382+Résultats!G$38*Données!H1382+Résultats!G$39*Données!I1382</f>
        <v>133289.18412663188</v>
      </c>
      <c r="M1382">
        <f t="shared" si="84"/>
        <v>-73289.184126631881</v>
      </c>
      <c r="Q1382">
        <v>92000</v>
      </c>
      <c r="R1382">
        <v>1</v>
      </c>
      <c r="S1382">
        <v>28</v>
      </c>
      <c r="T1382">
        <v>0</v>
      </c>
      <c r="U1382">
        <f t="shared" si="85"/>
        <v>11.719939634354555</v>
      </c>
      <c r="V1382">
        <f t="shared" si="86"/>
        <v>8.2514030653805559</v>
      </c>
      <c r="W1382">
        <v>1</v>
      </c>
      <c r="X1382">
        <v>0</v>
      </c>
      <c r="Y1382">
        <v>0</v>
      </c>
      <c r="Z1382">
        <f>'Résultat (Ln)'!F$30+'Résultat (Ln)'!F$31*Données!S1382+'Résultat (Ln)'!F$32*Données!T1382+'Résultat (Ln)'!F$33*Données!U1382+'Résultat (Ln)'!F$34*Données!V1382+'Résultat (Ln)'!F$35*Données!W1382+'Résultat (Ln)'!F$36*Données!X1382+'Résultat (Ln)'!F$37*Données!Y1382</f>
        <v>96643.860556010171</v>
      </c>
      <c r="AA1382">
        <f t="shared" si="87"/>
        <v>-4643.8605560101714</v>
      </c>
    </row>
    <row r="1383" spans="1:27" x14ac:dyDescent="0.25">
      <c r="A1383">
        <v>160000</v>
      </c>
      <c r="B1383">
        <v>1</v>
      </c>
      <c r="C1383">
        <v>27</v>
      </c>
      <c r="D1383">
        <v>0</v>
      </c>
      <c r="E1383">
        <v>168000</v>
      </c>
      <c r="F1383">
        <v>3333</v>
      </c>
      <c r="G1383">
        <v>1</v>
      </c>
      <c r="H1383">
        <v>0</v>
      </c>
      <c r="I1383">
        <v>0</v>
      </c>
      <c r="J1383">
        <v>21</v>
      </c>
      <c r="K1383">
        <v>1</v>
      </c>
      <c r="L1383">
        <f>Résultats!G$32+Résultats!G$33*Données!C1383+Résultats!G$34*Données!D1383+Résultats!G$35*Données!E1383+Résultats!G$36*Données!F1383+Résultats!G$37*Données!G1383+Résultats!G$38*Données!H1383+Résultats!G$39*Données!I1383</f>
        <v>119499.119140177</v>
      </c>
      <c r="M1383">
        <f t="shared" si="84"/>
        <v>40500.880859822995</v>
      </c>
      <c r="Q1383">
        <v>60000</v>
      </c>
      <c r="R1383">
        <v>1</v>
      </c>
      <c r="S1383">
        <v>31.79999923706055</v>
      </c>
      <c r="T1383">
        <v>0</v>
      </c>
      <c r="U1383">
        <f t="shared" si="85"/>
        <v>12.154779351142624</v>
      </c>
      <c r="V1383">
        <f t="shared" si="86"/>
        <v>7.7021043400510498</v>
      </c>
      <c r="W1383">
        <v>1</v>
      </c>
      <c r="X1383">
        <v>6</v>
      </c>
      <c r="Y1383">
        <v>1</v>
      </c>
      <c r="Z1383">
        <f>'Résultat (Ln)'!F$30+'Résultat (Ln)'!F$31*Données!S1383+'Résultat (Ln)'!F$32*Données!T1383+'Résultat (Ln)'!F$33*Données!U1383+'Résultat (Ln)'!F$34*Données!V1383+'Résultat (Ln)'!F$35*Données!W1383+'Résultat (Ln)'!F$36*Données!X1383+'Résultat (Ln)'!F$37*Données!Y1383</f>
        <v>145516.68324055208</v>
      </c>
      <c r="AA1383">
        <f t="shared" si="87"/>
        <v>-85516.683240552084</v>
      </c>
    </row>
    <row r="1384" spans="1:27" x14ac:dyDescent="0.25">
      <c r="A1384">
        <v>187000</v>
      </c>
      <c r="B1384">
        <v>1</v>
      </c>
      <c r="C1384">
        <v>21</v>
      </c>
      <c r="D1384">
        <v>0</v>
      </c>
      <c r="E1384">
        <v>265000</v>
      </c>
      <c r="F1384">
        <v>10416</v>
      </c>
      <c r="G1384">
        <v>0</v>
      </c>
      <c r="H1384">
        <v>0</v>
      </c>
      <c r="I1384">
        <v>0</v>
      </c>
      <c r="J1384">
        <v>19</v>
      </c>
      <c r="K1384">
        <v>1</v>
      </c>
      <c r="L1384">
        <f>Résultats!G$32+Résultats!G$33*Données!C1384+Résultats!G$34*Données!D1384+Résultats!G$35*Données!E1384+Résultats!G$36*Données!F1384+Résultats!G$37*Données!G1384+Résultats!G$38*Données!H1384+Résultats!G$39*Données!I1384</f>
        <v>164610.29335731457</v>
      </c>
      <c r="M1384">
        <f t="shared" si="84"/>
        <v>22389.706642685429</v>
      </c>
      <c r="Q1384">
        <v>160000</v>
      </c>
      <c r="R1384">
        <v>1</v>
      </c>
      <c r="S1384">
        <v>27</v>
      </c>
      <c r="T1384">
        <v>0</v>
      </c>
      <c r="U1384">
        <f t="shared" si="85"/>
        <v>12.031719258385396</v>
      </c>
      <c r="V1384">
        <f t="shared" si="86"/>
        <v>8.1116280783077404</v>
      </c>
      <c r="W1384">
        <v>1</v>
      </c>
      <c r="X1384">
        <v>0</v>
      </c>
      <c r="Y1384">
        <v>0</v>
      </c>
      <c r="Z1384">
        <f>'Résultat (Ln)'!F$30+'Résultat (Ln)'!F$31*Données!S1384+'Résultat (Ln)'!F$32*Données!T1384+'Résultat (Ln)'!F$33*Données!U1384+'Résultat (Ln)'!F$34*Données!V1384+'Résultat (Ln)'!F$35*Données!W1384+'Résultat (Ln)'!F$36*Données!X1384+'Résultat (Ln)'!F$37*Données!Y1384</f>
        <v>124923.11263523651</v>
      </c>
      <c r="AA1384">
        <f t="shared" si="87"/>
        <v>35076.88736476349</v>
      </c>
    </row>
    <row r="1385" spans="1:27" x14ac:dyDescent="0.25">
      <c r="A1385">
        <v>105000</v>
      </c>
      <c r="B1385">
        <v>1</v>
      </c>
      <c r="C1385">
        <v>28</v>
      </c>
      <c r="D1385">
        <v>0</v>
      </c>
      <c r="E1385">
        <v>310000</v>
      </c>
      <c r="F1385">
        <v>4776</v>
      </c>
      <c r="G1385">
        <v>1</v>
      </c>
      <c r="H1385">
        <v>0</v>
      </c>
      <c r="I1385">
        <v>0</v>
      </c>
      <c r="J1385">
        <v>27</v>
      </c>
      <c r="K1385">
        <v>1</v>
      </c>
      <c r="L1385">
        <f>Résultats!G$32+Résultats!G$33*Données!C1385+Résultats!G$34*Données!D1385+Résultats!G$35*Données!E1385+Résultats!G$36*Données!F1385+Résultats!G$37*Données!G1385+Résultats!G$38*Données!H1385+Résultats!G$39*Données!I1385</f>
        <v>189751.38083959243</v>
      </c>
      <c r="M1385">
        <f t="shared" si="84"/>
        <v>-84751.380839592428</v>
      </c>
      <c r="Q1385">
        <v>187000</v>
      </c>
      <c r="R1385">
        <v>1</v>
      </c>
      <c r="S1385">
        <v>21</v>
      </c>
      <c r="T1385">
        <v>0</v>
      </c>
      <c r="U1385">
        <f t="shared" si="85"/>
        <v>12.487485104968359</v>
      </c>
      <c r="V1385">
        <f t="shared" si="86"/>
        <v>9.2510983644483513</v>
      </c>
      <c r="W1385">
        <v>0</v>
      </c>
      <c r="X1385">
        <v>0</v>
      </c>
      <c r="Y1385">
        <v>0</v>
      </c>
      <c r="Z1385">
        <f>'Résultat (Ln)'!F$30+'Résultat (Ln)'!F$31*Données!S1385+'Résultat (Ln)'!F$32*Données!T1385+'Résultat (Ln)'!F$33*Données!U1385+'Résultat (Ln)'!F$34*Données!V1385+'Résultat (Ln)'!F$35*Données!W1385+'Résultat (Ln)'!F$36*Données!X1385+'Résultat (Ln)'!F$37*Données!Y1385</f>
        <v>193890.26166062258</v>
      </c>
      <c r="AA1385">
        <f t="shared" si="87"/>
        <v>-6890.2616606225783</v>
      </c>
    </row>
    <row r="1386" spans="1:27" x14ac:dyDescent="0.25">
      <c r="A1386">
        <v>130000</v>
      </c>
      <c r="B1386">
        <v>1</v>
      </c>
      <c r="C1386">
        <v>36</v>
      </c>
      <c r="D1386">
        <v>0</v>
      </c>
      <c r="E1386">
        <v>176000</v>
      </c>
      <c r="F1386">
        <v>3891</v>
      </c>
      <c r="G1386">
        <v>1</v>
      </c>
      <c r="H1386">
        <v>0</v>
      </c>
      <c r="I1386">
        <v>0</v>
      </c>
      <c r="J1386">
        <v>26</v>
      </c>
      <c r="K1386">
        <v>1</v>
      </c>
      <c r="L1386">
        <f>Résultats!G$32+Résultats!G$33*Données!C1386+Résultats!G$34*Données!D1386+Résultats!G$35*Données!E1386+Résultats!G$36*Données!F1386+Résultats!G$37*Données!G1386+Résultats!G$38*Données!H1386+Résultats!G$39*Données!I1386</f>
        <v>134654.06405170931</v>
      </c>
      <c r="M1386">
        <f t="shared" si="84"/>
        <v>-4654.0640517093125</v>
      </c>
      <c r="Q1386">
        <v>105000</v>
      </c>
      <c r="R1386">
        <v>1</v>
      </c>
      <c r="S1386">
        <v>28</v>
      </c>
      <c r="T1386">
        <v>0</v>
      </c>
      <c r="U1386">
        <f t="shared" si="85"/>
        <v>12.644327576461329</v>
      </c>
      <c r="V1386">
        <f t="shared" si="86"/>
        <v>8.4713586550724376</v>
      </c>
      <c r="W1386">
        <v>1</v>
      </c>
      <c r="X1386">
        <v>0</v>
      </c>
      <c r="Y1386">
        <v>0</v>
      </c>
      <c r="Z1386">
        <f>'Résultat (Ln)'!F$30+'Résultat (Ln)'!F$31*Données!S1386+'Résultat (Ln)'!F$32*Données!T1386+'Résultat (Ln)'!F$33*Données!U1386+'Résultat (Ln)'!F$34*Données!V1386+'Résultat (Ln)'!F$35*Données!W1386+'Résultat (Ln)'!F$36*Données!X1386+'Résultat (Ln)'!F$37*Données!Y1386</f>
        <v>201902.97848456301</v>
      </c>
      <c r="AA1386">
        <f t="shared" si="87"/>
        <v>-96902.978484563006</v>
      </c>
    </row>
    <row r="1387" spans="1:27" x14ac:dyDescent="0.25">
      <c r="A1387">
        <v>180000</v>
      </c>
      <c r="B1387">
        <v>1</v>
      </c>
      <c r="C1387">
        <v>26</v>
      </c>
      <c r="D1387">
        <v>0</v>
      </c>
      <c r="E1387">
        <v>225000</v>
      </c>
      <c r="F1387">
        <v>6500</v>
      </c>
      <c r="G1387">
        <v>0</v>
      </c>
      <c r="H1387">
        <v>0</v>
      </c>
      <c r="I1387">
        <v>0</v>
      </c>
      <c r="J1387">
        <v>21</v>
      </c>
      <c r="K1387">
        <v>1</v>
      </c>
      <c r="L1387">
        <f>Résultats!G$32+Résultats!G$33*Données!C1387+Résultats!G$34*Données!D1387+Résultats!G$35*Données!E1387+Résultats!G$36*Données!F1387+Résultats!G$37*Données!G1387+Résultats!G$38*Données!H1387+Résultats!G$39*Données!I1387</f>
        <v>144087.13918169864</v>
      </c>
      <c r="M1387">
        <f t="shared" si="84"/>
        <v>35912.860818301357</v>
      </c>
      <c r="Q1387">
        <v>130000</v>
      </c>
      <c r="R1387">
        <v>1</v>
      </c>
      <c r="S1387">
        <v>36</v>
      </c>
      <c r="T1387">
        <v>0</v>
      </c>
      <c r="U1387">
        <f t="shared" si="85"/>
        <v>12.078239274020289</v>
      </c>
      <c r="V1387">
        <f t="shared" si="86"/>
        <v>8.266421472984554</v>
      </c>
      <c r="W1387">
        <v>1</v>
      </c>
      <c r="X1387">
        <v>0</v>
      </c>
      <c r="Y1387">
        <v>0</v>
      </c>
      <c r="Z1387">
        <f>'Résultat (Ln)'!F$30+'Résultat (Ln)'!F$31*Données!S1387+'Résultat (Ln)'!F$32*Données!T1387+'Résultat (Ln)'!F$33*Données!U1387+'Résultat (Ln)'!F$34*Données!V1387+'Résultat (Ln)'!F$35*Données!W1387+'Résultat (Ln)'!F$36*Données!X1387+'Résultat (Ln)'!F$37*Données!Y1387</f>
        <v>145249.52427172175</v>
      </c>
      <c r="AA1387">
        <f t="shared" si="87"/>
        <v>-15249.524271721748</v>
      </c>
    </row>
    <row r="1388" spans="1:27" x14ac:dyDescent="0.25">
      <c r="A1388">
        <v>138000</v>
      </c>
      <c r="B1388">
        <v>1</v>
      </c>
      <c r="C1388">
        <v>34.799999237060547</v>
      </c>
      <c r="D1388">
        <v>0</v>
      </c>
      <c r="E1388">
        <v>184000</v>
      </c>
      <c r="F1388">
        <v>7142</v>
      </c>
      <c r="G1388">
        <v>1</v>
      </c>
      <c r="H1388">
        <v>1</v>
      </c>
      <c r="I1388">
        <v>1</v>
      </c>
      <c r="J1388">
        <v>18.889999389648441</v>
      </c>
      <c r="K1388">
        <v>0</v>
      </c>
      <c r="L1388">
        <f>Résultats!G$32+Résultats!G$33*Données!C1388+Résultats!G$34*Données!D1388+Résultats!G$35*Données!E1388+Résultats!G$36*Données!F1388+Résultats!G$37*Données!G1388+Résultats!G$38*Données!H1388+Résultats!G$39*Données!I1388</f>
        <v>151611.21197364666</v>
      </c>
      <c r="M1388">
        <f t="shared" si="84"/>
        <v>-13611.211973646656</v>
      </c>
      <c r="Q1388">
        <v>180000</v>
      </c>
      <c r="R1388">
        <v>1</v>
      </c>
      <c r="S1388">
        <v>26</v>
      </c>
      <c r="T1388">
        <v>0</v>
      </c>
      <c r="U1388">
        <f t="shared" si="85"/>
        <v>12.323855681186558</v>
      </c>
      <c r="V1388">
        <f t="shared" si="86"/>
        <v>8.7795574558837277</v>
      </c>
      <c r="W1388">
        <v>0</v>
      </c>
      <c r="X1388">
        <v>0</v>
      </c>
      <c r="Y1388">
        <v>0</v>
      </c>
      <c r="Z1388">
        <f>'Résultat (Ln)'!F$30+'Résultat (Ln)'!F$31*Données!S1388+'Résultat (Ln)'!F$32*Données!T1388+'Résultat (Ln)'!F$33*Données!U1388+'Résultat (Ln)'!F$34*Données!V1388+'Résultat (Ln)'!F$35*Données!W1388+'Résultat (Ln)'!F$36*Données!X1388+'Résultat (Ln)'!F$37*Données!Y1388</f>
        <v>169235.3790907081</v>
      </c>
      <c r="AA1388">
        <f t="shared" si="87"/>
        <v>10764.620909291902</v>
      </c>
    </row>
    <row r="1389" spans="1:27" x14ac:dyDescent="0.25">
      <c r="A1389">
        <v>187000</v>
      </c>
      <c r="B1389">
        <v>1</v>
      </c>
      <c r="C1389">
        <v>23.60000038146973</v>
      </c>
      <c r="D1389">
        <v>0</v>
      </c>
      <c r="E1389">
        <v>235000</v>
      </c>
      <c r="F1389">
        <v>3660</v>
      </c>
      <c r="G1389">
        <v>0</v>
      </c>
      <c r="H1389">
        <v>1</v>
      </c>
      <c r="I1389">
        <v>0</v>
      </c>
      <c r="J1389">
        <v>21.10000038146973</v>
      </c>
      <c r="K1389">
        <v>1</v>
      </c>
      <c r="L1389">
        <f>Résultats!G$32+Résultats!G$33*Données!C1389+Résultats!G$34*Données!D1389+Résultats!G$35*Données!E1389+Résultats!G$36*Données!F1389+Résultats!G$37*Données!G1389+Résultats!G$38*Données!H1389+Résultats!G$39*Données!I1389</f>
        <v>138871.27079880136</v>
      </c>
      <c r="M1389">
        <f t="shared" si="84"/>
        <v>48128.729201198643</v>
      </c>
      <c r="Q1389">
        <v>138000</v>
      </c>
      <c r="R1389">
        <v>1</v>
      </c>
      <c r="S1389">
        <v>34.799999237060547</v>
      </c>
      <c r="T1389">
        <v>0</v>
      </c>
      <c r="U1389">
        <f t="shared" si="85"/>
        <v>12.122691036591123</v>
      </c>
      <c r="V1389">
        <f t="shared" si="86"/>
        <v>8.8737481281543946</v>
      </c>
      <c r="W1389">
        <v>1</v>
      </c>
      <c r="X1389">
        <v>1</v>
      </c>
      <c r="Y1389">
        <v>1</v>
      </c>
      <c r="Z1389">
        <f>'Résultat (Ln)'!F$30+'Résultat (Ln)'!F$31*Données!S1389+'Résultat (Ln)'!F$32*Données!T1389+'Résultat (Ln)'!F$33*Données!U1389+'Résultat (Ln)'!F$34*Données!V1389+'Résultat (Ln)'!F$35*Données!W1389+'Résultat (Ln)'!F$36*Données!X1389+'Résultat (Ln)'!F$37*Données!Y1389</f>
        <v>179490.45547246473</v>
      </c>
      <c r="AA1389">
        <f t="shared" si="87"/>
        <v>-41490.455472464731</v>
      </c>
    </row>
    <row r="1390" spans="1:27" x14ac:dyDescent="0.25">
      <c r="A1390">
        <v>180000</v>
      </c>
      <c r="B1390">
        <v>1</v>
      </c>
      <c r="C1390">
        <v>31</v>
      </c>
      <c r="D1390">
        <v>0</v>
      </c>
      <c r="E1390">
        <v>185000</v>
      </c>
      <c r="F1390">
        <v>7901</v>
      </c>
      <c r="G1390">
        <v>1</v>
      </c>
      <c r="H1390">
        <v>0</v>
      </c>
      <c r="I1390">
        <v>1</v>
      </c>
      <c r="J1390">
        <v>20</v>
      </c>
      <c r="K1390">
        <v>1</v>
      </c>
      <c r="L1390">
        <f>Résultats!G$32+Résultats!G$33*Données!C1390+Résultats!G$34*Données!D1390+Résultats!G$35*Données!E1390+Résultats!G$36*Données!F1390+Résultats!G$37*Données!G1390+Résultats!G$38*Données!H1390+Résultats!G$39*Données!I1390</f>
        <v>150809.27576782388</v>
      </c>
      <c r="M1390">
        <f t="shared" si="84"/>
        <v>29190.724232176115</v>
      </c>
      <c r="Q1390">
        <v>187000</v>
      </c>
      <c r="R1390">
        <v>1</v>
      </c>
      <c r="S1390">
        <v>23.60000038146973</v>
      </c>
      <c r="T1390">
        <v>0</v>
      </c>
      <c r="U1390">
        <f t="shared" si="85"/>
        <v>12.367340793126296</v>
      </c>
      <c r="V1390">
        <f t="shared" si="86"/>
        <v>8.2052184263954118</v>
      </c>
      <c r="W1390">
        <v>0</v>
      </c>
      <c r="X1390">
        <v>1</v>
      </c>
      <c r="Y1390">
        <v>0</v>
      </c>
      <c r="Z1390">
        <f>'Résultat (Ln)'!F$30+'Résultat (Ln)'!F$31*Données!S1390+'Résultat (Ln)'!F$32*Données!T1390+'Résultat (Ln)'!F$33*Données!U1390+'Résultat (Ln)'!F$34*Données!V1390+'Résultat (Ln)'!F$35*Données!W1390+'Résultat (Ln)'!F$36*Données!X1390+'Résultat (Ln)'!F$37*Données!Y1390</f>
        <v>154678.55989594068</v>
      </c>
      <c r="AA1390">
        <f t="shared" si="87"/>
        <v>32321.440104059322</v>
      </c>
    </row>
    <row r="1391" spans="1:27" x14ac:dyDescent="0.25">
      <c r="A1391">
        <v>55000</v>
      </c>
      <c r="B1391">
        <v>1</v>
      </c>
      <c r="C1391">
        <v>40</v>
      </c>
      <c r="D1391">
        <v>0</v>
      </c>
      <c r="E1391">
        <v>95000</v>
      </c>
      <c r="F1391">
        <v>6083</v>
      </c>
      <c r="G1391">
        <v>0</v>
      </c>
      <c r="H1391">
        <v>0</v>
      </c>
      <c r="I1391">
        <v>0</v>
      </c>
      <c r="J1391">
        <v>12</v>
      </c>
      <c r="K1391">
        <v>1</v>
      </c>
      <c r="L1391">
        <f>Résultats!G$32+Résultats!G$33*Données!C1391+Résultats!G$34*Données!D1391+Résultats!G$35*Données!E1391+Résultats!G$36*Données!F1391+Résultats!G$37*Données!G1391+Résultats!G$38*Données!H1391+Résultats!G$39*Données!I1391</f>
        <v>98656.542230386141</v>
      </c>
      <c r="M1391">
        <f t="shared" si="84"/>
        <v>-43656.542230386141</v>
      </c>
      <c r="Q1391">
        <v>180000</v>
      </c>
      <c r="R1391">
        <v>1</v>
      </c>
      <c r="S1391">
        <v>31</v>
      </c>
      <c r="T1391">
        <v>0</v>
      </c>
      <c r="U1391">
        <f t="shared" si="85"/>
        <v>12.128111104060462</v>
      </c>
      <c r="V1391">
        <f t="shared" si="86"/>
        <v>8.9747446127227342</v>
      </c>
      <c r="W1391">
        <v>1</v>
      </c>
      <c r="X1391">
        <v>0</v>
      </c>
      <c r="Y1391">
        <v>1</v>
      </c>
      <c r="Z1391">
        <f>'Résultat (Ln)'!F$30+'Résultat (Ln)'!F$31*Données!S1391+'Résultat (Ln)'!F$32*Données!T1391+'Résultat (Ln)'!F$33*Données!U1391+'Résultat (Ln)'!F$34*Données!V1391+'Résultat (Ln)'!F$35*Données!W1391+'Résultat (Ln)'!F$36*Données!X1391+'Résultat (Ln)'!F$37*Données!Y1391</f>
        <v>178437.7734836415</v>
      </c>
      <c r="AA1391">
        <f t="shared" si="87"/>
        <v>1562.2265163584962</v>
      </c>
    </row>
    <row r="1392" spans="1:27" x14ac:dyDescent="0.25">
      <c r="A1392">
        <v>60000</v>
      </c>
      <c r="B1392">
        <v>1</v>
      </c>
      <c r="C1392">
        <v>15</v>
      </c>
      <c r="D1392">
        <v>0</v>
      </c>
      <c r="E1392">
        <v>86000</v>
      </c>
      <c r="F1392">
        <v>1894</v>
      </c>
      <c r="G1392">
        <v>1</v>
      </c>
      <c r="H1392">
        <v>0</v>
      </c>
      <c r="I1392">
        <v>0</v>
      </c>
      <c r="J1392">
        <v>15</v>
      </c>
      <c r="K1392">
        <v>0</v>
      </c>
      <c r="L1392">
        <f>Résultats!G$32+Résultats!G$33*Données!C1392+Résultats!G$34*Données!D1392+Résultats!G$35*Données!E1392+Résultats!G$36*Données!F1392+Résultats!G$37*Données!G1392+Résultats!G$38*Données!H1392+Résultats!G$39*Données!I1392</f>
        <v>64636.430540286747</v>
      </c>
      <c r="M1392">
        <f t="shared" si="84"/>
        <v>-4636.4305402867467</v>
      </c>
      <c r="Q1392">
        <v>55000</v>
      </c>
      <c r="R1392">
        <v>1</v>
      </c>
      <c r="S1392">
        <v>40</v>
      </c>
      <c r="T1392">
        <v>0</v>
      </c>
      <c r="U1392">
        <f t="shared" si="85"/>
        <v>11.461632170582678</v>
      </c>
      <c r="V1392">
        <f t="shared" si="86"/>
        <v>8.7132532743207047</v>
      </c>
      <c r="W1392">
        <v>0</v>
      </c>
      <c r="X1392">
        <v>0</v>
      </c>
      <c r="Y1392">
        <v>0</v>
      </c>
      <c r="Z1392">
        <f>'Résultat (Ln)'!F$30+'Résultat (Ln)'!F$31*Données!S1392+'Résultat (Ln)'!F$32*Données!T1392+'Résultat (Ln)'!F$33*Données!U1392+'Résultat (Ln)'!F$34*Données!V1392+'Résultat (Ln)'!F$35*Données!W1392+'Résultat (Ln)'!F$36*Données!X1392+'Résultat (Ln)'!F$37*Données!Y1392</f>
        <v>92057.861747675721</v>
      </c>
      <c r="AA1392">
        <f t="shared" si="87"/>
        <v>-37057.861747675721</v>
      </c>
    </row>
    <row r="1393" spans="1:27" x14ac:dyDescent="0.25">
      <c r="A1393">
        <v>151000</v>
      </c>
      <c r="B1393">
        <v>1</v>
      </c>
      <c r="C1393">
        <v>32</v>
      </c>
      <c r="D1393">
        <v>0</v>
      </c>
      <c r="E1393">
        <v>160000</v>
      </c>
      <c r="F1393">
        <v>3007</v>
      </c>
      <c r="G1393">
        <v>1</v>
      </c>
      <c r="H1393">
        <v>0</v>
      </c>
      <c r="I1393">
        <v>0</v>
      </c>
      <c r="J1393">
        <v>23</v>
      </c>
      <c r="K1393">
        <v>1</v>
      </c>
      <c r="L1393">
        <f>Résultats!G$32+Résultats!G$33*Données!C1393+Résultats!G$34*Données!D1393+Résultats!G$35*Données!E1393+Résultats!G$36*Données!F1393+Résultats!G$37*Données!G1393+Résultats!G$38*Données!H1393+Résultats!G$39*Données!I1393</f>
        <v>120875.12620514831</v>
      </c>
      <c r="M1393">
        <f t="shared" si="84"/>
        <v>30124.873794851694</v>
      </c>
      <c r="Q1393">
        <v>60000</v>
      </c>
      <c r="R1393">
        <v>1</v>
      </c>
      <c r="S1393">
        <v>15</v>
      </c>
      <c r="T1393">
        <v>0</v>
      </c>
      <c r="U1393">
        <f t="shared" si="85"/>
        <v>11.362102575235644</v>
      </c>
      <c r="V1393">
        <f t="shared" si="86"/>
        <v>7.5464462737460236</v>
      </c>
      <c r="W1393">
        <v>1</v>
      </c>
      <c r="X1393">
        <v>0</v>
      </c>
      <c r="Y1393">
        <v>0</v>
      </c>
      <c r="Z1393">
        <f>'Résultat (Ln)'!F$30+'Résultat (Ln)'!F$31*Données!S1393+'Résultat (Ln)'!F$32*Données!T1393+'Résultat (Ln)'!F$33*Données!U1393+'Résultat (Ln)'!F$34*Données!V1393+'Résultat (Ln)'!F$35*Données!W1393+'Résultat (Ln)'!F$36*Données!X1393+'Résultat (Ln)'!F$37*Données!Y1393</f>
        <v>22627.709556290989</v>
      </c>
      <c r="AA1393">
        <f t="shared" si="87"/>
        <v>37372.290443709011</v>
      </c>
    </row>
    <row r="1394" spans="1:27" x14ac:dyDescent="0.25">
      <c r="A1394">
        <v>135000</v>
      </c>
      <c r="B1394">
        <v>1</v>
      </c>
      <c r="C1394">
        <v>25</v>
      </c>
      <c r="D1394">
        <v>0</v>
      </c>
      <c r="E1394">
        <v>195000</v>
      </c>
      <c r="F1394">
        <v>4250</v>
      </c>
      <c r="G1394">
        <v>0</v>
      </c>
      <c r="H1394">
        <v>0</v>
      </c>
      <c r="I1394">
        <v>0</v>
      </c>
      <c r="J1394">
        <v>21</v>
      </c>
      <c r="K1394">
        <v>1</v>
      </c>
      <c r="L1394">
        <f>Résultats!G$32+Résultats!G$33*Données!C1394+Résultats!G$34*Données!D1394+Résultats!G$35*Données!E1394+Résultats!G$36*Données!F1394+Résultats!G$37*Données!G1394+Résultats!G$38*Données!H1394+Résultats!G$39*Données!I1394</f>
        <v>124569.84916945171</v>
      </c>
      <c r="M1394">
        <f t="shared" si="84"/>
        <v>10430.150830548286</v>
      </c>
      <c r="Q1394">
        <v>151000</v>
      </c>
      <c r="R1394">
        <v>1</v>
      </c>
      <c r="S1394">
        <v>32</v>
      </c>
      <c r="T1394">
        <v>0</v>
      </c>
      <c r="U1394">
        <f t="shared" si="85"/>
        <v>11.982929094215963</v>
      </c>
      <c r="V1394">
        <f t="shared" si="86"/>
        <v>8.0086981829885282</v>
      </c>
      <c r="W1394">
        <v>1</v>
      </c>
      <c r="X1394">
        <v>0</v>
      </c>
      <c r="Y1394">
        <v>0</v>
      </c>
      <c r="Z1394">
        <f>'Résultat (Ln)'!F$30+'Résultat (Ln)'!F$31*Données!S1394+'Résultat (Ln)'!F$32*Données!T1394+'Résultat (Ln)'!F$33*Données!U1394+'Résultat (Ln)'!F$34*Données!V1394+'Résultat (Ln)'!F$35*Données!W1394+'Résultat (Ln)'!F$36*Données!X1394+'Résultat (Ln)'!F$37*Données!Y1394</f>
        <v>122916.477674813</v>
      </c>
      <c r="AA1394">
        <f t="shared" si="87"/>
        <v>28083.522325187005</v>
      </c>
    </row>
    <row r="1395" spans="1:27" x14ac:dyDescent="0.25">
      <c r="A1395">
        <v>150000</v>
      </c>
      <c r="B1395">
        <v>1</v>
      </c>
      <c r="C1395">
        <v>21</v>
      </c>
      <c r="D1395">
        <v>0</v>
      </c>
      <c r="E1395">
        <v>150000</v>
      </c>
      <c r="F1395">
        <v>3380</v>
      </c>
      <c r="G1395">
        <v>0</v>
      </c>
      <c r="H1395">
        <v>0</v>
      </c>
      <c r="I1395">
        <v>1</v>
      </c>
      <c r="J1395">
        <v>21</v>
      </c>
      <c r="K1395">
        <v>1</v>
      </c>
      <c r="L1395">
        <f>Résultats!G$32+Résultats!G$33*Données!C1395+Résultats!G$34*Données!D1395+Résultats!G$35*Données!E1395+Résultats!G$36*Données!F1395+Résultats!G$37*Données!G1395+Résultats!G$38*Données!H1395+Résultats!G$39*Données!I1395</f>
        <v>107201.85241147414</v>
      </c>
      <c r="M1395">
        <f t="shared" si="84"/>
        <v>42798.147588525855</v>
      </c>
      <c r="Q1395">
        <v>135000</v>
      </c>
      <c r="R1395">
        <v>1</v>
      </c>
      <c r="S1395">
        <v>25</v>
      </c>
      <c r="T1395">
        <v>0</v>
      </c>
      <c r="U1395">
        <f t="shared" si="85"/>
        <v>12.180754837545884</v>
      </c>
      <c r="V1395">
        <f t="shared" si="86"/>
        <v>8.3546742619184631</v>
      </c>
      <c r="W1395">
        <v>0</v>
      </c>
      <c r="X1395">
        <v>0</v>
      </c>
      <c r="Y1395">
        <v>0</v>
      </c>
      <c r="Z1395">
        <f>'Résultat (Ln)'!F$30+'Résultat (Ln)'!F$31*Données!S1395+'Résultat (Ln)'!F$32*Données!T1395+'Résultat (Ln)'!F$33*Données!U1395+'Résultat (Ln)'!F$34*Données!V1395+'Résultat (Ln)'!F$35*Données!W1395+'Résultat (Ln)'!F$36*Données!X1395+'Résultat (Ln)'!F$37*Données!Y1395</f>
        <v>140757.37607926037</v>
      </c>
      <c r="AA1395">
        <f t="shared" si="87"/>
        <v>-5757.3760792603716</v>
      </c>
    </row>
    <row r="1396" spans="1:27" x14ac:dyDescent="0.25">
      <c r="A1396">
        <v>81000</v>
      </c>
      <c r="B1396">
        <v>1</v>
      </c>
      <c r="C1396">
        <v>31</v>
      </c>
      <c r="D1396">
        <v>0</v>
      </c>
      <c r="E1396">
        <v>108000</v>
      </c>
      <c r="F1396">
        <v>1850</v>
      </c>
      <c r="G1396">
        <v>0</v>
      </c>
      <c r="H1396">
        <v>0</v>
      </c>
      <c r="I1396">
        <v>1</v>
      </c>
      <c r="J1396">
        <v>15</v>
      </c>
      <c r="K1396">
        <v>0</v>
      </c>
      <c r="L1396">
        <f>Résultats!G$32+Résultats!G$33*Données!C1396+Résultats!G$34*Données!D1396+Résultats!G$35*Données!E1396+Résultats!G$36*Données!F1396+Résultats!G$37*Données!G1396+Résultats!G$38*Données!H1396+Résultats!G$39*Données!I1396</f>
        <v>96111.704248795024</v>
      </c>
      <c r="M1396">
        <f t="shared" si="84"/>
        <v>-15111.704248795024</v>
      </c>
      <c r="Q1396">
        <v>150000</v>
      </c>
      <c r="R1396">
        <v>1</v>
      </c>
      <c r="S1396">
        <v>21</v>
      </c>
      <c r="T1396">
        <v>0</v>
      </c>
      <c r="U1396">
        <f t="shared" si="85"/>
        <v>11.918390573078392</v>
      </c>
      <c r="V1396">
        <f t="shared" si="86"/>
        <v>8.1256309884770648</v>
      </c>
      <c r="W1396">
        <v>0</v>
      </c>
      <c r="X1396">
        <v>0</v>
      </c>
      <c r="Y1396">
        <v>1</v>
      </c>
      <c r="Z1396">
        <f>'Résultat (Ln)'!F$30+'Résultat (Ln)'!F$31*Données!S1396+'Résultat (Ln)'!F$32*Données!T1396+'Résultat (Ln)'!F$33*Données!U1396+'Résultat (Ln)'!F$34*Données!V1396+'Résultat (Ln)'!F$35*Données!W1396+'Résultat (Ln)'!F$36*Données!X1396+'Résultat (Ln)'!F$37*Données!Y1396</f>
        <v>115408.15698389927</v>
      </c>
      <c r="AA1396">
        <f t="shared" si="87"/>
        <v>34591.843016100727</v>
      </c>
    </row>
    <row r="1397" spans="1:27" x14ac:dyDescent="0.25">
      <c r="A1397">
        <v>85000</v>
      </c>
      <c r="B1397">
        <v>1</v>
      </c>
      <c r="C1397">
        <v>34</v>
      </c>
      <c r="D1397">
        <v>0</v>
      </c>
      <c r="E1397">
        <v>153695.00732421881</v>
      </c>
      <c r="F1397">
        <v>3400</v>
      </c>
      <c r="G1397">
        <v>1</v>
      </c>
      <c r="H1397">
        <v>0</v>
      </c>
      <c r="I1397">
        <v>1</v>
      </c>
      <c r="J1397">
        <v>23</v>
      </c>
      <c r="K1397">
        <v>1</v>
      </c>
      <c r="L1397">
        <f>Résultats!G$32+Résultats!G$33*Données!C1397+Résultats!G$34*Données!D1397+Résultats!G$35*Données!E1397+Résultats!G$36*Données!F1397+Résultats!G$37*Données!G1397+Résultats!G$38*Données!H1397+Résultats!G$39*Données!I1397</f>
        <v>130915.33731618166</v>
      </c>
      <c r="M1397">
        <f t="shared" si="84"/>
        <v>-45915.337316181656</v>
      </c>
      <c r="Q1397">
        <v>81000</v>
      </c>
      <c r="R1397">
        <v>1</v>
      </c>
      <c r="S1397">
        <v>31</v>
      </c>
      <c r="T1397">
        <v>0</v>
      </c>
      <c r="U1397">
        <f t="shared" si="85"/>
        <v>11.589886506106357</v>
      </c>
      <c r="V1397">
        <f t="shared" si="86"/>
        <v>7.5229409180723703</v>
      </c>
      <c r="W1397">
        <v>0</v>
      </c>
      <c r="X1397">
        <v>0</v>
      </c>
      <c r="Y1397">
        <v>1</v>
      </c>
      <c r="Z1397">
        <f>'Résultat (Ln)'!F$30+'Résultat (Ln)'!F$31*Données!S1397+'Résultat (Ln)'!F$32*Données!T1397+'Résultat (Ln)'!F$33*Données!U1397+'Résultat (Ln)'!F$34*Données!V1397+'Résultat (Ln)'!F$35*Données!W1397+'Résultat (Ln)'!F$36*Données!X1397+'Résultat (Ln)'!F$37*Données!Y1397</f>
        <v>75511.466271888436</v>
      </c>
      <c r="AA1397">
        <f t="shared" si="87"/>
        <v>5488.5337281115644</v>
      </c>
    </row>
    <row r="1398" spans="1:27" x14ac:dyDescent="0.25">
      <c r="A1398">
        <v>171000</v>
      </c>
      <c r="B1398">
        <v>1</v>
      </c>
      <c r="C1398">
        <v>38</v>
      </c>
      <c r="D1398">
        <v>0</v>
      </c>
      <c r="E1398">
        <v>190000</v>
      </c>
      <c r="F1398">
        <v>2792</v>
      </c>
      <c r="G1398">
        <v>1</v>
      </c>
      <c r="H1398">
        <v>1</v>
      </c>
      <c r="I1398">
        <v>1</v>
      </c>
      <c r="J1398">
        <v>29</v>
      </c>
      <c r="K1398">
        <v>1</v>
      </c>
      <c r="L1398">
        <f>Résultats!G$32+Résultats!G$33*Données!C1398+Résultats!G$34*Données!D1398+Résultats!G$35*Données!E1398+Résultats!G$36*Données!F1398+Résultats!G$37*Données!G1398+Résultats!G$38*Données!H1398+Résultats!G$39*Données!I1398</f>
        <v>149659.30263418725</v>
      </c>
      <c r="M1398">
        <f t="shared" si="84"/>
        <v>21340.697365812754</v>
      </c>
      <c r="Q1398">
        <v>85000</v>
      </c>
      <c r="R1398">
        <v>1</v>
      </c>
      <c r="S1398">
        <v>34</v>
      </c>
      <c r="T1398">
        <v>0</v>
      </c>
      <c r="U1398">
        <f t="shared" si="85"/>
        <v>11.942725445747428</v>
      </c>
      <c r="V1398">
        <f t="shared" si="86"/>
        <v>8.1315307106042525</v>
      </c>
      <c r="W1398">
        <v>1</v>
      </c>
      <c r="X1398">
        <v>0</v>
      </c>
      <c r="Y1398">
        <v>1</v>
      </c>
      <c r="Z1398">
        <f>'Résultat (Ln)'!F$30+'Résultat (Ln)'!F$31*Données!S1398+'Résultat (Ln)'!F$32*Données!T1398+'Résultat (Ln)'!F$33*Données!U1398+'Résultat (Ln)'!F$34*Données!V1398+'Résultat (Ln)'!F$35*Données!W1398+'Résultat (Ln)'!F$36*Données!X1398+'Résultat (Ln)'!F$37*Données!Y1398</f>
        <v>138582.77329442697</v>
      </c>
      <c r="AA1398">
        <f t="shared" si="87"/>
        <v>-53582.773294426966</v>
      </c>
    </row>
    <row r="1399" spans="1:27" x14ac:dyDescent="0.25">
      <c r="A1399">
        <v>148000</v>
      </c>
      <c r="B1399">
        <v>1</v>
      </c>
      <c r="C1399">
        <v>33.799999237060547</v>
      </c>
      <c r="D1399">
        <v>0</v>
      </c>
      <c r="E1399">
        <v>164000</v>
      </c>
      <c r="F1399">
        <v>4707</v>
      </c>
      <c r="G1399">
        <v>0</v>
      </c>
      <c r="H1399">
        <v>0</v>
      </c>
      <c r="I1399">
        <v>0</v>
      </c>
      <c r="J1399">
        <v>22.75</v>
      </c>
      <c r="K1399">
        <v>1</v>
      </c>
      <c r="L1399">
        <f>Résultats!G$32+Résultats!G$33*Données!C1399+Résultats!G$34*Données!D1399+Résultats!G$35*Données!E1399+Résultats!G$36*Données!F1399+Résultats!G$37*Données!G1399+Résultats!G$38*Données!H1399+Résultats!G$39*Données!I1399</f>
        <v>121088.165126621</v>
      </c>
      <c r="M1399">
        <f t="shared" si="84"/>
        <v>26911.834873379004</v>
      </c>
      <c r="Q1399">
        <v>171000</v>
      </c>
      <c r="R1399">
        <v>1</v>
      </c>
      <c r="S1399">
        <v>38</v>
      </c>
      <c r="T1399">
        <v>0</v>
      </c>
      <c r="U1399">
        <f t="shared" si="85"/>
        <v>12.154779351142624</v>
      </c>
      <c r="V1399">
        <f t="shared" si="86"/>
        <v>7.9345134638822632</v>
      </c>
      <c r="W1399">
        <v>1</v>
      </c>
      <c r="X1399">
        <v>1</v>
      </c>
      <c r="Y1399">
        <v>1</v>
      </c>
      <c r="Z1399">
        <f>'Résultat (Ln)'!F$30+'Résultat (Ln)'!F$31*Données!S1399+'Résultat (Ln)'!F$32*Données!T1399+'Résultat (Ln)'!F$33*Données!U1399+'Résultat (Ln)'!F$34*Données!V1399+'Résultat (Ln)'!F$35*Données!W1399+'Résultat (Ln)'!F$36*Données!X1399+'Résultat (Ln)'!F$37*Données!Y1399</f>
        <v>160499.13169763642</v>
      </c>
      <c r="AA1399">
        <f t="shared" si="87"/>
        <v>10500.868302363582</v>
      </c>
    </row>
    <row r="1400" spans="1:27" x14ac:dyDescent="0.25">
      <c r="A1400">
        <v>187000</v>
      </c>
      <c r="B1400">
        <v>1</v>
      </c>
      <c r="C1400">
        <v>31</v>
      </c>
      <c r="D1400">
        <v>0</v>
      </c>
      <c r="E1400">
        <v>268000</v>
      </c>
      <c r="F1400">
        <v>7070</v>
      </c>
      <c r="G1400">
        <v>1</v>
      </c>
      <c r="H1400">
        <v>0</v>
      </c>
      <c r="I1400">
        <v>0</v>
      </c>
      <c r="J1400">
        <v>27</v>
      </c>
      <c r="K1400">
        <v>1</v>
      </c>
      <c r="L1400">
        <f>Résultats!G$32+Résultats!G$33*Données!C1400+Résultats!G$34*Données!D1400+Résultats!G$35*Données!E1400+Résultats!G$36*Données!F1400+Résultats!G$37*Données!G1400+Résultats!G$38*Données!H1400+Résultats!G$39*Données!I1400</f>
        <v>178030.63890973944</v>
      </c>
      <c r="M1400">
        <f t="shared" si="84"/>
        <v>8969.3610902605578</v>
      </c>
      <c r="Q1400">
        <v>148000</v>
      </c>
      <c r="R1400">
        <v>1</v>
      </c>
      <c r="S1400">
        <v>33.799999237060547</v>
      </c>
      <c r="T1400">
        <v>0</v>
      </c>
      <c r="U1400">
        <f t="shared" si="85"/>
        <v>12.007621706806335</v>
      </c>
      <c r="V1400">
        <f t="shared" si="86"/>
        <v>8.4568060414011423</v>
      </c>
      <c r="W1400">
        <v>0</v>
      </c>
      <c r="X1400">
        <v>0</v>
      </c>
      <c r="Y1400">
        <v>0</v>
      </c>
      <c r="Z1400">
        <f>'Résultat (Ln)'!F$30+'Résultat (Ln)'!F$31*Données!S1400+'Résultat (Ln)'!F$32*Données!T1400+'Résultat (Ln)'!F$33*Données!U1400+'Résultat (Ln)'!F$34*Données!V1400+'Résultat (Ln)'!F$35*Données!W1400+'Résultat (Ln)'!F$36*Données!X1400+'Résultat (Ln)'!F$37*Données!Y1400</f>
        <v>135816.59840231776</v>
      </c>
      <c r="AA1400">
        <f t="shared" si="87"/>
        <v>12183.401597682241</v>
      </c>
    </row>
    <row r="1401" spans="1:27" x14ac:dyDescent="0.25">
      <c r="A1401">
        <v>110000</v>
      </c>
      <c r="B1401">
        <v>1</v>
      </c>
      <c r="C1401">
        <v>36</v>
      </c>
      <c r="D1401">
        <v>0</v>
      </c>
      <c r="E1401">
        <v>201000</v>
      </c>
      <c r="F1401">
        <v>2982</v>
      </c>
      <c r="G1401">
        <v>1</v>
      </c>
      <c r="H1401">
        <v>0</v>
      </c>
      <c r="I1401">
        <v>0</v>
      </c>
      <c r="J1401">
        <v>27</v>
      </c>
      <c r="K1401">
        <v>1</v>
      </c>
      <c r="L1401">
        <f>Résultats!G$32+Résultats!G$33*Données!C1401+Résultats!G$34*Données!D1401+Résultats!G$35*Données!E1401+Résultats!G$36*Données!F1401+Résultats!G$37*Données!G1401+Résultats!G$38*Données!H1401+Résultats!G$39*Données!I1401</f>
        <v>144566.44705305275</v>
      </c>
      <c r="M1401">
        <f t="shared" si="84"/>
        <v>-34566.447053052747</v>
      </c>
      <c r="Q1401">
        <v>187000</v>
      </c>
      <c r="R1401">
        <v>1</v>
      </c>
      <c r="S1401">
        <v>31</v>
      </c>
      <c r="T1401">
        <v>0</v>
      </c>
      <c r="U1401">
        <f t="shared" si="85"/>
        <v>12.498742259492994</v>
      </c>
      <c r="V1401">
        <f t="shared" si="86"/>
        <v>8.863615758890619</v>
      </c>
      <c r="W1401">
        <v>1</v>
      </c>
      <c r="X1401">
        <v>0</v>
      </c>
      <c r="Y1401">
        <v>0</v>
      </c>
      <c r="Z1401">
        <f>'Résultat (Ln)'!F$30+'Résultat (Ln)'!F$31*Données!S1401+'Résultat (Ln)'!F$32*Données!T1401+'Résultat (Ln)'!F$33*Données!U1401+'Résultat (Ln)'!F$34*Données!V1401+'Résultat (Ln)'!F$35*Données!W1401+'Résultat (Ln)'!F$36*Données!X1401+'Résultat (Ln)'!F$37*Données!Y1401</f>
        <v>200964.16237319919</v>
      </c>
      <c r="AA1401">
        <f t="shared" si="87"/>
        <v>-13964.162373199186</v>
      </c>
    </row>
    <row r="1402" spans="1:27" x14ac:dyDescent="0.25">
      <c r="A1402">
        <v>96000</v>
      </c>
      <c r="B1402">
        <v>1</v>
      </c>
      <c r="C1402">
        <v>35.700000762939453</v>
      </c>
      <c r="D1402">
        <v>0</v>
      </c>
      <c r="E1402">
        <v>120000</v>
      </c>
      <c r="F1402">
        <v>2306</v>
      </c>
      <c r="G1402">
        <v>0</v>
      </c>
      <c r="H1402">
        <v>0</v>
      </c>
      <c r="I1402">
        <v>1</v>
      </c>
      <c r="J1402">
        <v>20</v>
      </c>
      <c r="K1402">
        <v>1</v>
      </c>
      <c r="L1402">
        <f>Résultats!G$32+Résultats!G$33*Données!C1402+Résultats!G$34*Données!D1402+Résultats!G$35*Données!E1402+Résultats!G$36*Données!F1402+Résultats!G$37*Données!G1402+Résultats!G$38*Données!H1402+Résultats!G$39*Données!I1402</f>
        <v>107997.52616987041</v>
      </c>
      <c r="M1402">
        <f t="shared" si="84"/>
        <v>-11997.526169870413</v>
      </c>
      <c r="Q1402">
        <v>110000</v>
      </c>
      <c r="R1402">
        <v>1</v>
      </c>
      <c r="S1402">
        <v>36</v>
      </c>
      <c r="T1402">
        <v>0</v>
      </c>
      <c r="U1402">
        <f t="shared" si="85"/>
        <v>12.211060187041213</v>
      </c>
      <c r="V1402">
        <f t="shared" si="86"/>
        <v>8.0003494953246843</v>
      </c>
      <c r="W1402">
        <v>1</v>
      </c>
      <c r="X1402">
        <v>0</v>
      </c>
      <c r="Y1402">
        <v>0</v>
      </c>
      <c r="Z1402">
        <f>'Résultat (Ln)'!F$30+'Résultat (Ln)'!F$31*Données!S1402+'Résultat (Ln)'!F$32*Données!T1402+'Résultat (Ln)'!F$33*Données!U1402+'Résultat (Ln)'!F$34*Données!V1402+'Résultat (Ln)'!F$35*Données!W1402+'Résultat (Ln)'!F$36*Données!X1402+'Résultat (Ln)'!F$37*Données!Y1402</f>
        <v>152025.13769390335</v>
      </c>
      <c r="AA1402">
        <f t="shared" si="87"/>
        <v>-42025.137693903351</v>
      </c>
    </row>
    <row r="1403" spans="1:27" x14ac:dyDescent="0.25">
      <c r="A1403">
        <v>152000</v>
      </c>
      <c r="B1403">
        <v>1</v>
      </c>
      <c r="C1403">
        <v>11</v>
      </c>
      <c r="D1403">
        <v>0</v>
      </c>
      <c r="E1403">
        <v>425000</v>
      </c>
      <c r="F1403">
        <v>37719</v>
      </c>
      <c r="G1403">
        <v>0</v>
      </c>
      <c r="H1403">
        <v>0</v>
      </c>
      <c r="I1403">
        <v>1</v>
      </c>
      <c r="J1403">
        <v>9</v>
      </c>
      <c r="K1403">
        <v>1</v>
      </c>
      <c r="L1403">
        <f>Résultats!G$32+Résultats!G$33*Données!C1403+Résultats!G$34*Données!D1403+Résultats!G$35*Données!E1403+Résultats!G$36*Données!F1403+Résultats!G$37*Données!G1403+Résultats!G$38*Données!H1403+Résultats!G$39*Données!I1403</f>
        <v>290668.97785795643</v>
      </c>
      <c r="M1403">
        <f t="shared" si="84"/>
        <v>-138668.97785795643</v>
      </c>
      <c r="Q1403">
        <v>96000</v>
      </c>
      <c r="R1403">
        <v>1</v>
      </c>
      <c r="S1403">
        <v>35.700000762939453</v>
      </c>
      <c r="T1403">
        <v>0</v>
      </c>
      <c r="U1403">
        <f t="shared" si="85"/>
        <v>11.695247021764184</v>
      </c>
      <c r="V1403">
        <f t="shared" si="86"/>
        <v>7.7432697008290043</v>
      </c>
      <c r="W1403">
        <v>0</v>
      </c>
      <c r="X1403">
        <v>0</v>
      </c>
      <c r="Y1403">
        <v>1</v>
      </c>
      <c r="Z1403">
        <f>'Résultat (Ln)'!F$30+'Résultat (Ln)'!F$31*Données!S1403+'Résultat (Ln)'!F$32*Données!T1403+'Résultat (Ln)'!F$33*Données!U1403+'Résultat (Ln)'!F$34*Données!V1403+'Résultat (Ln)'!F$35*Données!W1403+'Résultat (Ln)'!F$36*Données!X1403+'Résultat (Ln)'!F$37*Données!Y1403</f>
        <v>98728.535319009097</v>
      </c>
      <c r="AA1403">
        <f t="shared" si="87"/>
        <v>-2728.5353190090973</v>
      </c>
    </row>
    <row r="1404" spans="1:27" x14ac:dyDescent="0.25">
      <c r="A1404">
        <v>128000</v>
      </c>
      <c r="B1404">
        <v>1</v>
      </c>
      <c r="C1404">
        <v>34</v>
      </c>
      <c r="D1404">
        <v>1</v>
      </c>
      <c r="E1404">
        <v>160000</v>
      </c>
      <c r="F1404">
        <v>5708</v>
      </c>
      <c r="G1404">
        <v>1</v>
      </c>
      <c r="H1404">
        <v>0</v>
      </c>
      <c r="I1404">
        <v>0</v>
      </c>
      <c r="J1404">
        <v>23</v>
      </c>
      <c r="K1404">
        <v>1</v>
      </c>
      <c r="L1404">
        <f>Résultats!G$32+Résultats!G$33*Données!C1404+Résultats!G$34*Données!D1404+Résultats!G$35*Données!E1404+Résultats!G$36*Données!F1404+Résultats!G$37*Données!G1404+Résultats!G$38*Données!H1404+Résultats!G$39*Données!I1404</f>
        <v>133254.67935358078</v>
      </c>
      <c r="M1404">
        <f t="shared" si="84"/>
        <v>-5254.679353580781</v>
      </c>
      <c r="Q1404">
        <v>152000</v>
      </c>
      <c r="R1404">
        <v>1</v>
      </c>
      <c r="S1404">
        <v>11</v>
      </c>
      <c r="T1404">
        <v>0</v>
      </c>
      <c r="U1404">
        <f t="shared" si="85"/>
        <v>12.959844447906553</v>
      </c>
      <c r="V1404">
        <f t="shared" si="86"/>
        <v>10.537919225261291</v>
      </c>
      <c r="W1404">
        <v>0</v>
      </c>
      <c r="X1404">
        <v>0</v>
      </c>
      <c r="Y1404">
        <v>1</v>
      </c>
      <c r="Z1404">
        <f>'Résultat (Ln)'!F$30+'Résultat (Ln)'!F$31*Données!S1404+'Résultat (Ln)'!F$32*Données!T1404+'Résultat (Ln)'!F$33*Données!U1404+'Résultat (Ln)'!F$34*Données!V1404+'Résultat (Ln)'!F$35*Données!W1404+'Résultat (Ln)'!F$36*Données!X1404+'Résultat (Ln)'!F$37*Données!Y1404</f>
        <v>282481.52153051511</v>
      </c>
      <c r="AA1404">
        <f t="shared" si="87"/>
        <v>-130481.52153051511</v>
      </c>
    </row>
    <row r="1405" spans="1:27" x14ac:dyDescent="0.25">
      <c r="A1405">
        <v>175000</v>
      </c>
      <c r="B1405">
        <v>1</v>
      </c>
      <c r="C1405">
        <v>24.89999961853027</v>
      </c>
      <c r="D1405">
        <v>0</v>
      </c>
      <c r="E1405">
        <v>738000</v>
      </c>
      <c r="F1405">
        <v>7333</v>
      </c>
      <c r="G1405">
        <v>1</v>
      </c>
      <c r="H1405">
        <v>0</v>
      </c>
      <c r="I1405">
        <v>1</v>
      </c>
      <c r="J1405">
        <v>15.5</v>
      </c>
      <c r="K1405">
        <v>1</v>
      </c>
      <c r="L1405">
        <f>Résultats!G$32+Résultats!G$33*Données!C1405+Résultats!G$34*Données!D1405+Résultats!G$35*Données!E1405+Résultats!G$36*Données!F1405+Résultats!G$37*Données!G1405+Résultats!G$38*Données!H1405+Résultats!G$39*Données!I1405</f>
        <v>400926.88036923227</v>
      </c>
      <c r="M1405">
        <f t="shared" si="84"/>
        <v>-225926.88036923227</v>
      </c>
      <c r="Q1405">
        <v>128000</v>
      </c>
      <c r="R1405">
        <v>1</v>
      </c>
      <c r="S1405">
        <v>34</v>
      </c>
      <c r="T1405">
        <v>1</v>
      </c>
      <c r="U1405">
        <f t="shared" si="85"/>
        <v>11.982929094215963</v>
      </c>
      <c r="V1405">
        <f t="shared" si="86"/>
        <v>8.6496239785967273</v>
      </c>
      <c r="W1405">
        <v>1</v>
      </c>
      <c r="X1405">
        <v>0</v>
      </c>
      <c r="Y1405">
        <v>0</v>
      </c>
      <c r="Z1405">
        <f>'Résultat (Ln)'!F$30+'Résultat (Ln)'!F$31*Données!S1405+'Résultat (Ln)'!F$32*Données!T1405+'Résultat (Ln)'!F$33*Données!U1405+'Résultat (Ln)'!F$34*Données!V1405+'Résultat (Ln)'!F$35*Données!W1405+'Résultat (Ln)'!F$36*Données!X1405+'Résultat (Ln)'!F$37*Données!Y1405</f>
        <v>147684.64372728788</v>
      </c>
      <c r="AA1405">
        <f t="shared" si="87"/>
        <v>-19684.643727287883</v>
      </c>
    </row>
    <row r="1406" spans="1:27" x14ac:dyDescent="0.25">
      <c r="A1406">
        <v>100000</v>
      </c>
      <c r="B1406">
        <v>1</v>
      </c>
      <c r="C1406">
        <v>47.200000762939453</v>
      </c>
      <c r="D1406">
        <v>0</v>
      </c>
      <c r="E1406">
        <v>115000</v>
      </c>
      <c r="F1406">
        <v>3417</v>
      </c>
      <c r="G1406">
        <v>0</v>
      </c>
      <c r="H1406">
        <v>0</v>
      </c>
      <c r="I1406">
        <v>0</v>
      </c>
      <c r="J1406">
        <v>30.39999961853027</v>
      </c>
      <c r="K1406">
        <v>1</v>
      </c>
      <c r="L1406">
        <f>Résultats!G$32+Résultats!G$33*Données!C1406+Résultats!G$34*Données!D1406+Résultats!G$35*Données!E1406+Résultats!G$36*Données!F1406+Résultats!G$37*Données!G1406+Résultats!G$38*Données!H1406+Résultats!G$39*Données!I1406</f>
        <v>111099.89409274713</v>
      </c>
      <c r="M1406">
        <f t="shared" si="84"/>
        <v>-11099.894092747127</v>
      </c>
      <c r="Q1406">
        <v>175000</v>
      </c>
      <c r="R1406">
        <v>1</v>
      </c>
      <c r="S1406">
        <v>24.89999961853027</v>
      </c>
      <c r="T1406">
        <v>0</v>
      </c>
      <c r="U1406">
        <f t="shared" si="85"/>
        <v>13.511699103582609</v>
      </c>
      <c r="V1406">
        <f t="shared" si="86"/>
        <v>8.9001399880937999</v>
      </c>
      <c r="W1406">
        <v>1</v>
      </c>
      <c r="X1406">
        <v>0</v>
      </c>
      <c r="Y1406">
        <v>1</v>
      </c>
      <c r="Z1406">
        <f>'Résultat (Ln)'!F$30+'Résultat (Ln)'!F$31*Données!S1406+'Résultat (Ln)'!F$32*Données!T1406+'Résultat (Ln)'!F$33*Données!U1406+'Résultat (Ln)'!F$34*Données!V1406+'Résultat (Ln)'!F$35*Données!W1406+'Résultat (Ln)'!F$36*Données!X1406+'Résultat (Ln)'!F$37*Données!Y1406</f>
        <v>317205.47651003674</v>
      </c>
      <c r="AA1406">
        <f t="shared" si="87"/>
        <v>-142205.47651003674</v>
      </c>
    </row>
    <row r="1407" spans="1:27" x14ac:dyDescent="0.25">
      <c r="A1407">
        <v>111000</v>
      </c>
      <c r="B1407">
        <v>1</v>
      </c>
      <c r="C1407">
        <v>34</v>
      </c>
      <c r="D1407">
        <v>0</v>
      </c>
      <c r="E1407">
        <v>117000</v>
      </c>
      <c r="F1407">
        <v>1600</v>
      </c>
      <c r="G1407">
        <v>1</v>
      </c>
      <c r="H1407">
        <v>0</v>
      </c>
      <c r="I1407">
        <v>0</v>
      </c>
      <c r="J1407">
        <v>26</v>
      </c>
      <c r="K1407">
        <v>1</v>
      </c>
      <c r="L1407">
        <f>Résultats!G$32+Résultats!G$33*Données!C1407+Résultats!G$34*Données!D1407+Résultats!G$35*Données!E1407+Résultats!G$36*Données!F1407+Résultats!G$37*Données!G1407+Résultats!G$38*Données!H1407+Résultats!G$39*Données!I1407</f>
        <v>100367.00958684267</v>
      </c>
      <c r="M1407">
        <f t="shared" si="84"/>
        <v>10632.990413157328</v>
      </c>
      <c r="Q1407">
        <v>100000</v>
      </c>
      <c r="R1407">
        <v>1</v>
      </c>
      <c r="S1407">
        <v>47.200000762939453</v>
      </c>
      <c r="T1407">
        <v>0</v>
      </c>
      <c r="U1407">
        <f t="shared" si="85"/>
        <v>11.652687407345388</v>
      </c>
      <c r="V1407">
        <f t="shared" si="86"/>
        <v>8.136518252115291</v>
      </c>
      <c r="W1407">
        <v>0</v>
      </c>
      <c r="X1407">
        <v>0</v>
      </c>
      <c r="Y1407">
        <v>0</v>
      </c>
      <c r="Z1407">
        <f>'Résultat (Ln)'!F$30+'Résultat (Ln)'!F$31*Données!S1407+'Résultat (Ln)'!F$32*Données!T1407+'Résultat (Ln)'!F$33*Données!U1407+'Résultat (Ln)'!F$34*Données!V1407+'Résultat (Ln)'!F$35*Données!W1407+'Résultat (Ln)'!F$36*Données!X1407+'Résultat (Ln)'!F$37*Données!Y1407</f>
        <v>105161.84099566733</v>
      </c>
      <c r="AA1407">
        <f t="shared" si="87"/>
        <v>-5161.8409956673277</v>
      </c>
    </row>
    <row r="1408" spans="1:27" x14ac:dyDescent="0.25">
      <c r="A1408">
        <v>274000</v>
      </c>
      <c r="B1408">
        <v>1</v>
      </c>
      <c r="C1408">
        <v>42</v>
      </c>
      <c r="D1408">
        <v>0</v>
      </c>
      <c r="E1408">
        <v>365000</v>
      </c>
      <c r="F1408">
        <v>12500</v>
      </c>
      <c r="G1408">
        <v>1</v>
      </c>
      <c r="H1408">
        <v>0</v>
      </c>
      <c r="I1408">
        <v>0</v>
      </c>
      <c r="J1408">
        <v>19.60000038146973</v>
      </c>
      <c r="K1408">
        <v>1</v>
      </c>
      <c r="L1408">
        <f>Résultats!G$32+Résultats!G$33*Données!C1408+Résultats!G$34*Données!D1408+Résultats!G$35*Données!E1408+Résultats!G$36*Données!F1408+Résultats!G$37*Données!G1408+Résultats!G$38*Données!H1408+Résultats!G$39*Données!I1408</f>
        <v>246482.66553733277</v>
      </c>
      <c r="M1408">
        <f t="shared" si="84"/>
        <v>27517.334462667233</v>
      </c>
      <c r="Q1408">
        <v>111000</v>
      </c>
      <c r="R1408">
        <v>1</v>
      </c>
      <c r="S1408">
        <v>34</v>
      </c>
      <c r="T1408">
        <v>0</v>
      </c>
      <c r="U1408">
        <f t="shared" si="85"/>
        <v>11.669929213779893</v>
      </c>
      <c r="V1408">
        <f t="shared" si="86"/>
        <v>7.3777589082278725</v>
      </c>
      <c r="W1408">
        <v>1</v>
      </c>
      <c r="X1408">
        <v>0</v>
      </c>
      <c r="Y1408">
        <v>0</v>
      </c>
      <c r="Z1408">
        <f>'Résultat (Ln)'!F$30+'Résultat (Ln)'!F$31*Données!S1408+'Résultat (Ln)'!F$32*Données!T1408+'Résultat (Ln)'!F$33*Données!U1408+'Résultat (Ln)'!F$34*Données!V1408+'Résultat (Ln)'!F$35*Données!W1408+'Résultat (Ln)'!F$36*Données!X1408+'Résultat (Ln)'!F$37*Données!Y1408</f>
        <v>74113.16792953173</v>
      </c>
      <c r="AA1408">
        <f t="shared" si="87"/>
        <v>36886.83207046827</v>
      </c>
    </row>
    <row r="1409" spans="1:27" x14ac:dyDescent="0.25">
      <c r="A1409">
        <v>113000</v>
      </c>
      <c r="B1409">
        <v>1</v>
      </c>
      <c r="C1409">
        <v>22</v>
      </c>
      <c r="D1409">
        <v>0</v>
      </c>
      <c r="E1409">
        <v>173000</v>
      </c>
      <c r="F1409">
        <v>1850</v>
      </c>
      <c r="G1409">
        <v>1</v>
      </c>
      <c r="H1409">
        <v>0</v>
      </c>
      <c r="I1409">
        <v>0</v>
      </c>
      <c r="J1409">
        <v>21</v>
      </c>
      <c r="K1409">
        <v>1</v>
      </c>
      <c r="L1409">
        <f>Résultats!G$32+Résultats!G$33*Données!C1409+Résultats!G$34*Données!D1409+Résultats!G$35*Données!E1409+Résultats!G$36*Données!F1409+Résultats!G$37*Données!G1409+Résultats!G$38*Données!H1409+Résultats!G$39*Données!I1409</f>
        <v>113216.79492453556</v>
      </c>
      <c r="M1409">
        <f t="shared" si="84"/>
        <v>-216.79492453555577</v>
      </c>
      <c r="Q1409">
        <v>274000</v>
      </c>
      <c r="R1409">
        <v>1</v>
      </c>
      <c r="S1409">
        <v>42</v>
      </c>
      <c r="T1409">
        <v>0</v>
      </c>
      <c r="U1409">
        <f t="shared" si="85"/>
        <v>12.807652632564629</v>
      </c>
      <c r="V1409">
        <f t="shared" si="86"/>
        <v>9.4334839232903924</v>
      </c>
      <c r="W1409">
        <v>1</v>
      </c>
      <c r="X1409">
        <v>0</v>
      </c>
      <c r="Y1409">
        <v>0</v>
      </c>
      <c r="Z1409">
        <f>'Résultat (Ln)'!F$30+'Résultat (Ln)'!F$31*Données!S1409+'Résultat (Ln)'!F$32*Données!T1409+'Résultat (Ln)'!F$33*Données!U1409+'Résultat (Ln)'!F$34*Données!V1409+'Résultat (Ln)'!F$35*Données!W1409+'Résultat (Ln)'!F$36*Données!X1409+'Résultat (Ln)'!F$37*Données!Y1409</f>
        <v>263502.83995137597</v>
      </c>
      <c r="AA1409">
        <f t="shared" si="87"/>
        <v>10497.160048624035</v>
      </c>
    </row>
    <row r="1410" spans="1:27" x14ac:dyDescent="0.25">
      <c r="A1410">
        <v>130000</v>
      </c>
      <c r="B1410">
        <v>1</v>
      </c>
      <c r="C1410">
        <v>37</v>
      </c>
      <c r="D1410">
        <v>0</v>
      </c>
      <c r="E1410">
        <v>162000</v>
      </c>
      <c r="F1410">
        <v>3466</v>
      </c>
      <c r="G1410">
        <v>1</v>
      </c>
      <c r="H1410">
        <v>0</v>
      </c>
      <c r="I1410">
        <v>1</v>
      </c>
      <c r="J1410">
        <v>26</v>
      </c>
      <c r="K1410">
        <v>1</v>
      </c>
      <c r="L1410">
        <f>Résultats!G$32+Résultats!G$33*Données!C1410+Résultats!G$34*Données!D1410+Résultats!G$35*Données!E1410+Résultats!G$36*Données!F1410+Résultats!G$37*Données!G1410+Résultats!G$38*Données!H1410+Résultats!G$39*Données!I1410</f>
        <v>138367.28589593293</v>
      </c>
      <c r="M1410">
        <f t="shared" si="84"/>
        <v>-8367.2858959329315</v>
      </c>
      <c r="Q1410">
        <v>113000</v>
      </c>
      <c r="R1410">
        <v>1</v>
      </c>
      <c r="S1410">
        <v>22</v>
      </c>
      <c r="T1410">
        <v>0</v>
      </c>
      <c r="U1410">
        <f t="shared" si="85"/>
        <v>12.061046873479915</v>
      </c>
      <c r="V1410">
        <f t="shared" si="86"/>
        <v>7.5229409180723703</v>
      </c>
      <c r="W1410">
        <v>1</v>
      </c>
      <c r="X1410">
        <v>0</v>
      </c>
      <c r="Y1410">
        <v>0</v>
      </c>
      <c r="Z1410">
        <f>'Résultat (Ln)'!F$30+'Résultat (Ln)'!F$31*Données!S1410+'Résultat (Ln)'!F$32*Données!T1410+'Résultat (Ln)'!F$33*Données!U1410+'Résultat (Ln)'!F$34*Données!V1410+'Résultat (Ln)'!F$35*Données!W1410+'Résultat (Ln)'!F$36*Données!X1410+'Résultat (Ln)'!F$37*Données!Y1410</f>
        <v>105446.49993005719</v>
      </c>
      <c r="AA1410">
        <f t="shared" si="87"/>
        <v>7553.5000699428056</v>
      </c>
    </row>
    <row r="1411" spans="1:27" x14ac:dyDescent="0.25">
      <c r="A1411">
        <v>125000</v>
      </c>
      <c r="B1411">
        <v>1</v>
      </c>
      <c r="C1411">
        <v>35.5</v>
      </c>
      <c r="D1411">
        <v>0</v>
      </c>
      <c r="E1411">
        <v>131500</v>
      </c>
      <c r="F1411">
        <v>4525</v>
      </c>
      <c r="G1411">
        <v>1</v>
      </c>
      <c r="H1411">
        <v>0</v>
      </c>
      <c r="I1411">
        <v>0</v>
      </c>
      <c r="J1411">
        <v>27.569999694824219</v>
      </c>
      <c r="K1411">
        <v>1</v>
      </c>
      <c r="L1411">
        <f>Résultats!G$32+Résultats!G$33*Données!C1411+Résultats!G$34*Données!D1411+Résultats!G$35*Données!E1411+Résultats!G$36*Données!F1411+Résultats!G$37*Données!G1411+Résultats!G$38*Données!H1411+Résultats!G$39*Données!I1411</f>
        <v>114528.86559610802</v>
      </c>
      <c r="M1411">
        <f t="shared" ref="M1411:M1474" si="88">A1411-L1411</f>
        <v>10471.134403891978</v>
      </c>
      <c r="Q1411">
        <v>130000</v>
      </c>
      <c r="R1411">
        <v>1</v>
      </c>
      <c r="S1411">
        <v>37</v>
      </c>
      <c r="T1411">
        <v>0</v>
      </c>
      <c r="U1411">
        <f t="shared" si="85"/>
        <v>11.99535161421452</v>
      </c>
      <c r="V1411">
        <f t="shared" si="86"/>
        <v>8.1507564702755513</v>
      </c>
      <c r="W1411">
        <v>1</v>
      </c>
      <c r="X1411">
        <v>0</v>
      </c>
      <c r="Y1411">
        <v>1</v>
      </c>
      <c r="Z1411">
        <f>'Résultat (Ln)'!F$30+'Résultat (Ln)'!F$31*Données!S1411+'Résultat (Ln)'!F$32*Données!T1411+'Résultat (Ln)'!F$33*Données!U1411+'Résultat (Ln)'!F$34*Données!V1411+'Résultat (Ln)'!F$35*Données!W1411+'Résultat (Ln)'!F$36*Données!X1411+'Résultat (Ln)'!F$37*Données!Y1411</f>
        <v>148429.3898123265</v>
      </c>
      <c r="AA1411">
        <f t="shared" si="87"/>
        <v>-18429.389812326495</v>
      </c>
    </row>
    <row r="1412" spans="1:27" x14ac:dyDescent="0.25">
      <c r="A1412">
        <v>75000</v>
      </c>
      <c r="B1412">
        <v>1</v>
      </c>
      <c r="C1412">
        <v>35.299999237060547</v>
      </c>
      <c r="D1412">
        <v>0</v>
      </c>
      <c r="E1412">
        <v>75000</v>
      </c>
      <c r="F1412">
        <v>3132</v>
      </c>
      <c r="G1412">
        <v>1</v>
      </c>
      <c r="H1412">
        <v>0</v>
      </c>
      <c r="I1412">
        <v>0</v>
      </c>
      <c r="J1412">
        <v>31</v>
      </c>
      <c r="K1412">
        <v>1</v>
      </c>
      <c r="L1412">
        <f>Résultats!G$32+Résultats!G$33*Données!C1412+Résultats!G$34*Données!D1412+Résultats!G$35*Données!E1412+Résultats!G$36*Données!F1412+Résultats!G$37*Données!G1412+Résultats!G$38*Données!H1412+Résultats!G$39*Données!I1412</f>
        <v>85216.933163417649</v>
      </c>
      <c r="M1412">
        <f t="shared" si="88"/>
        <v>-10216.933163417649</v>
      </c>
      <c r="Q1412">
        <v>125000</v>
      </c>
      <c r="R1412">
        <v>1</v>
      </c>
      <c r="S1412">
        <v>35.5</v>
      </c>
      <c r="T1412">
        <v>0</v>
      </c>
      <c r="U1412">
        <f t="shared" ref="U1412:U1475" si="89">LN(E1411)</f>
        <v>11.786762130599957</v>
      </c>
      <c r="V1412">
        <f t="shared" ref="V1412:V1475" si="90">LN(F1411)</f>
        <v>8.4173728561340262</v>
      </c>
      <c r="W1412">
        <v>1</v>
      </c>
      <c r="X1412">
        <v>0</v>
      </c>
      <c r="Y1412">
        <v>0</v>
      </c>
      <c r="Z1412">
        <f>'Résultat (Ln)'!F$30+'Résultat (Ln)'!F$31*Données!S1412+'Résultat (Ln)'!F$32*Données!T1412+'Résultat (Ln)'!F$33*Données!U1412+'Résultat (Ln)'!F$34*Données!V1412+'Résultat (Ln)'!F$35*Données!W1412+'Résultat (Ln)'!F$36*Données!X1412+'Résultat (Ln)'!F$37*Données!Y1412</f>
        <v>117626.99753593201</v>
      </c>
      <c r="AA1412">
        <f t="shared" ref="AA1412:AA1475" si="91">Q1412-Z1412</f>
        <v>7373.0024640679912</v>
      </c>
    </row>
    <row r="1413" spans="1:27" x14ac:dyDescent="0.25">
      <c r="A1413">
        <v>750000</v>
      </c>
      <c r="B1413">
        <v>1</v>
      </c>
      <c r="C1413">
        <v>27.70000076293945</v>
      </c>
      <c r="D1413">
        <v>0</v>
      </c>
      <c r="E1413">
        <v>1150000</v>
      </c>
      <c r="F1413">
        <v>39773</v>
      </c>
      <c r="G1413">
        <v>1</v>
      </c>
      <c r="H1413">
        <v>0</v>
      </c>
      <c r="I1413">
        <v>1</v>
      </c>
      <c r="J1413">
        <v>20.5</v>
      </c>
      <c r="K1413">
        <v>1</v>
      </c>
      <c r="L1413">
        <f>Résultats!G$32+Résultats!G$33*Données!C1413+Résultats!G$34*Données!D1413+Résultats!G$35*Données!E1413+Résultats!G$36*Données!F1413+Résultats!G$37*Données!G1413+Résultats!G$38*Données!H1413+Résultats!G$39*Données!I1413</f>
        <v>659389.7275835491</v>
      </c>
      <c r="M1413">
        <f t="shared" si="88"/>
        <v>90610.272416450898</v>
      </c>
      <c r="Q1413">
        <v>75000</v>
      </c>
      <c r="R1413">
        <v>1</v>
      </c>
      <c r="S1413">
        <v>35.299999237060547</v>
      </c>
      <c r="T1413">
        <v>0</v>
      </c>
      <c r="U1413">
        <f t="shared" si="89"/>
        <v>11.225243392518447</v>
      </c>
      <c r="V1413">
        <f t="shared" si="90"/>
        <v>8.0494270571106945</v>
      </c>
      <c r="W1413">
        <v>1</v>
      </c>
      <c r="X1413">
        <v>0</v>
      </c>
      <c r="Y1413">
        <v>0</v>
      </c>
      <c r="Z1413">
        <f>'Résultat (Ln)'!F$30+'Résultat (Ln)'!F$31*Données!S1413+'Résultat (Ln)'!F$32*Données!T1413+'Résultat (Ln)'!F$33*Données!U1413+'Résultat (Ln)'!F$34*Données!V1413+'Résultat (Ln)'!F$35*Données!W1413+'Résultat (Ln)'!F$36*Données!X1413+'Résultat (Ln)'!F$37*Données!Y1413</f>
        <v>46870.937571948591</v>
      </c>
      <c r="AA1413">
        <f t="shared" si="91"/>
        <v>28129.062428051409</v>
      </c>
    </row>
    <row r="1414" spans="1:27" x14ac:dyDescent="0.25">
      <c r="A1414">
        <v>234000</v>
      </c>
      <c r="B1414">
        <v>1</v>
      </c>
      <c r="C1414">
        <v>17.5</v>
      </c>
      <c r="D1414">
        <v>0</v>
      </c>
      <c r="E1414">
        <v>285000</v>
      </c>
      <c r="F1414">
        <v>18840</v>
      </c>
      <c r="G1414">
        <v>1</v>
      </c>
      <c r="H1414">
        <v>0</v>
      </c>
      <c r="I1414">
        <v>0</v>
      </c>
      <c r="J1414">
        <v>11</v>
      </c>
      <c r="K1414">
        <v>1</v>
      </c>
      <c r="L1414">
        <f>Résultats!G$32+Résultats!G$33*Données!C1414+Résultats!G$34*Données!D1414+Résultats!G$35*Données!E1414+Résultats!G$36*Données!F1414+Résultats!G$37*Données!G1414+Résultats!G$38*Données!H1414+Résultats!G$39*Données!I1414</f>
        <v>193269.55165403057</v>
      </c>
      <c r="M1414">
        <f t="shared" si="88"/>
        <v>40730.448345969431</v>
      </c>
      <c r="Q1414">
        <v>750000</v>
      </c>
      <c r="R1414">
        <v>1</v>
      </c>
      <c r="S1414">
        <v>27.70000076293945</v>
      </c>
      <c r="T1414">
        <v>0</v>
      </c>
      <c r="U1414">
        <f t="shared" si="89"/>
        <v>13.955272500339433</v>
      </c>
      <c r="V1414">
        <f t="shared" si="90"/>
        <v>10.590943569100782</v>
      </c>
      <c r="W1414">
        <v>1</v>
      </c>
      <c r="X1414">
        <v>0</v>
      </c>
      <c r="Y1414">
        <v>1</v>
      </c>
      <c r="Z1414">
        <f>'Résultat (Ln)'!F$30+'Résultat (Ln)'!F$31*Données!S1414+'Résultat (Ln)'!F$32*Données!T1414+'Résultat (Ln)'!F$33*Données!U1414+'Résultat (Ln)'!F$34*Données!V1414+'Résultat (Ln)'!F$35*Données!W1414+'Résultat (Ln)'!F$36*Données!X1414+'Résultat (Ln)'!F$37*Données!Y1414</f>
        <v>415596.22116134816</v>
      </c>
      <c r="AA1414">
        <f t="shared" si="91"/>
        <v>334403.77883865184</v>
      </c>
    </row>
    <row r="1415" spans="1:27" x14ac:dyDescent="0.25">
      <c r="A1415">
        <v>110000</v>
      </c>
      <c r="B1415">
        <v>1</v>
      </c>
      <c r="C1415">
        <v>37</v>
      </c>
      <c r="D1415">
        <v>1</v>
      </c>
      <c r="E1415">
        <v>115000</v>
      </c>
      <c r="F1415">
        <v>4652</v>
      </c>
      <c r="G1415">
        <v>1</v>
      </c>
      <c r="H1415">
        <v>0</v>
      </c>
      <c r="I1415">
        <v>1</v>
      </c>
      <c r="J1415">
        <v>23</v>
      </c>
      <c r="K1415">
        <v>1</v>
      </c>
      <c r="L1415">
        <f>Résultats!G$32+Résultats!G$33*Données!C1415+Résultats!G$34*Données!D1415+Résultats!G$35*Données!E1415+Résultats!G$36*Données!F1415+Résultats!G$37*Données!G1415+Résultats!G$38*Données!H1415+Résultats!G$39*Données!I1415</f>
        <v>123566.94679939676</v>
      </c>
      <c r="M1415">
        <f t="shared" si="88"/>
        <v>-13566.946799396756</v>
      </c>
      <c r="Q1415">
        <v>234000</v>
      </c>
      <c r="R1415">
        <v>1</v>
      </c>
      <c r="S1415">
        <v>17.5</v>
      </c>
      <c r="T1415">
        <v>0</v>
      </c>
      <c r="U1415">
        <f t="shared" si="89"/>
        <v>12.560244459250788</v>
      </c>
      <c r="V1415">
        <f t="shared" si="90"/>
        <v>9.8437375481303544</v>
      </c>
      <c r="W1415">
        <v>1</v>
      </c>
      <c r="X1415">
        <v>0</v>
      </c>
      <c r="Y1415">
        <v>0</v>
      </c>
      <c r="Z1415">
        <f>'Résultat (Ln)'!F$30+'Résultat (Ln)'!F$31*Données!S1415+'Résultat (Ln)'!F$32*Données!T1415+'Résultat (Ln)'!F$33*Données!U1415+'Résultat (Ln)'!F$34*Données!V1415+'Résultat (Ln)'!F$35*Données!W1415+'Résultat (Ln)'!F$36*Données!X1415+'Résultat (Ln)'!F$37*Données!Y1415</f>
        <v>218547.66512299297</v>
      </c>
      <c r="AA1415">
        <f t="shared" si="91"/>
        <v>15452.33487700703</v>
      </c>
    </row>
    <row r="1416" spans="1:27" x14ac:dyDescent="0.25">
      <c r="A1416">
        <v>55000</v>
      </c>
      <c r="B1416">
        <v>1</v>
      </c>
      <c r="C1416">
        <v>24</v>
      </c>
      <c r="D1416">
        <v>0</v>
      </c>
      <c r="E1416">
        <v>73000</v>
      </c>
      <c r="F1416">
        <v>3539</v>
      </c>
      <c r="G1416">
        <v>1</v>
      </c>
      <c r="H1416">
        <v>0</v>
      </c>
      <c r="I1416">
        <v>0</v>
      </c>
      <c r="J1416">
        <v>15</v>
      </c>
      <c r="K1416">
        <v>1</v>
      </c>
      <c r="L1416">
        <f>Résultats!G$32+Résultats!G$33*Données!C1416+Résultats!G$34*Données!D1416+Résultats!G$35*Données!E1416+Résultats!G$36*Données!F1416+Résultats!G$37*Données!G1416+Résultats!G$38*Données!H1416+Résultats!G$39*Données!I1416</f>
        <v>72091.731676270603</v>
      </c>
      <c r="M1416">
        <f t="shared" si="88"/>
        <v>-17091.731676270603</v>
      </c>
      <c r="Q1416">
        <v>110000</v>
      </c>
      <c r="R1416">
        <v>1</v>
      </c>
      <c r="S1416">
        <v>37</v>
      </c>
      <c r="T1416">
        <v>1</v>
      </c>
      <c r="U1416">
        <f t="shared" si="89"/>
        <v>11.652687407345388</v>
      </c>
      <c r="V1416">
        <f t="shared" si="90"/>
        <v>8.4450525136385544</v>
      </c>
      <c r="W1416">
        <v>1</v>
      </c>
      <c r="X1416">
        <v>0</v>
      </c>
      <c r="Y1416">
        <v>1</v>
      </c>
      <c r="Z1416">
        <f>'Résultat (Ln)'!F$30+'Résultat (Ln)'!F$31*Données!S1416+'Résultat (Ln)'!F$32*Données!T1416+'Résultat (Ln)'!F$33*Données!U1416+'Résultat (Ln)'!F$34*Données!V1416+'Résultat (Ln)'!F$35*Données!W1416+'Résultat (Ln)'!F$36*Données!X1416+'Résultat (Ln)'!F$37*Données!Y1416</f>
        <v>124299.88395105982</v>
      </c>
      <c r="AA1416">
        <f t="shared" si="91"/>
        <v>-14299.883951059819</v>
      </c>
    </row>
    <row r="1417" spans="1:27" x14ac:dyDescent="0.25">
      <c r="A1417">
        <v>150000</v>
      </c>
      <c r="B1417">
        <v>1</v>
      </c>
      <c r="C1417">
        <v>41</v>
      </c>
      <c r="D1417">
        <v>0</v>
      </c>
      <c r="E1417">
        <v>210000</v>
      </c>
      <c r="F1417">
        <v>3330</v>
      </c>
      <c r="G1417">
        <v>1</v>
      </c>
      <c r="H1417">
        <v>0</v>
      </c>
      <c r="I1417">
        <v>1</v>
      </c>
      <c r="J1417">
        <v>23.29999923706055</v>
      </c>
      <c r="K1417">
        <v>1</v>
      </c>
      <c r="L1417">
        <f>Résultats!G$32+Résultats!G$33*Données!C1417+Résultats!G$34*Données!D1417+Résultats!G$35*Données!E1417+Résultats!G$36*Données!F1417+Résultats!G$37*Données!G1417+Résultats!G$38*Données!H1417+Résultats!G$39*Données!I1417</f>
        <v>165112.18522694684</v>
      </c>
      <c r="M1417">
        <f t="shared" si="88"/>
        <v>-15112.185226946836</v>
      </c>
      <c r="Q1417">
        <v>55000</v>
      </c>
      <c r="R1417">
        <v>1</v>
      </c>
      <c r="S1417">
        <v>24</v>
      </c>
      <c r="T1417">
        <v>0</v>
      </c>
      <c r="U1417">
        <f t="shared" si="89"/>
        <v>11.198214720130528</v>
      </c>
      <c r="V1417">
        <f t="shared" si="90"/>
        <v>8.1715994803454635</v>
      </c>
      <c r="W1417">
        <v>1</v>
      </c>
      <c r="X1417">
        <v>0</v>
      </c>
      <c r="Y1417">
        <v>0</v>
      </c>
      <c r="Z1417">
        <f>'Résultat (Ln)'!F$30+'Résultat (Ln)'!F$31*Données!S1417+'Résultat (Ln)'!F$32*Données!T1417+'Résultat (Ln)'!F$33*Données!U1417+'Résultat (Ln)'!F$34*Données!V1417+'Résultat (Ln)'!F$35*Données!W1417+'Résultat (Ln)'!F$36*Données!X1417+'Résultat (Ln)'!F$37*Données!Y1417</f>
        <v>33590.944181717197</v>
      </c>
      <c r="AA1417">
        <f t="shared" si="91"/>
        <v>21409.055818282803</v>
      </c>
    </row>
    <row r="1418" spans="1:27" x14ac:dyDescent="0.25">
      <c r="A1418">
        <v>124000</v>
      </c>
      <c r="B1418">
        <v>1</v>
      </c>
      <c r="C1418">
        <v>37.299999237060547</v>
      </c>
      <c r="D1418">
        <v>0</v>
      </c>
      <c r="E1418">
        <v>155000</v>
      </c>
      <c r="F1418">
        <v>3275</v>
      </c>
      <c r="G1418">
        <v>1</v>
      </c>
      <c r="H1418">
        <v>0</v>
      </c>
      <c r="I1418">
        <v>0</v>
      </c>
      <c r="J1418">
        <v>31.5</v>
      </c>
      <c r="K1418">
        <v>1</v>
      </c>
      <c r="L1418">
        <f>Résultats!G$32+Résultats!G$33*Données!C1418+Résultats!G$34*Données!D1418+Résultats!G$35*Données!E1418+Résultats!G$36*Données!F1418+Résultats!G$37*Données!G1418+Résultats!G$38*Données!H1418+Résultats!G$39*Données!I1418</f>
        <v>125147.63900876581</v>
      </c>
      <c r="M1418">
        <f t="shared" si="88"/>
        <v>-1147.6390087658074</v>
      </c>
      <c r="Q1418">
        <v>150000</v>
      </c>
      <c r="R1418">
        <v>1</v>
      </c>
      <c r="S1418">
        <v>41</v>
      </c>
      <c r="T1418">
        <v>0</v>
      </c>
      <c r="U1418">
        <f t="shared" si="89"/>
        <v>12.254862809699606</v>
      </c>
      <c r="V1418">
        <f t="shared" si="90"/>
        <v>8.1107275829744889</v>
      </c>
      <c r="W1418">
        <v>1</v>
      </c>
      <c r="X1418">
        <v>0</v>
      </c>
      <c r="Y1418">
        <v>1</v>
      </c>
      <c r="Z1418">
        <f>'Résultat (Ln)'!F$30+'Résultat (Ln)'!F$31*Données!S1418+'Résultat (Ln)'!F$32*Données!T1418+'Résultat (Ln)'!F$33*Données!U1418+'Résultat (Ln)'!F$34*Données!V1418+'Résultat (Ln)'!F$35*Données!W1418+'Résultat (Ln)'!F$36*Données!X1418+'Résultat (Ln)'!F$37*Données!Y1418</f>
        <v>180013.361391857</v>
      </c>
      <c r="AA1418">
        <f t="shared" si="91"/>
        <v>-30013.361391857004</v>
      </c>
    </row>
    <row r="1419" spans="1:27" x14ac:dyDescent="0.25">
      <c r="A1419">
        <v>90000</v>
      </c>
      <c r="B1419">
        <v>1</v>
      </c>
      <c r="C1419">
        <v>38</v>
      </c>
      <c r="D1419">
        <v>0</v>
      </c>
      <c r="E1419">
        <v>187000</v>
      </c>
      <c r="F1419">
        <v>3477</v>
      </c>
      <c r="G1419">
        <v>1</v>
      </c>
      <c r="H1419">
        <v>0</v>
      </c>
      <c r="I1419">
        <v>0</v>
      </c>
      <c r="J1419">
        <v>28</v>
      </c>
      <c r="K1419">
        <v>1</v>
      </c>
      <c r="L1419">
        <f>Résultats!G$32+Résultats!G$33*Données!C1419+Résultats!G$34*Données!D1419+Résultats!G$35*Données!E1419+Résultats!G$36*Données!F1419+Résultats!G$37*Données!G1419+Résultats!G$38*Données!H1419+Résultats!G$39*Données!I1419</f>
        <v>141285.64679592068</v>
      </c>
      <c r="M1419">
        <f t="shared" si="88"/>
        <v>-51285.646795920678</v>
      </c>
      <c r="Q1419">
        <v>124000</v>
      </c>
      <c r="R1419">
        <v>1</v>
      </c>
      <c r="S1419">
        <v>37.299999237060547</v>
      </c>
      <c r="T1419">
        <v>0</v>
      </c>
      <c r="U1419">
        <f t="shared" si="89"/>
        <v>11.951180395901384</v>
      </c>
      <c r="V1419">
        <f t="shared" si="90"/>
        <v>8.0940731480693522</v>
      </c>
      <c r="W1419">
        <v>1</v>
      </c>
      <c r="X1419">
        <v>0</v>
      </c>
      <c r="Y1419">
        <v>0</v>
      </c>
      <c r="Z1419">
        <f>'Résultat (Ln)'!F$30+'Résultat (Ln)'!F$31*Données!S1419+'Résultat (Ln)'!F$32*Données!T1419+'Résultat (Ln)'!F$33*Données!U1419+'Résultat (Ln)'!F$34*Données!V1419+'Résultat (Ln)'!F$35*Données!W1419+'Résultat (Ln)'!F$36*Données!X1419+'Résultat (Ln)'!F$37*Données!Y1419</f>
        <v>128384.38277085779</v>
      </c>
      <c r="AA1419">
        <f t="shared" si="91"/>
        <v>-4384.3827708577883</v>
      </c>
    </row>
    <row r="1420" spans="1:27" x14ac:dyDescent="0.25">
      <c r="A1420">
        <v>123000</v>
      </c>
      <c r="B1420">
        <v>1</v>
      </c>
      <c r="C1420">
        <v>33.299999237060547</v>
      </c>
      <c r="D1420">
        <v>1</v>
      </c>
      <c r="E1420">
        <v>154000</v>
      </c>
      <c r="F1420">
        <v>2353</v>
      </c>
      <c r="G1420">
        <v>0</v>
      </c>
      <c r="H1420">
        <v>0</v>
      </c>
      <c r="I1420">
        <v>0</v>
      </c>
      <c r="J1420">
        <v>32.189998626708977</v>
      </c>
      <c r="K1420">
        <v>1</v>
      </c>
      <c r="L1420">
        <f>Résultats!G$32+Résultats!G$33*Données!C1420+Résultats!G$34*Données!D1420+Résultats!G$35*Données!E1420+Résultats!G$36*Données!F1420+Résultats!G$37*Données!G1420+Résultats!G$38*Données!H1420+Résultats!G$39*Données!I1420</f>
        <v>116130.99450663729</v>
      </c>
      <c r="M1420">
        <f t="shared" si="88"/>
        <v>6869.0054933627107</v>
      </c>
      <c r="Q1420">
        <v>90000</v>
      </c>
      <c r="R1420">
        <v>1</v>
      </c>
      <c r="S1420">
        <v>38</v>
      </c>
      <c r="T1420">
        <v>0</v>
      </c>
      <c r="U1420">
        <f t="shared" si="89"/>
        <v>12.138863895836725</v>
      </c>
      <c r="V1420">
        <f t="shared" si="90"/>
        <v>8.1539251320078616</v>
      </c>
      <c r="W1420">
        <v>1</v>
      </c>
      <c r="X1420">
        <v>0</v>
      </c>
      <c r="Y1420">
        <v>0</v>
      </c>
      <c r="Z1420">
        <f>'Résultat (Ln)'!F$30+'Résultat (Ln)'!F$31*Données!S1420+'Résultat (Ln)'!F$32*Données!T1420+'Résultat (Ln)'!F$33*Données!U1420+'Résultat (Ln)'!F$34*Données!V1420+'Résultat (Ln)'!F$35*Données!W1420+'Résultat (Ln)'!F$36*Données!X1420+'Résultat (Ln)'!F$37*Données!Y1420</f>
        <v>151037.24780431006</v>
      </c>
      <c r="AA1420">
        <f t="shared" si="91"/>
        <v>-61037.247804310056</v>
      </c>
    </row>
    <row r="1421" spans="1:27" x14ac:dyDescent="0.25">
      <c r="A1421">
        <v>184000</v>
      </c>
      <c r="B1421">
        <v>1</v>
      </c>
      <c r="C1421">
        <v>31</v>
      </c>
      <c r="D1421">
        <v>0</v>
      </c>
      <c r="E1421">
        <v>193000</v>
      </c>
      <c r="F1421">
        <v>2995</v>
      </c>
      <c r="G1421">
        <v>1</v>
      </c>
      <c r="H1421">
        <v>0</v>
      </c>
      <c r="I1421">
        <v>0</v>
      </c>
      <c r="J1421">
        <v>5</v>
      </c>
      <c r="K1421">
        <v>1</v>
      </c>
      <c r="L1421">
        <f>Résultats!G$32+Résultats!G$33*Données!C1421+Résultats!G$34*Données!D1421+Résultats!G$35*Données!E1421+Résultats!G$36*Données!F1421+Résultats!G$37*Données!G1421+Résultats!G$38*Données!H1421+Résultats!G$39*Données!I1421</f>
        <v>135112.66024383798</v>
      </c>
      <c r="M1421">
        <f t="shared" si="88"/>
        <v>48887.339756162022</v>
      </c>
      <c r="Q1421">
        <v>123000</v>
      </c>
      <c r="R1421">
        <v>1</v>
      </c>
      <c r="S1421">
        <v>33.299999237060547</v>
      </c>
      <c r="T1421">
        <v>1</v>
      </c>
      <c r="U1421">
        <f t="shared" si="89"/>
        <v>11.944707881395766</v>
      </c>
      <c r="V1421">
        <f t="shared" si="90"/>
        <v>7.7634463887273624</v>
      </c>
      <c r="W1421">
        <v>0</v>
      </c>
      <c r="X1421">
        <v>0</v>
      </c>
      <c r="Y1421">
        <v>0</v>
      </c>
      <c r="Z1421">
        <f>'Résultat (Ln)'!F$30+'Résultat (Ln)'!F$31*Données!S1421+'Résultat (Ln)'!F$32*Données!T1421+'Résultat (Ln)'!F$33*Données!U1421+'Résultat (Ln)'!F$34*Données!V1421+'Résultat (Ln)'!F$35*Données!W1421+'Résultat (Ln)'!F$36*Données!X1421+'Résultat (Ln)'!F$37*Données!Y1421</f>
        <v>113364.48555374291</v>
      </c>
      <c r="AA1421">
        <f t="shared" si="91"/>
        <v>9635.5144462570897</v>
      </c>
    </row>
    <row r="1422" spans="1:27" x14ac:dyDescent="0.25">
      <c r="A1422">
        <v>138000</v>
      </c>
      <c r="B1422">
        <v>1</v>
      </c>
      <c r="C1422">
        <v>33</v>
      </c>
      <c r="D1422">
        <v>1</v>
      </c>
      <c r="E1422">
        <v>145000</v>
      </c>
      <c r="F1422">
        <v>3579</v>
      </c>
      <c r="G1422">
        <v>0</v>
      </c>
      <c r="H1422">
        <v>0</v>
      </c>
      <c r="I1422">
        <v>0</v>
      </c>
      <c r="J1422">
        <v>20</v>
      </c>
      <c r="K1422">
        <v>1</v>
      </c>
      <c r="L1422">
        <f>Résultats!G$32+Résultats!G$33*Données!C1422+Résultats!G$34*Données!D1422+Résultats!G$35*Données!E1422+Résultats!G$36*Données!F1422+Résultats!G$37*Données!G1422+Résultats!G$38*Données!H1422+Résultats!G$39*Données!I1422</f>
        <v>113959.54216163098</v>
      </c>
      <c r="M1422">
        <f t="shared" si="88"/>
        <v>24040.457838369024</v>
      </c>
      <c r="Q1422">
        <v>184000</v>
      </c>
      <c r="R1422">
        <v>1</v>
      </c>
      <c r="S1422">
        <v>31</v>
      </c>
      <c r="T1422">
        <v>0</v>
      </c>
      <c r="U1422">
        <f t="shared" si="89"/>
        <v>12.170445467887022</v>
      </c>
      <c r="V1422">
        <f t="shared" si="90"/>
        <v>8.0046995105495498</v>
      </c>
      <c r="W1422">
        <v>1</v>
      </c>
      <c r="X1422">
        <v>0</v>
      </c>
      <c r="Y1422">
        <v>0</v>
      </c>
      <c r="Z1422">
        <f>'Résultat (Ln)'!F$30+'Résultat (Ln)'!F$31*Données!S1422+'Résultat (Ln)'!F$32*Données!T1422+'Résultat (Ln)'!F$33*Données!U1422+'Résultat (Ln)'!F$34*Données!V1422+'Résultat (Ln)'!F$35*Données!W1422+'Résultat (Ln)'!F$36*Données!X1422+'Résultat (Ln)'!F$37*Données!Y1422</f>
        <v>141683.21464905038</v>
      </c>
      <c r="AA1422">
        <f t="shared" si="91"/>
        <v>42316.78535094962</v>
      </c>
    </row>
    <row r="1423" spans="1:27" x14ac:dyDescent="0.25">
      <c r="A1423">
        <v>112000</v>
      </c>
      <c r="B1423">
        <v>1</v>
      </c>
      <c r="C1423">
        <v>33.5</v>
      </c>
      <c r="D1423">
        <v>1</v>
      </c>
      <c r="E1423">
        <v>112000</v>
      </c>
      <c r="F1423">
        <v>3835</v>
      </c>
      <c r="G1423">
        <v>1</v>
      </c>
      <c r="H1423">
        <v>1</v>
      </c>
      <c r="I1423">
        <v>1</v>
      </c>
      <c r="J1423">
        <v>22.20999908447266</v>
      </c>
      <c r="K1423">
        <v>0</v>
      </c>
      <c r="L1423">
        <f>Résultats!G$32+Résultats!G$33*Données!C1423+Résultats!G$34*Données!D1423+Résultats!G$35*Données!E1423+Résultats!G$36*Données!F1423+Résultats!G$37*Données!G1423+Résultats!G$38*Données!H1423+Résultats!G$39*Données!I1423</f>
        <v>114937.29190946696</v>
      </c>
      <c r="M1423">
        <f t="shared" si="88"/>
        <v>-2937.2919094669633</v>
      </c>
      <c r="Q1423">
        <v>138000</v>
      </c>
      <c r="R1423">
        <v>1</v>
      </c>
      <c r="S1423">
        <v>33</v>
      </c>
      <c r="T1423">
        <v>1</v>
      </c>
      <c r="U1423">
        <f t="shared" si="89"/>
        <v>11.884489021402711</v>
      </c>
      <c r="V1423">
        <f t="shared" si="90"/>
        <v>8.1828387107660259</v>
      </c>
      <c r="W1423">
        <v>0</v>
      </c>
      <c r="X1423">
        <v>0</v>
      </c>
      <c r="Y1423">
        <v>0</v>
      </c>
      <c r="Z1423">
        <f>'Résultat (Ln)'!F$30+'Résultat (Ln)'!F$31*Données!S1423+'Résultat (Ln)'!F$32*Données!T1423+'Résultat (Ln)'!F$33*Données!U1423+'Résultat (Ln)'!F$34*Données!V1423+'Résultat (Ln)'!F$35*Données!W1423+'Résultat (Ln)'!F$36*Données!X1423+'Résultat (Ln)'!F$37*Données!Y1423</f>
        <v>118304.86959147255</v>
      </c>
      <c r="AA1423">
        <f t="shared" si="91"/>
        <v>19695.130408527446</v>
      </c>
    </row>
    <row r="1424" spans="1:27" x14ac:dyDescent="0.25">
      <c r="A1424">
        <v>150000</v>
      </c>
      <c r="B1424">
        <v>1</v>
      </c>
      <c r="C1424">
        <v>45</v>
      </c>
      <c r="D1424">
        <v>1</v>
      </c>
      <c r="E1424">
        <v>165000</v>
      </c>
      <c r="F1424">
        <v>3340</v>
      </c>
      <c r="G1424">
        <v>1</v>
      </c>
      <c r="H1424">
        <v>0</v>
      </c>
      <c r="I1424">
        <v>1</v>
      </c>
      <c r="J1424">
        <v>27</v>
      </c>
      <c r="K1424">
        <v>1</v>
      </c>
      <c r="L1424">
        <f>Résultats!G$32+Résultats!G$33*Données!C1424+Résultats!G$34*Données!D1424+Résultats!G$35*Données!E1424+Résultats!G$36*Données!F1424+Résultats!G$37*Données!G1424+Résultats!G$38*Données!H1424+Résultats!G$39*Données!I1424</f>
        <v>153561.59624209799</v>
      </c>
      <c r="M1424">
        <f t="shared" si="88"/>
        <v>-3561.5962420979922</v>
      </c>
      <c r="Q1424">
        <v>112000</v>
      </c>
      <c r="R1424">
        <v>1</v>
      </c>
      <c r="S1424">
        <v>33.5</v>
      </c>
      <c r="T1424">
        <v>1</v>
      </c>
      <c r="U1424">
        <f t="shared" si="89"/>
        <v>11.626254150277232</v>
      </c>
      <c r="V1424">
        <f t="shared" si="90"/>
        <v>8.2519247138013565</v>
      </c>
      <c r="W1424">
        <v>1</v>
      </c>
      <c r="X1424">
        <v>1</v>
      </c>
      <c r="Y1424">
        <v>1</v>
      </c>
      <c r="Z1424">
        <f>'Résultat (Ln)'!F$30+'Résultat (Ln)'!F$31*Données!S1424+'Résultat (Ln)'!F$32*Données!T1424+'Résultat (Ln)'!F$33*Données!U1424+'Résultat (Ln)'!F$34*Données!V1424+'Résultat (Ln)'!F$35*Données!W1424+'Résultat (Ln)'!F$36*Données!X1424+'Résultat (Ln)'!F$37*Données!Y1424</f>
        <v>111595.25124824818</v>
      </c>
      <c r="AA1424">
        <f t="shared" si="91"/>
        <v>404.7487517518166</v>
      </c>
    </row>
    <row r="1425" spans="1:27" x14ac:dyDescent="0.25">
      <c r="A1425">
        <v>190000</v>
      </c>
      <c r="B1425">
        <v>1</v>
      </c>
      <c r="C1425">
        <v>39</v>
      </c>
      <c r="D1425">
        <v>0</v>
      </c>
      <c r="E1425">
        <v>200000</v>
      </c>
      <c r="F1425">
        <v>2769</v>
      </c>
      <c r="G1425">
        <v>0</v>
      </c>
      <c r="H1425">
        <v>0</v>
      </c>
      <c r="I1425">
        <v>0</v>
      </c>
      <c r="J1425">
        <v>27</v>
      </c>
      <c r="K1425">
        <v>1</v>
      </c>
      <c r="L1425">
        <f>Résultats!G$32+Résultats!G$33*Données!C1425+Résultats!G$34*Données!D1425+Résultats!G$35*Données!E1425+Résultats!G$36*Données!F1425+Résultats!G$37*Données!G1425+Résultats!G$38*Données!H1425+Résultats!G$39*Données!I1425</f>
        <v>140116.13773177873</v>
      </c>
      <c r="M1425">
        <f t="shared" si="88"/>
        <v>49883.862268221274</v>
      </c>
      <c r="Q1425">
        <v>150000</v>
      </c>
      <c r="R1425">
        <v>1</v>
      </c>
      <c r="S1425">
        <v>45</v>
      </c>
      <c r="T1425">
        <v>1</v>
      </c>
      <c r="U1425">
        <f t="shared" si="89"/>
        <v>12.013700752882718</v>
      </c>
      <c r="V1425">
        <f t="shared" si="90"/>
        <v>8.1137260859707467</v>
      </c>
      <c r="W1425">
        <v>1</v>
      </c>
      <c r="X1425">
        <v>0</v>
      </c>
      <c r="Y1425">
        <v>1</v>
      </c>
      <c r="Z1425">
        <f>'Résultat (Ln)'!F$30+'Résultat (Ln)'!F$31*Données!S1425+'Résultat (Ln)'!F$32*Données!T1425+'Résultat (Ln)'!F$33*Données!U1425+'Résultat (Ln)'!F$34*Données!V1425+'Résultat (Ln)'!F$35*Données!W1425+'Résultat (Ln)'!F$36*Données!X1425+'Résultat (Ln)'!F$37*Données!Y1425</f>
        <v>163482.92938869703</v>
      </c>
      <c r="AA1425">
        <f t="shared" si="91"/>
        <v>-13482.929388697026</v>
      </c>
    </row>
    <row r="1426" spans="1:27" x14ac:dyDescent="0.25">
      <c r="A1426">
        <v>117000</v>
      </c>
      <c r="B1426">
        <v>1</v>
      </c>
      <c r="C1426">
        <v>38</v>
      </c>
      <c r="D1426">
        <v>0</v>
      </c>
      <c r="E1426">
        <v>130000</v>
      </c>
      <c r="F1426">
        <v>3854</v>
      </c>
      <c r="G1426">
        <v>0</v>
      </c>
      <c r="H1426">
        <v>0</v>
      </c>
      <c r="I1426">
        <v>0</v>
      </c>
      <c r="J1426">
        <v>18</v>
      </c>
      <c r="K1426">
        <v>0</v>
      </c>
      <c r="L1426">
        <f>Résultats!G$32+Résultats!G$33*Données!C1426+Résultats!G$34*Données!D1426+Résultats!G$35*Données!E1426+Résultats!G$36*Données!F1426+Résultats!G$37*Données!G1426+Résultats!G$38*Données!H1426+Résultats!G$39*Données!I1426</f>
        <v>108383.23783742264</v>
      </c>
      <c r="M1426">
        <f t="shared" si="88"/>
        <v>8616.7621625773609</v>
      </c>
      <c r="Q1426">
        <v>190000</v>
      </c>
      <c r="R1426">
        <v>1</v>
      </c>
      <c r="S1426">
        <v>39</v>
      </c>
      <c r="T1426">
        <v>0</v>
      </c>
      <c r="U1426">
        <f t="shared" si="89"/>
        <v>12.206072645530174</v>
      </c>
      <c r="V1426">
        <f t="shared" si="90"/>
        <v>7.9262415231709618</v>
      </c>
      <c r="W1426">
        <v>0</v>
      </c>
      <c r="X1426">
        <v>0</v>
      </c>
      <c r="Y1426">
        <v>0</v>
      </c>
      <c r="Z1426">
        <f>'Résultat (Ln)'!F$30+'Résultat (Ln)'!F$31*Données!S1426+'Résultat (Ln)'!F$32*Données!T1426+'Résultat (Ln)'!F$33*Données!U1426+'Résultat (Ln)'!F$34*Données!V1426+'Résultat (Ln)'!F$35*Données!W1426+'Résultat (Ln)'!F$36*Données!X1426+'Résultat (Ln)'!F$37*Données!Y1426</f>
        <v>148564.17056366717</v>
      </c>
      <c r="AA1426">
        <f t="shared" si="91"/>
        <v>41435.829436332831</v>
      </c>
    </row>
    <row r="1427" spans="1:27" x14ac:dyDescent="0.25">
      <c r="A1427">
        <v>125000</v>
      </c>
      <c r="B1427">
        <v>1</v>
      </c>
      <c r="C1427">
        <v>47</v>
      </c>
      <c r="D1427">
        <v>1</v>
      </c>
      <c r="E1427">
        <v>131000</v>
      </c>
      <c r="F1427">
        <v>2309</v>
      </c>
      <c r="G1427">
        <v>1</v>
      </c>
      <c r="H1427">
        <v>0</v>
      </c>
      <c r="I1427">
        <v>0</v>
      </c>
      <c r="J1427">
        <v>33</v>
      </c>
      <c r="K1427">
        <v>1</v>
      </c>
      <c r="L1427">
        <f>Résultats!G$32+Résultats!G$33*Données!C1427+Résultats!G$34*Données!D1427+Résultats!G$35*Données!E1427+Résultats!G$36*Données!F1427+Résultats!G$37*Données!G1427+Résultats!G$38*Données!H1427+Résultats!G$39*Données!I1427</f>
        <v>128059.21023440131</v>
      </c>
      <c r="M1427">
        <f t="shared" si="88"/>
        <v>-3059.210234401311</v>
      </c>
      <c r="Q1427">
        <v>117000</v>
      </c>
      <c r="R1427">
        <v>1</v>
      </c>
      <c r="S1427">
        <v>38</v>
      </c>
      <c r="T1427">
        <v>0</v>
      </c>
      <c r="U1427">
        <f t="shared" si="89"/>
        <v>11.77528972943772</v>
      </c>
      <c r="V1427">
        <f t="shared" si="90"/>
        <v>8.2568668489743118</v>
      </c>
      <c r="W1427">
        <v>0</v>
      </c>
      <c r="X1427">
        <v>0</v>
      </c>
      <c r="Y1427">
        <v>0</v>
      </c>
      <c r="Z1427">
        <f>'Résultat (Ln)'!F$30+'Résultat (Ln)'!F$31*Données!S1427+'Résultat (Ln)'!F$32*Données!T1427+'Résultat (Ln)'!F$33*Données!U1427+'Résultat (Ln)'!F$34*Données!V1427+'Résultat (Ln)'!F$35*Données!W1427+'Résultat (Ln)'!F$36*Données!X1427+'Résultat (Ln)'!F$37*Données!Y1427</f>
        <v>110436.76032245034</v>
      </c>
      <c r="AA1427">
        <f t="shared" si="91"/>
        <v>6563.23967754966</v>
      </c>
    </row>
    <row r="1428" spans="1:27" x14ac:dyDescent="0.25">
      <c r="A1428">
        <v>60000</v>
      </c>
      <c r="B1428">
        <v>1</v>
      </c>
      <c r="C1428">
        <v>33.200000762939453</v>
      </c>
      <c r="D1428">
        <v>0</v>
      </c>
      <c r="E1428">
        <v>150000</v>
      </c>
      <c r="F1428">
        <v>1958</v>
      </c>
      <c r="G1428">
        <v>1</v>
      </c>
      <c r="H1428">
        <v>0</v>
      </c>
      <c r="I1428">
        <v>1</v>
      </c>
      <c r="J1428">
        <v>3.7999999523162842</v>
      </c>
      <c r="K1428">
        <v>1</v>
      </c>
      <c r="L1428">
        <f>Résultats!G$32+Résultats!G$33*Données!C1428+Résultats!G$34*Données!D1428+Résultats!G$35*Données!E1428+Résultats!G$36*Données!F1428+Résultats!G$37*Données!G1428+Résultats!G$38*Données!H1428+Résultats!G$39*Données!I1428</f>
        <v>125476.7167600203</v>
      </c>
      <c r="M1428">
        <f t="shared" si="88"/>
        <v>-65476.716760020296</v>
      </c>
      <c r="Q1428">
        <v>125000</v>
      </c>
      <c r="R1428">
        <v>1</v>
      </c>
      <c r="S1428">
        <v>47</v>
      </c>
      <c r="T1428">
        <v>1</v>
      </c>
      <c r="U1428">
        <f t="shared" si="89"/>
        <v>11.782952602183288</v>
      </c>
      <c r="V1428">
        <f t="shared" si="90"/>
        <v>7.7445698093544957</v>
      </c>
      <c r="W1428">
        <v>1</v>
      </c>
      <c r="X1428">
        <v>0</v>
      </c>
      <c r="Y1428">
        <v>0</v>
      </c>
      <c r="Z1428">
        <f>'Résultat (Ln)'!F$30+'Résultat (Ln)'!F$31*Données!S1428+'Résultat (Ln)'!F$32*Données!T1428+'Résultat (Ln)'!F$33*Données!U1428+'Résultat (Ln)'!F$34*Données!V1428+'Résultat (Ln)'!F$35*Données!W1428+'Résultat (Ln)'!F$36*Données!X1428+'Résultat (Ln)'!F$37*Données!Y1428</f>
        <v>116751.62122475925</v>
      </c>
      <c r="AA1428">
        <f t="shared" si="91"/>
        <v>8248.3787752407516</v>
      </c>
    </row>
    <row r="1429" spans="1:27" x14ac:dyDescent="0.25">
      <c r="A1429">
        <v>149000</v>
      </c>
      <c r="B1429">
        <v>1</v>
      </c>
      <c r="C1429">
        <v>38</v>
      </c>
      <c r="D1429">
        <v>0</v>
      </c>
      <c r="E1429">
        <v>165000</v>
      </c>
      <c r="F1429">
        <v>3948</v>
      </c>
      <c r="G1429">
        <v>1</v>
      </c>
      <c r="H1429">
        <v>0</v>
      </c>
      <c r="I1429">
        <v>0</v>
      </c>
      <c r="J1429">
        <v>30</v>
      </c>
      <c r="K1429">
        <v>1</v>
      </c>
      <c r="L1429">
        <f>Résultats!G$32+Résultats!G$33*Données!C1429+Résultats!G$34*Données!D1429+Résultats!G$35*Données!E1429+Résultats!G$36*Données!F1429+Résultats!G$37*Données!G1429+Résultats!G$38*Données!H1429+Résultats!G$39*Données!I1429</f>
        <v>131925.37273439404</v>
      </c>
      <c r="M1429">
        <f t="shared" si="88"/>
        <v>17074.627265605959</v>
      </c>
      <c r="Q1429">
        <v>60000</v>
      </c>
      <c r="R1429">
        <v>1</v>
      </c>
      <c r="S1429">
        <v>33.200000762939453</v>
      </c>
      <c r="T1429">
        <v>0</v>
      </c>
      <c r="U1429">
        <f t="shared" si="89"/>
        <v>11.918390573078392</v>
      </c>
      <c r="V1429">
        <f t="shared" si="90"/>
        <v>7.5796788230904557</v>
      </c>
      <c r="W1429">
        <v>1</v>
      </c>
      <c r="X1429">
        <v>0</v>
      </c>
      <c r="Y1429">
        <v>1</v>
      </c>
      <c r="Z1429">
        <f>'Résultat (Ln)'!F$30+'Résultat (Ln)'!F$31*Données!S1429+'Résultat (Ln)'!F$32*Données!T1429+'Résultat (Ln)'!F$33*Données!U1429+'Résultat (Ln)'!F$34*Données!V1429+'Résultat (Ln)'!F$35*Données!W1429+'Résultat (Ln)'!F$36*Données!X1429+'Résultat (Ln)'!F$37*Données!Y1429</f>
        <v>119519.42725334996</v>
      </c>
      <c r="AA1429">
        <f t="shared" si="91"/>
        <v>-59519.427253349961</v>
      </c>
    </row>
    <row r="1430" spans="1:27" x14ac:dyDescent="0.25">
      <c r="A1430">
        <v>90000</v>
      </c>
      <c r="B1430">
        <v>1</v>
      </c>
      <c r="C1430">
        <v>36</v>
      </c>
      <c r="D1430">
        <v>0</v>
      </c>
      <c r="E1430">
        <v>120000</v>
      </c>
      <c r="F1430">
        <v>2483</v>
      </c>
      <c r="G1430">
        <v>1</v>
      </c>
      <c r="H1430">
        <v>0</v>
      </c>
      <c r="I1430">
        <v>0</v>
      </c>
      <c r="J1430">
        <v>20</v>
      </c>
      <c r="K1430">
        <v>1</v>
      </c>
      <c r="L1430">
        <f>Résultats!G$32+Résultats!G$33*Données!C1430+Résultats!G$34*Données!D1430+Résultats!G$35*Données!E1430+Résultats!G$36*Données!F1430+Résultats!G$37*Données!G1430+Résultats!G$38*Données!H1430+Résultats!G$39*Données!I1430</f>
        <v>105776.27639505839</v>
      </c>
      <c r="M1430">
        <f t="shared" si="88"/>
        <v>-15776.27639505839</v>
      </c>
      <c r="Q1430">
        <v>149000</v>
      </c>
      <c r="R1430">
        <v>1</v>
      </c>
      <c r="S1430">
        <v>38</v>
      </c>
      <c r="T1430">
        <v>0</v>
      </c>
      <c r="U1430">
        <f t="shared" si="89"/>
        <v>12.013700752882718</v>
      </c>
      <c r="V1430">
        <f t="shared" si="90"/>
        <v>8.2809644005533727</v>
      </c>
      <c r="W1430">
        <v>1</v>
      </c>
      <c r="X1430">
        <v>0</v>
      </c>
      <c r="Y1430">
        <v>0</v>
      </c>
      <c r="Z1430">
        <f>'Résultat (Ln)'!F$30+'Résultat (Ln)'!F$31*Données!S1430+'Résultat (Ln)'!F$32*Données!T1430+'Résultat (Ln)'!F$33*Données!U1430+'Résultat (Ln)'!F$34*Données!V1430+'Résultat (Ln)'!F$35*Données!W1430+'Résultat (Ln)'!F$36*Données!X1430+'Résultat (Ln)'!F$37*Données!Y1430</f>
        <v>141183.2308179953</v>
      </c>
      <c r="AA1430">
        <f t="shared" si="91"/>
        <v>7816.7691820047039</v>
      </c>
    </row>
    <row r="1431" spans="1:27" x14ac:dyDescent="0.25">
      <c r="A1431">
        <v>49000</v>
      </c>
      <c r="B1431">
        <v>1</v>
      </c>
      <c r="C1431">
        <v>29</v>
      </c>
      <c r="D1431">
        <v>0</v>
      </c>
      <c r="E1431">
        <v>75000</v>
      </c>
      <c r="F1431">
        <v>5833</v>
      </c>
      <c r="G1431">
        <v>1</v>
      </c>
      <c r="H1431">
        <v>0</v>
      </c>
      <c r="I1431">
        <v>0</v>
      </c>
      <c r="J1431">
        <v>10</v>
      </c>
      <c r="K1431">
        <v>1</v>
      </c>
      <c r="L1431">
        <f>Résultats!G$32+Résultats!G$33*Données!C1431+Résultats!G$34*Données!D1431+Résultats!G$35*Données!E1431+Résultats!G$36*Données!F1431+Résultats!G$37*Données!G1431+Résultats!G$38*Données!H1431+Résultats!G$39*Données!I1431</f>
        <v>83214.274326248356</v>
      </c>
      <c r="M1431">
        <f t="shared" si="88"/>
        <v>-34214.274326248356</v>
      </c>
      <c r="Q1431">
        <v>90000</v>
      </c>
      <c r="R1431">
        <v>1</v>
      </c>
      <c r="S1431">
        <v>36</v>
      </c>
      <c r="T1431">
        <v>0</v>
      </c>
      <c r="U1431">
        <f t="shared" si="89"/>
        <v>11.695247021764184</v>
      </c>
      <c r="V1431">
        <f t="shared" si="90"/>
        <v>7.8172227855081662</v>
      </c>
      <c r="W1431">
        <v>1</v>
      </c>
      <c r="X1431">
        <v>0</v>
      </c>
      <c r="Y1431">
        <v>0</v>
      </c>
      <c r="Z1431">
        <f>'Résultat (Ln)'!F$30+'Résultat (Ln)'!F$31*Données!S1431+'Résultat (Ln)'!F$32*Données!T1431+'Résultat (Ln)'!F$33*Données!U1431+'Résultat (Ln)'!F$34*Données!V1431+'Résultat (Ln)'!F$35*Données!W1431+'Résultat (Ln)'!F$36*Données!X1431+'Résultat (Ln)'!F$37*Données!Y1431</f>
        <v>91596.319516685602</v>
      </c>
      <c r="AA1431">
        <f t="shared" si="91"/>
        <v>-1596.3195166856021</v>
      </c>
    </row>
    <row r="1432" spans="1:27" x14ac:dyDescent="0.25">
      <c r="A1432">
        <v>30000</v>
      </c>
      <c r="B1432">
        <v>1</v>
      </c>
      <c r="C1432">
        <v>29.79999923706055</v>
      </c>
      <c r="D1432">
        <v>0</v>
      </c>
      <c r="E1432">
        <v>150000</v>
      </c>
      <c r="F1432">
        <v>1603</v>
      </c>
      <c r="G1432">
        <v>1</v>
      </c>
      <c r="H1432">
        <v>0</v>
      </c>
      <c r="I1432">
        <v>0</v>
      </c>
      <c r="J1432">
        <v>25.89999961853027</v>
      </c>
      <c r="K1432">
        <v>0</v>
      </c>
      <c r="L1432">
        <f>Résultats!G$32+Résultats!G$33*Données!C1432+Résultats!G$34*Données!D1432+Résultats!G$35*Données!E1432+Résultats!G$36*Données!F1432+Résultats!G$37*Données!G1432+Résultats!G$38*Données!H1432+Résultats!G$39*Données!I1432</f>
        <v>110957.86434647598</v>
      </c>
      <c r="M1432">
        <f t="shared" si="88"/>
        <v>-80957.864346475981</v>
      </c>
      <c r="Q1432">
        <v>49000</v>
      </c>
      <c r="R1432">
        <v>1</v>
      </c>
      <c r="S1432">
        <v>29</v>
      </c>
      <c r="T1432">
        <v>0</v>
      </c>
      <c r="U1432">
        <f t="shared" si="89"/>
        <v>11.225243392518447</v>
      </c>
      <c r="V1432">
        <f t="shared" si="90"/>
        <v>8.6712867267536371</v>
      </c>
      <c r="W1432">
        <v>1</v>
      </c>
      <c r="X1432">
        <v>0</v>
      </c>
      <c r="Y1432">
        <v>0</v>
      </c>
      <c r="Z1432">
        <f>'Résultat (Ln)'!F$30+'Résultat (Ln)'!F$31*Données!S1432+'Résultat (Ln)'!F$32*Données!T1432+'Résultat (Ln)'!F$33*Données!U1432+'Résultat (Ln)'!F$34*Données!V1432+'Résultat (Ln)'!F$35*Données!W1432+'Résultat (Ln)'!F$36*Données!X1432+'Résultat (Ln)'!F$37*Données!Y1432</f>
        <v>56612.627893353863</v>
      </c>
      <c r="AA1432">
        <f t="shared" si="91"/>
        <v>-7612.6278933538633</v>
      </c>
    </row>
    <row r="1433" spans="1:27" x14ac:dyDescent="0.25">
      <c r="A1433">
        <v>177000</v>
      </c>
      <c r="B1433">
        <v>1</v>
      </c>
      <c r="C1433">
        <v>38.200000762939453</v>
      </c>
      <c r="D1433">
        <v>0</v>
      </c>
      <c r="E1433">
        <v>222000</v>
      </c>
      <c r="F1433">
        <v>3193</v>
      </c>
      <c r="G1433">
        <v>1</v>
      </c>
      <c r="H1433">
        <v>0</v>
      </c>
      <c r="I1433">
        <v>0</v>
      </c>
      <c r="J1433">
        <v>33.090000152587891</v>
      </c>
      <c r="K1433">
        <v>1</v>
      </c>
      <c r="L1433">
        <f>Résultats!G$32+Résultats!G$33*Données!C1433+Résultats!G$34*Données!D1433+Résultats!G$35*Données!E1433+Résultats!G$36*Données!F1433+Résultats!G$37*Données!G1433+Résultats!G$38*Données!H1433+Résultats!G$39*Données!I1433</f>
        <v>157308.41453977724</v>
      </c>
      <c r="M1433">
        <f t="shared" si="88"/>
        <v>19691.585460222763</v>
      </c>
      <c r="Q1433">
        <v>30000</v>
      </c>
      <c r="R1433">
        <v>1</v>
      </c>
      <c r="S1433">
        <v>29.79999923706055</v>
      </c>
      <c r="T1433">
        <v>0</v>
      </c>
      <c r="U1433">
        <f t="shared" si="89"/>
        <v>11.918390573078392</v>
      </c>
      <c r="V1433">
        <f t="shared" si="90"/>
        <v>7.3796321526095525</v>
      </c>
      <c r="W1433">
        <v>1</v>
      </c>
      <c r="X1433">
        <v>0</v>
      </c>
      <c r="Y1433">
        <v>0</v>
      </c>
      <c r="Z1433">
        <f>'Résultat (Ln)'!F$30+'Résultat (Ln)'!F$31*Données!S1433+'Résultat (Ln)'!F$32*Données!T1433+'Résultat (Ln)'!F$33*Données!U1433+'Résultat (Ln)'!F$34*Données!V1433+'Résultat (Ln)'!F$35*Données!W1433+'Résultat (Ln)'!F$36*Données!X1433+'Résultat (Ln)'!F$37*Données!Y1433</f>
        <v>95667.087684897197</v>
      </c>
      <c r="AA1433">
        <f t="shared" si="91"/>
        <v>-65667.087684897197</v>
      </c>
    </row>
    <row r="1434" spans="1:27" x14ac:dyDescent="0.25">
      <c r="A1434">
        <v>84000</v>
      </c>
      <c r="B1434">
        <v>1</v>
      </c>
      <c r="C1434">
        <v>38.400001525878913</v>
      </c>
      <c r="D1434">
        <v>0</v>
      </c>
      <c r="E1434">
        <v>105000</v>
      </c>
      <c r="F1434">
        <v>7085</v>
      </c>
      <c r="G1434">
        <v>0</v>
      </c>
      <c r="H1434">
        <v>0</v>
      </c>
      <c r="I1434">
        <v>1</v>
      </c>
      <c r="J1434">
        <v>14.19999980926514</v>
      </c>
      <c r="K1434">
        <v>1</v>
      </c>
      <c r="L1434">
        <f>Résultats!G$32+Résultats!G$33*Données!C1434+Résultats!G$34*Données!D1434+Résultats!G$35*Données!E1434+Résultats!G$36*Données!F1434+Résultats!G$37*Données!G1434+Résultats!G$38*Données!H1434+Résultats!G$39*Données!I1434</f>
        <v>113355.323860712</v>
      </c>
      <c r="M1434">
        <f t="shared" si="88"/>
        <v>-29355.323860712</v>
      </c>
      <c r="Q1434">
        <v>177000</v>
      </c>
      <c r="R1434">
        <v>1</v>
      </c>
      <c r="S1434">
        <v>38.200000762939453</v>
      </c>
      <c r="T1434">
        <v>0</v>
      </c>
      <c r="U1434">
        <f t="shared" si="89"/>
        <v>12.310432660854417</v>
      </c>
      <c r="V1434">
        <f t="shared" si="90"/>
        <v>8.0687161927147812</v>
      </c>
      <c r="W1434">
        <v>1</v>
      </c>
      <c r="X1434">
        <v>0</v>
      </c>
      <c r="Y1434">
        <v>0</v>
      </c>
      <c r="Z1434">
        <f>'Résultat (Ln)'!F$30+'Résultat (Ln)'!F$31*Données!S1434+'Résultat (Ln)'!F$32*Données!T1434+'Résultat (Ln)'!F$33*Données!U1434+'Résultat (Ln)'!F$34*Données!V1434+'Résultat (Ln)'!F$35*Données!W1434+'Résultat (Ln)'!F$36*Données!X1434+'Résultat (Ln)'!F$37*Données!Y1434</f>
        <v>167283.31560801051</v>
      </c>
      <c r="AA1434">
        <f t="shared" si="91"/>
        <v>9716.6843919894891</v>
      </c>
    </row>
    <row r="1435" spans="1:27" x14ac:dyDescent="0.25">
      <c r="A1435">
        <v>227000</v>
      </c>
      <c r="B1435">
        <v>1</v>
      </c>
      <c r="C1435">
        <v>36</v>
      </c>
      <c r="D1435">
        <v>1</v>
      </c>
      <c r="E1435">
        <v>314000</v>
      </c>
      <c r="F1435">
        <v>7500</v>
      </c>
      <c r="G1435">
        <v>1</v>
      </c>
      <c r="H1435">
        <v>0</v>
      </c>
      <c r="I1435">
        <v>1</v>
      </c>
      <c r="J1435">
        <v>31</v>
      </c>
      <c r="K1435">
        <v>1</v>
      </c>
      <c r="L1435">
        <f>Résultats!G$32+Résultats!G$33*Données!C1435+Résultats!G$34*Données!D1435+Résultats!G$35*Données!E1435+Résultats!G$36*Données!F1435+Résultats!G$37*Données!G1435+Résultats!G$38*Données!H1435+Résultats!G$39*Données!I1435</f>
        <v>220860.795303803</v>
      </c>
      <c r="M1435">
        <f t="shared" si="88"/>
        <v>6139.2046961970045</v>
      </c>
      <c r="Q1435">
        <v>84000</v>
      </c>
      <c r="R1435">
        <v>1</v>
      </c>
      <c r="S1435">
        <v>38.400001525878913</v>
      </c>
      <c r="T1435">
        <v>0</v>
      </c>
      <c r="U1435">
        <f t="shared" si="89"/>
        <v>11.561715629139661</v>
      </c>
      <c r="V1435">
        <f t="shared" si="90"/>
        <v>8.8657351521247811</v>
      </c>
      <c r="W1435">
        <v>0</v>
      </c>
      <c r="X1435">
        <v>0</v>
      </c>
      <c r="Y1435">
        <v>1</v>
      </c>
      <c r="Z1435">
        <f>'Résultat (Ln)'!F$30+'Résultat (Ln)'!F$31*Données!S1435+'Résultat (Ln)'!F$32*Données!T1435+'Résultat (Ln)'!F$33*Données!U1435+'Résultat (Ln)'!F$34*Données!V1435+'Résultat (Ln)'!F$35*Données!W1435+'Résultat (Ln)'!F$36*Données!X1435+'Résultat (Ln)'!F$37*Données!Y1435</f>
        <v>119194.50717088065</v>
      </c>
      <c r="AA1435">
        <f t="shared" si="91"/>
        <v>-35194.50717088065</v>
      </c>
    </row>
    <row r="1436" spans="1:27" x14ac:dyDescent="0.25">
      <c r="A1436">
        <v>96000</v>
      </c>
      <c r="B1436">
        <v>1</v>
      </c>
      <c r="C1436">
        <v>34.5</v>
      </c>
      <c r="D1436">
        <v>0</v>
      </c>
      <c r="E1436">
        <v>106500</v>
      </c>
      <c r="F1436">
        <v>3859</v>
      </c>
      <c r="G1436">
        <v>1</v>
      </c>
      <c r="H1436">
        <v>0</v>
      </c>
      <c r="I1436">
        <v>0</v>
      </c>
      <c r="J1436">
        <v>25.79999923706055</v>
      </c>
      <c r="K1436">
        <v>1</v>
      </c>
      <c r="L1436">
        <f>Résultats!G$32+Résultats!G$33*Données!C1436+Résultats!G$34*Données!D1436+Résultats!G$35*Données!E1436+Résultats!G$36*Données!F1436+Résultats!G$37*Données!G1436+Résultats!G$38*Données!H1436+Résultats!G$39*Données!I1436</f>
        <v>100415.79711458144</v>
      </c>
      <c r="M1436">
        <f t="shared" si="88"/>
        <v>-4415.7971145814372</v>
      </c>
      <c r="Q1436">
        <v>227000</v>
      </c>
      <c r="R1436">
        <v>1</v>
      </c>
      <c r="S1436">
        <v>36</v>
      </c>
      <c r="T1436">
        <v>1</v>
      </c>
      <c r="U1436">
        <f t="shared" si="89"/>
        <v>12.65714826489039</v>
      </c>
      <c r="V1436">
        <f t="shared" si="90"/>
        <v>8.9226582995244019</v>
      </c>
      <c r="W1436">
        <v>1</v>
      </c>
      <c r="X1436">
        <v>0</v>
      </c>
      <c r="Y1436">
        <v>1</v>
      </c>
      <c r="Z1436">
        <f>'Résultat (Ln)'!F$30+'Résultat (Ln)'!F$31*Données!S1436+'Résultat (Ln)'!F$32*Données!T1436+'Résultat (Ln)'!F$33*Données!U1436+'Résultat (Ln)'!F$34*Données!V1436+'Résultat (Ln)'!F$35*Données!W1436+'Résultat (Ln)'!F$36*Données!X1436+'Résultat (Ln)'!F$37*Données!Y1436</f>
        <v>244146.42647150604</v>
      </c>
      <c r="AA1436">
        <f t="shared" si="91"/>
        <v>-17146.426471506042</v>
      </c>
    </row>
    <row r="1437" spans="1:27" x14ac:dyDescent="0.25">
      <c r="A1437">
        <v>143000</v>
      </c>
      <c r="B1437">
        <v>1</v>
      </c>
      <c r="C1437">
        <v>31.39999961853027</v>
      </c>
      <c r="D1437">
        <v>0</v>
      </c>
      <c r="E1437">
        <v>150000</v>
      </c>
      <c r="F1437">
        <v>3900</v>
      </c>
      <c r="G1437">
        <v>1</v>
      </c>
      <c r="H1437">
        <v>0</v>
      </c>
      <c r="I1437">
        <v>0</v>
      </c>
      <c r="J1437">
        <v>27.60000038146973</v>
      </c>
      <c r="K1437">
        <v>1</v>
      </c>
      <c r="L1437">
        <f>Résultats!G$32+Résultats!G$33*Données!C1437+Résultats!G$34*Données!D1437+Résultats!G$35*Données!E1437+Résultats!G$36*Données!F1437+Résultats!G$37*Données!G1437+Résultats!G$38*Données!H1437+Résultats!G$39*Données!I1437</f>
        <v>117246.83497038845</v>
      </c>
      <c r="M1437">
        <f t="shared" si="88"/>
        <v>25753.165029611555</v>
      </c>
      <c r="Q1437">
        <v>96000</v>
      </c>
      <c r="R1437">
        <v>1</v>
      </c>
      <c r="S1437">
        <v>34.5</v>
      </c>
      <c r="T1437">
        <v>0</v>
      </c>
      <c r="U1437">
        <f t="shared" si="89"/>
        <v>11.575900264131617</v>
      </c>
      <c r="V1437">
        <f t="shared" si="90"/>
        <v>8.2581633615376191</v>
      </c>
      <c r="W1437">
        <v>1</v>
      </c>
      <c r="X1437">
        <v>0</v>
      </c>
      <c r="Y1437">
        <v>0</v>
      </c>
      <c r="Z1437">
        <f>'Résultat (Ln)'!F$30+'Résultat (Ln)'!F$31*Données!S1437+'Résultat (Ln)'!F$32*Données!T1437+'Résultat (Ln)'!F$33*Données!U1437+'Résultat (Ln)'!F$34*Données!V1437+'Résultat (Ln)'!F$35*Données!W1437+'Résultat (Ln)'!F$36*Données!X1437+'Résultat (Ln)'!F$37*Données!Y1437</f>
        <v>89336.342850272587</v>
      </c>
      <c r="AA1437">
        <f t="shared" si="91"/>
        <v>6663.6571497274126</v>
      </c>
    </row>
    <row r="1438" spans="1:27" x14ac:dyDescent="0.25">
      <c r="A1438">
        <v>140000</v>
      </c>
      <c r="B1438">
        <v>1</v>
      </c>
      <c r="C1438">
        <v>35.900001525878913</v>
      </c>
      <c r="D1438">
        <v>0</v>
      </c>
      <c r="E1438">
        <v>237000</v>
      </c>
      <c r="F1438">
        <v>3416</v>
      </c>
      <c r="G1438">
        <v>0</v>
      </c>
      <c r="H1438">
        <v>0</v>
      </c>
      <c r="I1438">
        <v>0</v>
      </c>
      <c r="J1438">
        <v>26.70000076293945</v>
      </c>
      <c r="K1438">
        <v>1</v>
      </c>
      <c r="L1438">
        <f>Résultats!G$32+Résultats!G$33*Données!C1438+Résultats!G$34*Données!D1438+Résultats!G$35*Données!E1438+Résultats!G$36*Données!F1438+Résultats!G$37*Données!G1438+Résultats!G$38*Données!H1438+Résultats!G$39*Données!I1438</f>
        <v>155086.28067577659</v>
      </c>
      <c r="M1438">
        <f t="shared" si="88"/>
        <v>-15086.280675776594</v>
      </c>
      <c r="Q1438">
        <v>143000</v>
      </c>
      <c r="R1438">
        <v>1</v>
      </c>
      <c r="S1438">
        <v>31.39999961853027</v>
      </c>
      <c r="T1438">
        <v>0</v>
      </c>
      <c r="U1438">
        <f t="shared" si="89"/>
        <v>11.918390573078392</v>
      </c>
      <c r="V1438">
        <f t="shared" si="90"/>
        <v>8.2687318321177372</v>
      </c>
      <c r="W1438">
        <v>1</v>
      </c>
      <c r="X1438">
        <v>0</v>
      </c>
      <c r="Y1438">
        <v>0</v>
      </c>
      <c r="Z1438">
        <f>'Résultat (Ln)'!F$30+'Résultat (Ln)'!F$31*Données!S1438+'Résultat (Ln)'!F$32*Données!T1438+'Résultat (Ln)'!F$33*Données!U1438+'Résultat (Ln)'!F$34*Données!V1438+'Résultat (Ln)'!F$35*Données!W1438+'Résultat (Ln)'!F$36*Données!X1438+'Résultat (Ln)'!F$37*Données!Y1438</f>
        <v>122557.8591657245</v>
      </c>
      <c r="AA1438">
        <f t="shared" si="91"/>
        <v>20442.140834275502</v>
      </c>
    </row>
    <row r="1439" spans="1:27" x14ac:dyDescent="0.25">
      <c r="A1439">
        <v>27000</v>
      </c>
      <c r="B1439">
        <v>1</v>
      </c>
      <c r="C1439">
        <v>19</v>
      </c>
      <c r="D1439">
        <v>0</v>
      </c>
      <c r="E1439">
        <v>25000</v>
      </c>
      <c r="F1439">
        <v>4601</v>
      </c>
      <c r="G1439">
        <v>1</v>
      </c>
      <c r="H1439">
        <v>0</v>
      </c>
      <c r="I1439">
        <v>0</v>
      </c>
      <c r="J1439">
        <v>8</v>
      </c>
      <c r="K1439">
        <v>1</v>
      </c>
      <c r="L1439">
        <f>Résultats!G$32+Résultats!G$33*Données!C1439+Résultats!G$34*Données!D1439+Résultats!G$35*Données!E1439+Résultats!G$36*Données!F1439+Résultats!G$37*Données!G1439+Résultats!G$38*Données!H1439+Résultats!G$39*Données!I1439</f>
        <v>45992.553066828856</v>
      </c>
      <c r="M1439">
        <f t="shared" si="88"/>
        <v>-18992.553066828856</v>
      </c>
      <c r="Q1439">
        <v>140000</v>
      </c>
      <c r="R1439">
        <v>1</v>
      </c>
      <c r="S1439">
        <v>35.900001525878913</v>
      </c>
      <c r="T1439">
        <v>0</v>
      </c>
      <c r="U1439">
        <f t="shared" si="89"/>
        <v>12.375815420117268</v>
      </c>
      <c r="V1439">
        <f t="shared" si="90"/>
        <v>8.1362255549084601</v>
      </c>
      <c r="W1439">
        <v>0</v>
      </c>
      <c r="X1439">
        <v>0</v>
      </c>
      <c r="Y1439">
        <v>0</v>
      </c>
      <c r="Z1439">
        <f>'Résultat (Ln)'!F$30+'Résultat (Ln)'!F$31*Données!S1439+'Résultat (Ln)'!F$32*Données!T1439+'Résultat (Ln)'!F$33*Données!U1439+'Résultat (Ln)'!F$34*Données!V1439+'Résultat (Ln)'!F$35*Données!W1439+'Résultat (Ln)'!F$36*Données!X1439+'Résultat (Ln)'!F$37*Données!Y1439</f>
        <v>168860.6869478898</v>
      </c>
      <c r="AA1439">
        <f t="shared" si="91"/>
        <v>-28860.686947889801</v>
      </c>
    </row>
    <row r="1440" spans="1:27" x14ac:dyDescent="0.25">
      <c r="A1440">
        <v>118000</v>
      </c>
      <c r="B1440">
        <v>1</v>
      </c>
      <c r="C1440">
        <v>36.299999237060547</v>
      </c>
      <c r="D1440">
        <v>0</v>
      </c>
      <c r="E1440">
        <v>148000</v>
      </c>
      <c r="F1440">
        <v>4301</v>
      </c>
      <c r="G1440">
        <v>1</v>
      </c>
      <c r="H1440">
        <v>0</v>
      </c>
      <c r="I1440">
        <v>1</v>
      </c>
      <c r="J1440">
        <v>31.819999694824219</v>
      </c>
      <c r="K1440">
        <v>1</v>
      </c>
      <c r="L1440">
        <f>Résultats!G$32+Résultats!G$33*Données!C1440+Résultats!G$34*Données!D1440+Résultats!G$35*Données!E1440+Résultats!G$36*Données!F1440+Résultats!G$37*Données!G1440+Résultats!G$38*Données!H1440+Résultats!G$39*Données!I1440</f>
        <v>132643.922443174</v>
      </c>
      <c r="M1440">
        <f t="shared" si="88"/>
        <v>-14643.922443174</v>
      </c>
      <c r="Q1440">
        <v>27000</v>
      </c>
      <c r="R1440">
        <v>1</v>
      </c>
      <c r="S1440">
        <v>19</v>
      </c>
      <c r="T1440">
        <v>0</v>
      </c>
      <c r="U1440">
        <f t="shared" si="89"/>
        <v>10.126631103850338</v>
      </c>
      <c r="V1440">
        <f t="shared" si="90"/>
        <v>8.4340289501554686</v>
      </c>
      <c r="W1440">
        <v>1</v>
      </c>
      <c r="X1440">
        <v>0</v>
      </c>
      <c r="Y1440">
        <v>0</v>
      </c>
      <c r="Z1440">
        <f>'Résultat (Ln)'!F$30+'Résultat (Ln)'!F$31*Données!S1440+'Résultat (Ln)'!F$32*Données!T1440+'Résultat (Ln)'!F$33*Données!U1440+'Résultat (Ln)'!F$34*Données!V1440+'Résultat (Ln)'!F$35*Données!W1440+'Résultat (Ln)'!F$36*Données!X1440+'Résultat (Ln)'!F$37*Données!Y1440</f>
        <v>-80028.230788766479</v>
      </c>
      <c r="AA1440">
        <f t="shared" si="91"/>
        <v>107028.23078876648</v>
      </c>
    </row>
    <row r="1441" spans="1:27" x14ac:dyDescent="0.25">
      <c r="A1441">
        <v>225000</v>
      </c>
      <c r="B1441">
        <v>1</v>
      </c>
      <c r="C1441">
        <v>28</v>
      </c>
      <c r="D1441">
        <v>0</v>
      </c>
      <c r="E1441">
        <v>290000</v>
      </c>
      <c r="F1441">
        <v>7637</v>
      </c>
      <c r="G1441">
        <v>1</v>
      </c>
      <c r="H1441">
        <v>0</v>
      </c>
      <c r="I1441">
        <v>0</v>
      </c>
      <c r="J1441">
        <v>28</v>
      </c>
      <c r="K1441">
        <v>1</v>
      </c>
      <c r="L1441">
        <f>Résultats!G$32+Résultats!G$33*Données!C1441+Résultats!G$34*Données!D1441+Résultats!G$35*Données!E1441+Résultats!G$36*Données!F1441+Résultats!G$37*Données!G1441+Résultats!G$38*Données!H1441+Résultats!G$39*Données!I1441</f>
        <v>185956.32511956742</v>
      </c>
      <c r="M1441">
        <f t="shared" si="88"/>
        <v>39043.674880432576</v>
      </c>
      <c r="Q1441">
        <v>118000</v>
      </c>
      <c r="R1441">
        <v>1</v>
      </c>
      <c r="S1441">
        <v>36.299999237060547</v>
      </c>
      <c r="T1441">
        <v>0</v>
      </c>
      <c r="U1441">
        <f t="shared" si="89"/>
        <v>11.904967552746252</v>
      </c>
      <c r="V1441">
        <f t="shared" si="90"/>
        <v>8.3666028327837356</v>
      </c>
      <c r="W1441">
        <v>1</v>
      </c>
      <c r="X1441">
        <v>0</v>
      </c>
      <c r="Y1441">
        <v>1</v>
      </c>
      <c r="Z1441">
        <f>'Résultat (Ln)'!F$30+'Résultat (Ln)'!F$31*Données!S1441+'Résultat (Ln)'!F$32*Données!T1441+'Résultat (Ln)'!F$33*Données!U1441+'Résultat (Ln)'!F$34*Données!V1441+'Résultat (Ln)'!F$35*Données!W1441+'Résultat (Ln)'!F$36*Données!X1441+'Résultat (Ln)'!F$37*Données!Y1441</f>
        <v>143938.77191713802</v>
      </c>
      <c r="AA1441">
        <f t="shared" si="91"/>
        <v>-25938.771917138016</v>
      </c>
    </row>
    <row r="1442" spans="1:27" x14ac:dyDescent="0.25">
      <c r="A1442">
        <v>34000</v>
      </c>
      <c r="B1442">
        <v>1</v>
      </c>
      <c r="C1442">
        <v>11</v>
      </c>
      <c r="D1442">
        <v>0</v>
      </c>
      <c r="E1442">
        <v>43000</v>
      </c>
      <c r="F1442">
        <v>8333</v>
      </c>
      <c r="G1442">
        <v>1</v>
      </c>
      <c r="H1442">
        <v>0</v>
      </c>
      <c r="I1442">
        <v>1</v>
      </c>
      <c r="J1442">
        <v>6</v>
      </c>
      <c r="K1442">
        <v>1</v>
      </c>
      <c r="L1442">
        <f>Résultats!G$32+Résultats!G$33*Données!C1442+Résultats!G$34*Données!D1442+Résultats!G$35*Données!E1442+Résultats!G$36*Données!F1442+Résultats!G$37*Données!G1442+Résultats!G$38*Données!H1442+Résultats!G$39*Données!I1442</f>
        <v>62365.628175963677</v>
      </c>
      <c r="M1442">
        <f t="shared" si="88"/>
        <v>-28365.628175963677</v>
      </c>
      <c r="Q1442">
        <v>225000</v>
      </c>
      <c r="R1442">
        <v>1</v>
      </c>
      <c r="S1442">
        <v>28</v>
      </c>
      <c r="T1442">
        <v>0</v>
      </c>
      <c r="U1442">
        <f t="shared" si="89"/>
        <v>12.577636201962656</v>
      </c>
      <c r="V1442">
        <f t="shared" si="90"/>
        <v>8.9407601348883841</v>
      </c>
      <c r="W1442">
        <v>1</v>
      </c>
      <c r="X1442">
        <v>0</v>
      </c>
      <c r="Y1442">
        <v>0</v>
      </c>
      <c r="Z1442">
        <f>'Résultat (Ln)'!F$30+'Résultat (Ln)'!F$31*Données!S1442+'Résultat (Ln)'!F$32*Données!T1442+'Résultat (Ln)'!F$33*Données!U1442+'Résultat (Ln)'!F$34*Données!V1442+'Résultat (Ln)'!F$35*Données!W1442+'Résultat (Ln)'!F$36*Données!X1442+'Résultat (Ln)'!F$37*Données!Y1442</f>
        <v>207918.69550366484</v>
      </c>
      <c r="AA1442">
        <f t="shared" si="91"/>
        <v>17081.304496335157</v>
      </c>
    </row>
    <row r="1443" spans="1:27" x14ac:dyDescent="0.25">
      <c r="A1443">
        <v>116000</v>
      </c>
      <c r="B1443">
        <v>1</v>
      </c>
      <c r="C1443">
        <v>27.60000038146973</v>
      </c>
      <c r="D1443">
        <v>0</v>
      </c>
      <c r="E1443">
        <v>145000</v>
      </c>
      <c r="F1443">
        <v>5500</v>
      </c>
      <c r="G1443">
        <v>0</v>
      </c>
      <c r="H1443">
        <v>0</v>
      </c>
      <c r="I1443">
        <v>0</v>
      </c>
      <c r="J1443">
        <v>26.409999847412109</v>
      </c>
      <c r="K1443">
        <v>0</v>
      </c>
      <c r="L1443">
        <f>Résultats!G$32+Résultats!G$33*Données!C1443+Résultats!G$34*Données!D1443+Résultats!G$35*Données!E1443+Résultats!G$36*Données!F1443+Résultats!G$37*Données!G1443+Résultats!G$38*Données!H1443+Résultats!G$39*Données!I1443</f>
        <v>106630.96336690457</v>
      </c>
      <c r="M1443">
        <f t="shared" si="88"/>
        <v>9369.0366330954275</v>
      </c>
      <c r="Q1443">
        <v>34000</v>
      </c>
      <c r="R1443">
        <v>1</v>
      </c>
      <c r="S1443">
        <v>11</v>
      </c>
      <c r="T1443">
        <v>0</v>
      </c>
      <c r="U1443">
        <f t="shared" si="89"/>
        <v>10.668955394675699</v>
      </c>
      <c r="V1443">
        <f t="shared" si="90"/>
        <v>9.0279788143822071</v>
      </c>
      <c r="W1443">
        <v>1</v>
      </c>
      <c r="X1443">
        <v>0</v>
      </c>
      <c r="Y1443">
        <v>1</v>
      </c>
      <c r="Z1443">
        <f>'Résultat (Ln)'!F$30+'Résultat (Ln)'!F$31*Données!S1443+'Résultat (Ln)'!F$32*Données!T1443+'Résultat (Ln)'!F$33*Données!U1443+'Résultat (Ln)'!F$34*Données!V1443+'Résultat (Ln)'!F$35*Données!W1443+'Résultat (Ln)'!F$36*Données!X1443+'Résultat (Ln)'!F$37*Données!Y1443</f>
        <v>-925.07322841606947</v>
      </c>
      <c r="AA1443">
        <f t="shared" si="91"/>
        <v>34925.073228416069</v>
      </c>
    </row>
    <row r="1444" spans="1:27" x14ac:dyDescent="0.25">
      <c r="A1444">
        <v>145000</v>
      </c>
      <c r="B1444">
        <v>1</v>
      </c>
      <c r="C1444">
        <v>27</v>
      </c>
      <c r="D1444">
        <v>0</v>
      </c>
      <c r="E1444">
        <v>170000</v>
      </c>
      <c r="F1444">
        <v>2719</v>
      </c>
      <c r="G1444">
        <v>1</v>
      </c>
      <c r="H1444">
        <v>0</v>
      </c>
      <c r="I1444">
        <v>0</v>
      </c>
      <c r="J1444">
        <v>24</v>
      </c>
      <c r="K1444">
        <v>1</v>
      </c>
      <c r="L1444">
        <f>Résultats!G$32+Résultats!G$33*Données!C1444+Résultats!G$34*Données!D1444+Résultats!G$35*Données!E1444+Résultats!G$36*Données!F1444+Résultats!G$37*Données!G1444+Résultats!G$38*Données!H1444+Résultats!G$39*Données!I1444</f>
        <v>119243.22423494817</v>
      </c>
      <c r="M1444">
        <f t="shared" si="88"/>
        <v>25756.775765051832</v>
      </c>
      <c r="Q1444">
        <v>116000</v>
      </c>
      <c r="R1444">
        <v>1</v>
      </c>
      <c r="S1444">
        <v>27.60000038146973</v>
      </c>
      <c r="T1444">
        <v>0</v>
      </c>
      <c r="U1444">
        <f t="shared" si="89"/>
        <v>11.884489021402711</v>
      </c>
      <c r="V1444">
        <f t="shared" si="90"/>
        <v>8.6125033712205621</v>
      </c>
      <c r="W1444">
        <v>0</v>
      </c>
      <c r="X1444">
        <v>0</v>
      </c>
      <c r="Y1444">
        <v>0</v>
      </c>
      <c r="Z1444">
        <f>'Résultat (Ln)'!F$30+'Résultat (Ln)'!F$31*Données!S1444+'Résultat (Ln)'!F$32*Données!T1444+'Résultat (Ln)'!F$33*Données!U1444+'Résultat (Ln)'!F$34*Données!V1444+'Résultat (Ln)'!F$35*Données!W1444+'Résultat (Ln)'!F$36*Données!X1444+'Résultat (Ln)'!F$37*Données!Y1444</f>
        <v>119407.32290172708</v>
      </c>
      <c r="AA1444">
        <f t="shared" si="91"/>
        <v>-3407.3229017270787</v>
      </c>
    </row>
    <row r="1445" spans="1:27" x14ac:dyDescent="0.25">
      <c r="A1445">
        <v>149000</v>
      </c>
      <c r="B1445">
        <v>1</v>
      </c>
      <c r="C1445">
        <v>35</v>
      </c>
      <c r="D1445">
        <v>0</v>
      </c>
      <c r="E1445">
        <v>166000</v>
      </c>
      <c r="F1445">
        <v>4497</v>
      </c>
      <c r="G1445">
        <v>1</v>
      </c>
      <c r="H1445">
        <v>0</v>
      </c>
      <c r="I1445">
        <v>0</v>
      </c>
      <c r="J1445">
        <v>23</v>
      </c>
      <c r="K1445">
        <v>1</v>
      </c>
      <c r="L1445">
        <f>Résultats!G$32+Résultats!G$33*Données!C1445+Résultats!G$34*Données!D1445+Résultats!G$35*Données!E1445+Résultats!G$36*Données!F1445+Résultats!G$37*Données!G1445+Résultats!G$38*Données!H1445+Résultats!G$39*Données!I1445</f>
        <v>130010.1601295134</v>
      </c>
      <c r="M1445">
        <f t="shared" si="88"/>
        <v>18989.839870486598</v>
      </c>
      <c r="Q1445">
        <v>145000</v>
      </c>
      <c r="R1445">
        <v>1</v>
      </c>
      <c r="S1445">
        <v>27</v>
      </c>
      <c r="T1445">
        <v>0</v>
      </c>
      <c r="U1445">
        <f t="shared" si="89"/>
        <v>12.043553716032399</v>
      </c>
      <c r="V1445">
        <f t="shared" si="90"/>
        <v>7.9080194446324708</v>
      </c>
      <c r="W1445">
        <v>1</v>
      </c>
      <c r="X1445">
        <v>0</v>
      </c>
      <c r="Y1445">
        <v>0</v>
      </c>
      <c r="Z1445">
        <f>'Résultat (Ln)'!F$30+'Résultat (Ln)'!F$31*Données!S1445+'Résultat (Ln)'!F$32*Données!T1445+'Résultat (Ln)'!F$33*Données!U1445+'Résultat (Ln)'!F$34*Données!V1445+'Résultat (Ln)'!F$35*Données!W1445+'Résultat (Ln)'!F$36*Données!X1445+'Résultat (Ln)'!F$37*Données!Y1445</f>
        <v>120481.3484564403</v>
      </c>
      <c r="AA1445">
        <f t="shared" si="91"/>
        <v>24518.651543559696</v>
      </c>
    </row>
    <row r="1446" spans="1:27" x14ac:dyDescent="0.25">
      <c r="A1446">
        <v>300000</v>
      </c>
      <c r="B1446">
        <v>1</v>
      </c>
      <c r="C1446">
        <v>26</v>
      </c>
      <c r="D1446">
        <v>0</v>
      </c>
      <c r="E1446">
        <v>424000</v>
      </c>
      <c r="F1446">
        <v>15758</v>
      </c>
      <c r="G1446">
        <v>1</v>
      </c>
      <c r="H1446">
        <v>0</v>
      </c>
      <c r="I1446">
        <v>1</v>
      </c>
      <c r="J1446">
        <v>21</v>
      </c>
      <c r="K1446">
        <v>0</v>
      </c>
      <c r="L1446">
        <f>Résultats!G$32+Résultats!G$33*Données!C1446+Résultats!G$34*Données!D1446+Résultats!G$35*Données!E1446+Résultats!G$36*Données!F1446+Résultats!G$37*Données!G1446+Résultats!G$38*Données!H1446+Résultats!G$39*Données!I1446</f>
        <v>271892.95041773486</v>
      </c>
      <c r="M1446">
        <f t="shared" si="88"/>
        <v>28107.049582265143</v>
      </c>
      <c r="Q1446">
        <v>149000</v>
      </c>
      <c r="R1446">
        <v>1</v>
      </c>
      <c r="S1446">
        <v>35</v>
      </c>
      <c r="T1446">
        <v>0</v>
      </c>
      <c r="U1446">
        <f t="shared" si="89"/>
        <v>12.01974306733868</v>
      </c>
      <c r="V1446">
        <f t="shared" si="90"/>
        <v>8.4111657867707077</v>
      </c>
      <c r="W1446">
        <v>1</v>
      </c>
      <c r="X1446">
        <v>0</v>
      </c>
      <c r="Y1446">
        <v>0</v>
      </c>
      <c r="Z1446">
        <f>'Résultat (Ln)'!F$30+'Résultat (Ln)'!F$31*Données!S1446+'Résultat (Ln)'!F$32*Données!T1446+'Résultat (Ln)'!F$33*Données!U1446+'Résultat (Ln)'!F$34*Données!V1446+'Résultat (Ln)'!F$35*Données!W1446+'Résultat (Ln)'!F$36*Données!X1446+'Résultat (Ln)'!F$37*Données!Y1446</f>
        <v>141816.41834080813</v>
      </c>
      <c r="AA1446">
        <f t="shared" si="91"/>
        <v>7183.5816591918701</v>
      </c>
    </row>
    <row r="1447" spans="1:27" x14ac:dyDescent="0.25">
      <c r="A1447">
        <v>223000</v>
      </c>
      <c r="B1447">
        <v>1</v>
      </c>
      <c r="C1447">
        <v>37</v>
      </c>
      <c r="D1447">
        <v>0</v>
      </c>
      <c r="E1447">
        <v>247000</v>
      </c>
      <c r="F1447">
        <v>3833</v>
      </c>
      <c r="G1447">
        <v>1</v>
      </c>
      <c r="H1447">
        <v>0</v>
      </c>
      <c r="I1447">
        <v>0</v>
      </c>
      <c r="J1447">
        <v>28</v>
      </c>
      <c r="K1447">
        <v>1</v>
      </c>
      <c r="L1447">
        <f>Résultats!G$32+Résultats!G$33*Données!C1447+Résultats!G$34*Données!D1447+Résultats!G$35*Données!E1447+Résultats!G$36*Données!F1447+Résultats!G$37*Données!G1447+Résultats!G$38*Données!H1447+Résultats!G$39*Données!I1447</f>
        <v>168844.02483936923</v>
      </c>
      <c r="M1447">
        <f t="shared" si="88"/>
        <v>54155.975160630769</v>
      </c>
      <c r="Q1447">
        <v>300000</v>
      </c>
      <c r="R1447">
        <v>1</v>
      </c>
      <c r="S1447">
        <v>26</v>
      </c>
      <c r="T1447">
        <v>0</v>
      </c>
      <c r="U1447">
        <f t="shared" si="89"/>
        <v>12.957488734214095</v>
      </c>
      <c r="V1447">
        <f t="shared" si="90"/>
        <v>9.6651034518056331</v>
      </c>
      <c r="W1447">
        <v>1</v>
      </c>
      <c r="X1447">
        <v>0</v>
      </c>
      <c r="Y1447">
        <v>1</v>
      </c>
      <c r="Z1447">
        <f>'Résultat (Ln)'!F$30+'Résultat (Ln)'!F$31*Données!S1447+'Résultat (Ln)'!F$32*Données!T1447+'Résultat (Ln)'!F$33*Données!U1447+'Résultat (Ln)'!F$34*Données!V1447+'Résultat (Ln)'!F$35*Données!W1447+'Résultat (Ln)'!F$36*Données!X1447+'Résultat (Ln)'!F$37*Données!Y1447</f>
        <v>280594.83446591825</v>
      </c>
      <c r="AA1447">
        <f t="shared" si="91"/>
        <v>19405.165534081752</v>
      </c>
    </row>
    <row r="1448" spans="1:27" x14ac:dyDescent="0.25">
      <c r="A1448">
        <v>173000</v>
      </c>
      <c r="B1448">
        <v>1</v>
      </c>
      <c r="C1448">
        <v>34</v>
      </c>
      <c r="D1448">
        <v>0</v>
      </c>
      <c r="E1448">
        <v>200000</v>
      </c>
      <c r="F1448">
        <v>3708</v>
      </c>
      <c r="G1448">
        <v>1</v>
      </c>
      <c r="H1448">
        <v>1</v>
      </c>
      <c r="I1448">
        <v>0</v>
      </c>
      <c r="J1448">
        <v>29</v>
      </c>
      <c r="K1448">
        <v>1</v>
      </c>
      <c r="L1448">
        <f>Résultats!G$32+Résultats!G$33*Données!C1448+Résultats!G$34*Données!D1448+Résultats!G$35*Données!E1448+Résultats!G$36*Données!F1448+Résultats!G$37*Données!G1448+Résultats!G$38*Données!H1448+Résultats!G$39*Données!I1448</f>
        <v>141583.71017450601</v>
      </c>
      <c r="M1448">
        <f t="shared" si="88"/>
        <v>31416.289825493994</v>
      </c>
      <c r="Q1448">
        <v>223000</v>
      </c>
      <c r="R1448">
        <v>1</v>
      </c>
      <c r="S1448">
        <v>37</v>
      </c>
      <c r="T1448">
        <v>0</v>
      </c>
      <c r="U1448">
        <f t="shared" si="89"/>
        <v>12.417143615610113</v>
      </c>
      <c r="V1448">
        <f t="shared" si="90"/>
        <v>8.2514030653805559</v>
      </c>
      <c r="W1448">
        <v>1</v>
      </c>
      <c r="X1448">
        <v>0</v>
      </c>
      <c r="Y1448">
        <v>0</v>
      </c>
      <c r="Z1448">
        <f>'Résultat (Ln)'!F$30+'Résultat (Ln)'!F$31*Données!S1448+'Résultat (Ln)'!F$32*Données!T1448+'Résultat (Ln)'!F$33*Données!U1448+'Résultat (Ln)'!F$34*Données!V1448+'Résultat (Ln)'!F$35*Données!W1448+'Résultat (Ln)'!F$36*Données!X1448+'Résultat (Ln)'!F$37*Données!Y1448</f>
        <v>182379.40494031089</v>
      </c>
      <c r="AA1448">
        <f t="shared" si="91"/>
        <v>40620.595059689105</v>
      </c>
    </row>
    <row r="1449" spans="1:27" x14ac:dyDescent="0.25">
      <c r="A1449">
        <v>225000</v>
      </c>
      <c r="B1449">
        <v>1</v>
      </c>
      <c r="C1449">
        <v>29</v>
      </c>
      <c r="D1449">
        <v>0</v>
      </c>
      <c r="E1449">
        <v>250000</v>
      </c>
      <c r="F1449">
        <v>5583</v>
      </c>
      <c r="G1449">
        <v>1</v>
      </c>
      <c r="H1449">
        <v>0</v>
      </c>
      <c r="I1449">
        <v>1</v>
      </c>
      <c r="J1449">
        <v>24</v>
      </c>
      <c r="K1449">
        <v>1</v>
      </c>
      <c r="L1449">
        <f>Résultats!G$32+Résultats!G$33*Données!C1449+Résultats!G$34*Données!D1449+Résultats!G$35*Données!E1449+Résultats!G$36*Données!F1449+Résultats!G$37*Données!G1449+Résultats!G$38*Données!H1449+Résultats!G$39*Données!I1449</f>
        <v>174372.10635948673</v>
      </c>
      <c r="M1449">
        <f t="shared" si="88"/>
        <v>50627.89364051327</v>
      </c>
      <c r="Q1449">
        <v>173000</v>
      </c>
      <c r="R1449">
        <v>1</v>
      </c>
      <c r="S1449">
        <v>34</v>
      </c>
      <c r="T1449">
        <v>0</v>
      </c>
      <c r="U1449">
        <f t="shared" si="89"/>
        <v>12.206072645530174</v>
      </c>
      <c r="V1449">
        <f t="shared" si="90"/>
        <v>8.2182479266857449</v>
      </c>
      <c r="W1449">
        <v>1</v>
      </c>
      <c r="X1449">
        <v>1</v>
      </c>
      <c r="Y1449">
        <v>0</v>
      </c>
      <c r="Z1449">
        <f>'Résultat (Ln)'!F$30+'Résultat (Ln)'!F$31*Données!S1449+'Résultat (Ln)'!F$32*Données!T1449+'Résultat (Ln)'!F$33*Données!U1449+'Résultat (Ln)'!F$34*Données!V1449+'Résultat (Ln)'!F$35*Données!W1449+'Résultat (Ln)'!F$36*Données!X1449+'Résultat (Ln)'!F$37*Données!Y1449</f>
        <v>154980.00862057655</v>
      </c>
      <c r="AA1449">
        <f t="shared" si="91"/>
        <v>18019.991379423445</v>
      </c>
    </row>
    <row r="1450" spans="1:27" x14ac:dyDescent="0.25">
      <c r="A1450">
        <v>180000</v>
      </c>
      <c r="B1450">
        <v>1</v>
      </c>
      <c r="C1450">
        <v>26</v>
      </c>
      <c r="D1450">
        <v>0</v>
      </c>
      <c r="E1450">
        <v>202000</v>
      </c>
      <c r="F1450">
        <v>4002</v>
      </c>
      <c r="G1450">
        <v>0</v>
      </c>
      <c r="H1450">
        <v>0</v>
      </c>
      <c r="I1450">
        <v>1</v>
      </c>
      <c r="J1450">
        <v>21</v>
      </c>
      <c r="K1450">
        <v>1</v>
      </c>
      <c r="L1450">
        <f>Résultats!G$32+Résultats!G$33*Données!C1450+Résultats!G$34*Données!D1450+Résultats!G$35*Données!E1450+Résultats!G$36*Données!F1450+Résultats!G$37*Données!G1450+Résultats!G$38*Données!H1450+Résultats!G$39*Données!I1450</f>
        <v>138432.07801953919</v>
      </c>
      <c r="M1450">
        <f t="shared" si="88"/>
        <v>41567.921980460815</v>
      </c>
      <c r="Q1450">
        <v>225000</v>
      </c>
      <c r="R1450">
        <v>1</v>
      </c>
      <c r="S1450">
        <v>29</v>
      </c>
      <c r="T1450">
        <v>0</v>
      </c>
      <c r="U1450">
        <f t="shared" si="89"/>
        <v>12.429216196844383</v>
      </c>
      <c r="V1450">
        <f t="shared" si="90"/>
        <v>8.6274815453103599</v>
      </c>
      <c r="W1450">
        <v>1</v>
      </c>
      <c r="X1450">
        <v>0</v>
      </c>
      <c r="Y1450">
        <v>1</v>
      </c>
      <c r="Z1450">
        <f>'Résultat (Ln)'!F$30+'Résultat (Ln)'!F$31*Données!S1450+'Résultat (Ln)'!F$32*Données!T1450+'Résultat (Ln)'!F$33*Données!U1450+'Résultat (Ln)'!F$34*Données!V1450+'Résultat (Ln)'!F$35*Données!W1450+'Résultat (Ln)'!F$36*Données!X1450+'Résultat (Ln)'!F$37*Données!Y1450</f>
        <v>198531.55444362332</v>
      </c>
      <c r="AA1450">
        <f t="shared" si="91"/>
        <v>26468.445556376682</v>
      </c>
    </row>
    <row r="1451" spans="1:27" x14ac:dyDescent="0.25">
      <c r="A1451">
        <v>68000</v>
      </c>
      <c r="B1451">
        <v>1</v>
      </c>
      <c r="C1451">
        <v>20</v>
      </c>
      <c r="D1451">
        <v>0</v>
      </c>
      <c r="E1451">
        <v>164000</v>
      </c>
      <c r="F1451">
        <v>3708</v>
      </c>
      <c r="G1451">
        <v>1</v>
      </c>
      <c r="H1451">
        <v>0</v>
      </c>
      <c r="I1451">
        <v>0</v>
      </c>
      <c r="J1451">
        <v>17.620000839233398</v>
      </c>
      <c r="K1451">
        <v>1</v>
      </c>
      <c r="L1451">
        <f>Résultats!G$32+Résultats!G$33*Données!C1451+Résultats!G$34*Données!D1451+Résultats!G$35*Données!E1451+Résultats!G$36*Données!F1451+Résultats!G$37*Données!G1451+Résultats!G$38*Données!H1451+Résultats!G$39*Données!I1451</f>
        <v>110317.28367382083</v>
      </c>
      <c r="M1451">
        <f t="shared" si="88"/>
        <v>-42317.283673820828</v>
      </c>
      <c r="Q1451">
        <v>180000</v>
      </c>
      <c r="R1451">
        <v>1</v>
      </c>
      <c r="S1451">
        <v>26</v>
      </c>
      <c r="T1451">
        <v>0</v>
      </c>
      <c r="U1451">
        <f t="shared" si="89"/>
        <v>12.216022976383341</v>
      </c>
      <c r="V1451">
        <f t="shared" si="90"/>
        <v>8.2945495151436788</v>
      </c>
      <c r="W1451">
        <v>0</v>
      </c>
      <c r="X1451">
        <v>0</v>
      </c>
      <c r="Y1451">
        <v>1</v>
      </c>
      <c r="Z1451">
        <f>'Résultat (Ln)'!F$30+'Résultat (Ln)'!F$31*Données!S1451+'Résultat (Ln)'!F$32*Données!T1451+'Résultat (Ln)'!F$33*Données!U1451+'Résultat (Ln)'!F$34*Données!V1451+'Résultat (Ln)'!F$35*Données!W1451+'Résultat (Ln)'!F$36*Données!X1451+'Résultat (Ln)'!F$37*Données!Y1451</f>
        <v>158160.6898920697</v>
      </c>
      <c r="AA1451">
        <f t="shared" si="91"/>
        <v>21839.310107930301</v>
      </c>
    </row>
    <row r="1452" spans="1:27" x14ac:dyDescent="0.25">
      <c r="A1452">
        <v>99000</v>
      </c>
      <c r="B1452">
        <v>1</v>
      </c>
      <c r="C1452">
        <v>31</v>
      </c>
      <c r="D1452">
        <v>0</v>
      </c>
      <c r="E1452">
        <v>124000</v>
      </c>
      <c r="F1452">
        <v>3508</v>
      </c>
      <c r="G1452">
        <v>0</v>
      </c>
      <c r="H1452">
        <v>0</v>
      </c>
      <c r="I1452">
        <v>0</v>
      </c>
      <c r="J1452">
        <v>30</v>
      </c>
      <c r="K1452">
        <v>1</v>
      </c>
      <c r="L1452">
        <f>Résultats!G$32+Résultats!G$33*Données!C1452+Résultats!G$34*Données!D1452+Résultats!G$35*Données!E1452+Résultats!G$36*Données!F1452+Résultats!G$37*Données!G1452+Résultats!G$38*Données!H1452+Résultats!G$39*Données!I1452</f>
        <v>96870.35114301127</v>
      </c>
      <c r="M1452">
        <f t="shared" si="88"/>
        <v>2129.6488569887297</v>
      </c>
      <c r="Q1452">
        <v>68000</v>
      </c>
      <c r="R1452">
        <v>1</v>
      </c>
      <c r="S1452">
        <v>20</v>
      </c>
      <c r="T1452">
        <v>0</v>
      </c>
      <c r="U1452">
        <f t="shared" si="89"/>
        <v>12.007621706806335</v>
      </c>
      <c r="V1452">
        <f t="shared" si="90"/>
        <v>8.2182479266857449</v>
      </c>
      <c r="W1452">
        <v>1</v>
      </c>
      <c r="X1452">
        <v>0</v>
      </c>
      <c r="Y1452">
        <v>0</v>
      </c>
      <c r="Z1452">
        <f>'Résultat (Ln)'!F$30+'Résultat (Ln)'!F$31*Données!S1452+'Résultat (Ln)'!F$32*Données!T1452+'Résultat (Ln)'!F$33*Données!U1452+'Résultat (Ln)'!F$34*Données!V1452+'Résultat (Ln)'!F$35*Données!W1452+'Résultat (Ln)'!F$36*Données!X1452+'Résultat (Ln)'!F$37*Données!Y1452</f>
        <v>116775.91334350231</v>
      </c>
      <c r="AA1452">
        <f t="shared" si="91"/>
        <v>-48775.91334350231</v>
      </c>
    </row>
    <row r="1453" spans="1:27" x14ac:dyDescent="0.25">
      <c r="A1453">
        <v>136000</v>
      </c>
      <c r="B1453">
        <v>1</v>
      </c>
      <c r="C1453">
        <v>38</v>
      </c>
      <c r="D1453">
        <v>0</v>
      </c>
      <c r="E1453">
        <v>170000</v>
      </c>
      <c r="F1453">
        <v>4354</v>
      </c>
      <c r="G1453">
        <v>0</v>
      </c>
      <c r="H1453">
        <v>0</v>
      </c>
      <c r="I1453">
        <v>0</v>
      </c>
      <c r="J1453">
        <v>31</v>
      </c>
      <c r="K1453">
        <v>1</v>
      </c>
      <c r="L1453">
        <f>Résultats!G$32+Résultats!G$33*Données!C1453+Résultats!G$34*Données!D1453+Résultats!G$35*Données!E1453+Résultats!G$36*Données!F1453+Résultats!G$37*Données!G1453+Résultats!G$38*Données!H1453+Résultats!G$39*Données!I1453</f>
        <v>128030.26226720535</v>
      </c>
      <c r="M1453">
        <f t="shared" si="88"/>
        <v>7969.7377327946451</v>
      </c>
      <c r="Q1453">
        <v>99000</v>
      </c>
      <c r="R1453">
        <v>1</v>
      </c>
      <c r="S1453">
        <v>31</v>
      </c>
      <c r="T1453">
        <v>0</v>
      </c>
      <c r="U1453">
        <f t="shared" si="89"/>
        <v>11.728036844587175</v>
      </c>
      <c r="V1453">
        <f t="shared" si="90"/>
        <v>8.1628013534920729</v>
      </c>
      <c r="W1453">
        <v>0</v>
      </c>
      <c r="X1453">
        <v>0</v>
      </c>
      <c r="Y1453">
        <v>0</v>
      </c>
      <c r="Z1453">
        <f>'Résultat (Ln)'!F$30+'Résultat (Ln)'!F$31*Données!S1453+'Résultat (Ln)'!F$32*Données!T1453+'Résultat (Ln)'!F$33*Données!U1453+'Résultat (Ln)'!F$34*Données!V1453+'Résultat (Ln)'!F$35*Données!W1453+'Résultat (Ln)'!F$36*Données!X1453+'Résultat (Ln)'!F$37*Données!Y1453</f>
        <v>94179.032377290889</v>
      </c>
      <c r="AA1453">
        <f t="shared" si="91"/>
        <v>4820.9676227091113</v>
      </c>
    </row>
    <row r="1454" spans="1:27" x14ac:dyDescent="0.25">
      <c r="A1454">
        <v>160000</v>
      </c>
      <c r="B1454">
        <v>1</v>
      </c>
      <c r="C1454">
        <v>31</v>
      </c>
      <c r="D1454">
        <v>0</v>
      </c>
      <c r="E1454">
        <v>240000</v>
      </c>
      <c r="F1454">
        <v>8334</v>
      </c>
      <c r="G1454">
        <v>1</v>
      </c>
      <c r="H1454">
        <v>0</v>
      </c>
      <c r="I1454">
        <v>0</v>
      </c>
      <c r="J1454">
        <v>24</v>
      </c>
      <c r="K1454">
        <v>1</v>
      </c>
      <c r="L1454">
        <f>Résultats!G$32+Résultats!G$33*Données!C1454+Résultats!G$34*Données!D1454+Résultats!G$35*Données!E1454+Résultats!G$36*Données!F1454+Résultats!G$37*Données!G1454+Résultats!G$38*Données!H1454+Résultats!G$39*Données!I1454</f>
        <v>167405.31061722143</v>
      </c>
      <c r="M1454">
        <f t="shared" si="88"/>
        <v>-7405.310617221432</v>
      </c>
      <c r="Q1454">
        <v>136000</v>
      </c>
      <c r="R1454">
        <v>1</v>
      </c>
      <c r="S1454">
        <v>38</v>
      </c>
      <c r="T1454">
        <v>0</v>
      </c>
      <c r="U1454">
        <f t="shared" si="89"/>
        <v>12.043553716032399</v>
      </c>
      <c r="V1454">
        <f t="shared" si="90"/>
        <v>8.3788502417944919</v>
      </c>
      <c r="W1454">
        <v>0</v>
      </c>
      <c r="X1454">
        <v>0</v>
      </c>
      <c r="Y1454">
        <v>0</v>
      </c>
      <c r="Z1454">
        <f>'Résultat (Ln)'!F$30+'Résultat (Ln)'!F$31*Données!S1454+'Résultat (Ln)'!F$32*Données!T1454+'Résultat (Ln)'!F$33*Données!U1454+'Résultat (Ln)'!F$34*Données!V1454+'Résultat (Ln)'!F$35*Données!W1454+'Résultat (Ln)'!F$36*Données!X1454+'Résultat (Ln)'!F$37*Données!Y1454</f>
        <v>142614.5912772115</v>
      </c>
      <c r="AA1454">
        <f t="shared" si="91"/>
        <v>-6614.5912772114971</v>
      </c>
    </row>
    <row r="1455" spans="1:27" x14ac:dyDescent="0.25">
      <c r="A1455">
        <v>132000</v>
      </c>
      <c r="B1455">
        <v>1</v>
      </c>
      <c r="C1455">
        <v>33</v>
      </c>
      <c r="D1455">
        <v>0</v>
      </c>
      <c r="E1455">
        <v>174000</v>
      </c>
      <c r="F1455">
        <v>3207</v>
      </c>
      <c r="G1455">
        <v>1</v>
      </c>
      <c r="H1455">
        <v>0</v>
      </c>
      <c r="I1455">
        <v>0</v>
      </c>
      <c r="J1455">
        <v>27</v>
      </c>
      <c r="K1455">
        <v>1</v>
      </c>
      <c r="L1455">
        <f>Résultats!G$32+Résultats!G$33*Données!C1455+Résultats!G$34*Données!D1455+Résultats!G$35*Données!E1455+Résultats!G$36*Données!F1455+Résultats!G$37*Données!G1455+Résultats!G$38*Données!H1455+Résultats!G$39*Données!I1455</f>
        <v>128948.69981883388</v>
      </c>
      <c r="M1455">
        <f t="shared" si="88"/>
        <v>3051.3001811661234</v>
      </c>
      <c r="Q1455">
        <v>160000</v>
      </c>
      <c r="R1455">
        <v>1</v>
      </c>
      <c r="S1455">
        <v>31</v>
      </c>
      <c r="T1455">
        <v>0</v>
      </c>
      <c r="U1455">
        <f t="shared" si="89"/>
        <v>12.388394202324129</v>
      </c>
      <c r="V1455">
        <f t="shared" si="90"/>
        <v>9.0280988119823995</v>
      </c>
      <c r="W1455">
        <v>1</v>
      </c>
      <c r="X1455">
        <v>0</v>
      </c>
      <c r="Y1455">
        <v>0</v>
      </c>
      <c r="Z1455">
        <f>'Résultat (Ln)'!F$30+'Résultat (Ln)'!F$31*Données!S1455+'Résultat (Ln)'!F$32*Données!T1455+'Résultat (Ln)'!F$33*Données!U1455+'Résultat (Ln)'!F$34*Données!V1455+'Résultat (Ln)'!F$35*Données!W1455+'Résultat (Ln)'!F$36*Données!X1455+'Résultat (Ln)'!F$37*Données!Y1455</f>
        <v>193748.39752483979</v>
      </c>
      <c r="AA1455">
        <f t="shared" si="91"/>
        <v>-33748.397524839791</v>
      </c>
    </row>
    <row r="1456" spans="1:27" x14ac:dyDescent="0.25">
      <c r="A1456">
        <v>187000</v>
      </c>
      <c r="B1456">
        <v>1</v>
      </c>
      <c r="C1456">
        <v>29.60000038146973</v>
      </c>
      <c r="D1456">
        <v>0</v>
      </c>
      <c r="E1456">
        <v>345000</v>
      </c>
      <c r="F1456">
        <v>6125</v>
      </c>
      <c r="G1456">
        <v>1</v>
      </c>
      <c r="H1456">
        <v>0</v>
      </c>
      <c r="I1456">
        <v>0</v>
      </c>
      <c r="J1456">
        <v>23.39999961853027</v>
      </c>
      <c r="K1456">
        <v>1</v>
      </c>
      <c r="L1456">
        <f>Résultats!G$32+Résultats!G$33*Données!C1456+Résultats!G$34*Données!D1456+Résultats!G$35*Données!E1456+Résultats!G$36*Données!F1456+Résultats!G$37*Données!G1456+Résultats!G$38*Données!H1456+Résultats!G$39*Données!I1456</f>
        <v>210546.69344431011</v>
      </c>
      <c r="M1456">
        <f t="shared" si="88"/>
        <v>-23546.693444310105</v>
      </c>
      <c r="Q1456">
        <v>132000</v>
      </c>
      <c r="R1456">
        <v>1</v>
      </c>
      <c r="S1456">
        <v>33</v>
      </c>
      <c r="T1456">
        <v>0</v>
      </c>
      <c r="U1456">
        <f t="shared" si="89"/>
        <v>12.066810578196666</v>
      </c>
      <c r="V1456">
        <f t="shared" si="90"/>
        <v>8.0730911996931543</v>
      </c>
      <c r="W1456">
        <v>1</v>
      </c>
      <c r="X1456">
        <v>0</v>
      </c>
      <c r="Y1456">
        <v>0</v>
      </c>
      <c r="Z1456">
        <f>'Résultat (Ln)'!F$30+'Résultat (Ln)'!F$31*Données!S1456+'Résultat (Ln)'!F$32*Données!T1456+'Résultat (Ln)'!F$33*Données!U1456+'Résultat (Ln)'!F$34*Données!V1456+'Résultat (Ln)'!F$35*Données!W1456+'Résultat (Ln)'!F$36*Données!X1456+'Résultat (Ln)'!F$37*Données!Y1456</f>
        <v>134936.19503869215</v>
      </c>
      <c r="AA1456">
        <f t="shared" si="91"/>
        <v>-2936.1950386921526</v>
      </c>
    </row>
    <row r="1457" spans="1:27" x14ac:dyDescent="0.25">
      <c r="A1457">
        <v>99000</v>
      </c>
      <c r="B1457">
        <v>1</v>
      </c>
      <c r="C1457">
        <v>28.70000076293945</v>
      </c>
      <c r="D1457">
        <v>0</v>
      </c>
      <c r="E1457">
        <v>110000</v>
      </c>
      <c r="F1457">
        <v>1635</v>
      </c>
      <c r="G1457">
        <v>1</v>
      </c>
      <c r="H1457">
        <v>0</v>
      </c>
      <c r="I1457">
        <v>0</v>
      </c>
      <c r="J1457">
        <v>26.89999961853027</v>
      </c>
      <c r="K1457">
        <v>0</v>
      </c>
      <c r="L1457">
        <f>Résultats!G$32+Résultats!G$33*Données!C1457+Résultats!G$34*Données!D1457+Résultats!G$35*Données!E1457+Résultats!G$36*Données!F1457+Résultats!G$37*Données!G1457+Résultats!G$38*Données!H1457+Résultats!G$39*Données!I1457</f>
        <v>91078.207130977768</v>
      </c>
      <c r="M1457">
        <f t="shared" si="88"/>
        <v>7921.7928690222325</v>
      </c>
      <c r="Q1457">
        <v>187000</v>
      </c>
      <c r="R1457">
        <v>1</v>
      </c>
      <c r="S1457">
        <v>29.60000038146973</v>
      </c>
      <c r="T1457">
        <v>0</v>
      </c>
      <c r="U1457">
        <f t="shared" si="89"/>
        <v>12.751299696013497</v>
      </c>
      <c r="V1457">
        <f t="shared" si="90"/>
        <v>8.7201340354129275</v>
      </c>
      <c r="W1457">
        <v>1</v>
      </c>
      <c r="X1457">
        <v>0</v>
      </c>
      <c r="Y1457">
        <v>0</v>
      </c>
      <c r="Z1457">
        <f>'Résultat (Ln)'!F$30+'Résultat (Ln)'!F$31*Données!S1457+'Résultat (Ln)'!F$32*Données!T1457+'Résultat (Ln)'!F$33*Données!U1457+'Résultat (Ln)'!F$34*Données!V1457+'Résultat (Ln)'!F$35*Données!W1457+'Résultat (Ln)'!F$36*Données!X1457+'Résultat (Ln)'!F$37*Données!Y1457</f>
        <v>222302.28423639302</v>
      </c>
      <c r="AA1457">
        <f t="shared" si="91"/>
        <v>-35302.284236393025</v>
      </c>
    </row>
    <row r="1458" spans="1:27" x14ac:dyDescent="0.25">
      <c r="A1458">
        <v>107000</v>
      </c>
      <c r="B1458">
        <v>1</v>
      </c>
      <c r="C1458">
        <v>33</v>
      </c>
      <c r="D1458">
        <v>0</v>
      </c>
      <c r="E1458">
        <v>147000</v>
      </c>
      <c r="F1458">
        <v>3886</v>
      </c>
      <c r="G1458">
        <v>0</v>
      </c>
      <c r="H1458">
        <v>0</v>
      </c>
      <c r="I1458">
        <v>0</v>
      </c>
      <c r="J1458">
        <v>26</v>
      </c>
      <c r="K1458">
        <v>0</v>
      </c>
      <c r="L1458">
        <f>Résultats!G$32+Résultats!G$33*Données!C1458+Résultats!G$34*Données!D1458+Résultats!G$35*Données!E1458+Résultats!G$36*Données!F1458+Résultats!G$37*Données!G1458+Résultats!G$38*Données!H1458+Résultats!G$39*Données!I1458</f>
        <v>110640.1007049727</v>
      </c>
      <c r="M1458">
        <f t="shared" si="88"/>
        <v>-3640.100704972705</v>
      </c>
      <c r="Q1458">
        <v>99000</v>
      </c>
      <c r="R1458">
        <v>1</v>
      </c>
      <c r="S1458">
        <v>28.70000076293945</v>
      </c>
      <c r="T1458">
        <v>0</v>
      </c>
      <c r="U1458">
        <f t="shared" si="89"/>
        <v>11.608235644774552</v>
      </c>
      <c r="V1458">
        <f t="shared" si="90"/>
        <v>7.399398083331354</v>
      </c>
      <c r="W1458">
        <v>1</v>
      </c>
      <c r="X1458">
        <v>0</v>
      </c>
      <c r="Y1458">
        <v>0</v>
      </c>
      <c r="Z1458">
        <f>'Résultat (Ln)'!F$30+'Résultat (Ln)'!F$31*Données!S1458+'Résultat (Ln)'!F$32*Données!T1458+'Résultat (Ln)'!F$33*Données!U1458+'Résultat (Ln)'!F$34*Données!V1458+'Résultat (Ln)'!F$35*Données!W1458+'Résultat (Ln)'!F$36*Données!X1458+'Résultat (Ln)'!F$37*Données!Y1458</f>
        <v>61629.962474636231</v>
      </c>
      <c r="AA1458">
        <f t="shared" si="91"/>
        <v>37370.037525363769</v>
      </c>
    </row>
    <row r="1459" spans="1:27" x14ac:dyDescent="0.25">
      <c r="A1459">
        <v>160000</v>
      </c>
      <c r="B1459">
        <v>1</v>
      </c>
      <c r="C1459">
        <v>28</v>
      </c>
      <c r="D1459">
        <v>0</v>
      </c>
      <c r="E1459">
        <v>265000</v>
      </c>
      <c r="F1459">
        <v>2083</v>
      </c>
      <c r="G1459">
        <v>1</v>
      </c>
      <c r="H1459">
        <v>0</v>
      </c>
      <c r="I1459">
        <v>0</v>
      </c>
      <c r="J1459">
        <v>28</v>
      </c>
      <c r="K1459">
        <v>1</v>
      </c>
      <c r="L1459">
        <f>Résultats!G$32+Résultats!G$33*Données!C1459+Résultats!G$34*Données!D1459+Résultats!G$35*Données!E1459+Résultats!G$36*Données!F1459+Résultats!G$37*Données!G1459+Résultats!G$38*Données!H1459+Résultats!G$39*Données!I1459</f>
        <v>163520.02237334411</v>
      </c>
      <c r="M1459">
        <f t="shared" si="88"/>
        <v>-3520.0223733441089</v>
      </c>
      <c r="Q1459">
        <v>107000</v>
      </c>
      <c r="R1459">
        <v>1</v>
      </c>
      <c r="S1459">
        <v>33</v>
      </c>
      <c r="T1459">
        <v>0</v>
      </c>
      <c r="U1459">
        <f t="shared" si="89"/>
        <v>11.898187865760873</v>
      </c>
      <c r="V1459">
        <f t="shared" si="90"/>
        <v>8.2651356299373848</v>
      </c>
      <c r="W1459">
        <v>0</v>
      </c>
      <c r="X1459">
        <v>0</v>
      </c>
      <c r="Y1459">
        <v>0</v>
      </c>
      <c r="Z1459">
        <f>'Résultat (Ln)'!F$30+'Résultat (Ln)'!F$31*Données!S1459+'Résultat (Ln)'!F$32*Données!T1459+'Résultat (Ln)'!F$33*Données!U1459+'Résultat (Ln)'!F$34*Données!V1459+'Résultat (Ln)'!F$35*Données!W1459+'Résultat (Ln)'!F$36*Données!X1459+'Résultat (Ln)'!F$37*Données!Y1459</f>
        <v>117732.5953245147</v>
      </c>
      <c r="AA1459">
        <f t="shared" si="91"/>
        <v>-10732.595324514696</v>
      </c>
    </row>
    <row r="1460" spans="1:27" x14ac:dyDescent="0.25">
      <c r="A1460">
        <v>92000</v>
      </c>
      <c r="B1460">
        <v>1</v>
      </c>
      <c r="C1460">
        <v>37</v>
      </c>
      <c r="D1460">
        <v>0</v>
      </c>
      <c r="E1460">
        <v>117000</v>
      </c>
      <c r="F1460">
        <v>3278</v>
      </c>
      <c r="G1460">
        <v>1</v>
      </c>
      <c r="H1460">
        <v>0</v>
      </c>
      <c r="I1460">
        <v>0</v>
      </c>
      <c r="J1460">
        <v>29</v>
      </c>
      <c r="K1460">
        <v>1</v>
      </c>
      <c r="L1460">
        <f>Résultats!G$32+Résultats!G$33*Données!C1460+Résultats!G$34*Données!D1460+Résultats!G$35*Données!E1460+Résultats!G$36*Données!F1460+Résultats!G$37*Données!G1460+Résultats!G$38*Données!H1460+Résultats!G$39*Données!I1460</f>
        <v>107064.62792393414</v>
      </c>
      <c r="M1460">
        <f t="shared" si="88"/>
        <v>-15064.627923934138</v>
      </c>
      <c r="Q1460">
        <v>160000</v>
      </c>
      <c r="R1460">
        <v>1</v>
      </c>
      <c r="S1460">
        <v>28</v>
      </c>
      <c r="T1460">
        <v>0</v>
      </c>
      <c r="U1460">
        <f t="shared" si="89"/>
        <v>12.487485104968359</v>
      </c>
      <c r="V1460">
        <f t="shared" si="90"/>
        <v>7.6415644412609716</v>
      </c>
      <c r="W1460">
        <v>1</v>
      </c>
      <c r="X1460">
        <v>0</v>
      </c>
      <c r="Y1460">
        <v>0</v>
      </c>
      <c r="Z1460">
        <f>'Résultat (Ln)'!F$30+'Résultat (Ln)'!F$31*Données!S1460+'Résultat (Ln)'!F$32*Données!T1460+'Résultat (Ln)'!F$33*Données!U1460+'Résultat (Ln)'!F$34*Données!V1460+'Résultat (Ln)'!F$35*Données!W1460+'Résultat (Ln)'!F$36*Données!X1460+'Résultat (Ln)'!F$37*Données!Y1460</f>
        <v>161817.92426339167</v>
      </c>
      <c r="AA1460">
        <f t="shared" si="91"/>
        <v>-1817.9242633916729</v>
      </c>
    </row>
    <row r="1461" spans="1:27" x14ac:dyDescent="0.25">
      <c r="A1461">
        <v>260000</v>
      </c>
      <c r="B1461">
        <v>1</v>
      </c>
      <c r="C1461">
        <v>38</v>
      </c>
      <c r="D1461">
        <v>0</v>
      </c>
      <c r="E1461">
        <v>326000</v>
      </c>
      <c r="F1461">
        <v>4242</v>
      </c>
      <c r="G1461">
        <v>1</v>
      </c>
      <c r="H1461">
        <v>0</v>
      </c>
      <c r="I1461">
        <v>0</v>
      </c>
      <c r="J1461">
        <v>30</v>
      </c>
      <c r="K1461">
        <v>1</v>
      </c>
      <c r="L1461">
        <f>Résultats!G$32+Résultats!G$33*Données!C1461+Résultats!G$34*Données!D1461+Résultats!G$35*Données!E1461+Résultats!G$36*Données!F1461+Résultats!G$37*Données!G1461+Résultats!G$38*Données!H1461+Résultats!G$39*Données!I1461</f>
        <v>207674.55847621808</v>
      </c>
      <c r="M1461">
        <f t="shared" si="88"/>
        <v>52325.441523781919</v>
      </c>
      <c r="Q1461">
        <v>92000</v>
      </c>
      <c r="R1461">
        <v>1</v>
      </c>
      <c r="S1461">
        <v>37</v>
      </c>
      <c r="T1461">
        <v>0</v>
      </c>
      <c r="U1461">
        <f t="shared" si="89"/>
        <v>11.669929213779893</v>
      </c>
      <c r="V1461">
        <f t="shared" si="90"/>
        <v>8.0949887593037744</v>
      </c>
      <c r="W1461">
        <v>1</v>
      </c>
      <c r="X1461">
        <v>0</v>
      </c>
      <c r="Y1461">
        <v>0</v>
      </c>
      <c r="Z1461">
        <f>'Résultat (Ln)'!F$30+'Résultat (Ln)'!F$31*Données!S1461+'Résultat (Ln)'!F$32*Données!T1461+'Résultat (Ln)'!F$33*Données!U1461+'Résultat (Ln)'!F$34*Données!V1461+'Résultat (Ln)'!F$35*Données!W1461+'Résultat (Ln)'!F$36*Données!X1461+'Résultat (Ln)'!F$37*Données!Y1461</f>
        <v>97894.570690493609</v>
      </c>
      <c r="AA1461">
        <f t="shared" si="91"/>
        <v>-5894.5706904936087</v>
      </c>
    </row>
    <row r="1462" spans="1:27" x14ac:dyDescent="0.25">
      <c r="A1462">
        <v>126000</v>
      </c>
      <c r="B1462">
        <v>1</v>
      </c>
      <c r="C1462">
        <v>35.5</v>
      </c>
      <c r="D1462">
        <v>1</v>
      </c>
      <c r="E1462">
        <v>140000</v>
      </c>
      <c r="F1462">
        <v>4404</v>
      </c>
      <c r="G1462">
        <v>1</v>
      </c>
      <c r="H1462">
        <v>0</v>
      </c>
      <c r="I1462">
        <v>0</v>
      </c>
      <c r="J1462">
        <v>23.79999923706055</v>
      </c>
      <c r="K1462">
        <v>1</v>
      </c>
      <c r="L1462">
        <f>Résultats!G$32+Résultats!G$33*Données!C1462+Résultats!G$34*Données!D1462+Résultats!G$35*Données!E1462+Résultats!G$36*Données!F1462+Résultats!G$37*Données!G1462+Résultats!G$38*Données!H1462+Résultats!G$39*Données!I1462</f>
        <v>123111.74482385939</v>
      </c>
      <c r="M1462">
        <f t="shared" si="88"/>
        <v>2888.2551761406066</v>
      </c>
      <c r="Q1462">
        <v>260000</v>
      </c>
      <c r="R1462">
        <v>1</v>
      </c>
      <c r="S1462">
        <v>38</v>
      </c>
      <c r="T1462">
        <v>0</v>
      </c>
      <c r="U1462">
        <f t="shared" si="89"/>
        <v>12.694652660348845</v>
      </c>
      <c r="V1462">
        <f t="shared" si="90"/>
        <v>8.3527901351246285</v>
      </c>
      <c r="W1462">
        <v>1</v>
      </c>
      <c r="X1462">
        <v>0</v>
      </c>
      <c r="Y1462">
        <v>0</v>
      </c>
      <c r="Z1462">
        <f>'Résultat (Ln)'!F$30+'Résultat (Ln)'!F$31*Données!S1462+'Résultat (Ln)'!F$32*Données!T1462+'Résultat (Ln)'!F$33*Données!U1462+'Résultat (Ln)'!F$34*Données!V1462+'Résultat (Ln)'!F$35*Données!W1462+'Résultat (Ln)'!F$36*Données!X1462+'Résultat (Ln)'!F$37*Données!Y1462</f>
        <v>216192.66589747084</v>
      </c>
      <c r="AA1462">
        <f t="shared" si="91"/>
        <v>43807.334102529159</v>
      </c>
    </row>
    <row r="1463" spans="1:27" x14ac:dyDescent="0.25">
      <c r="A1463">
        <v>212000</v>
      </c>
      <c r="B1463">
        <v>1</v>
      </c>
      <c r="C1463">
        <v>56</v>
      </c>
      <c r="D1463">
        <v>0</v>
      </c>
      <c r="E1463">
        <v>265000</v>
      </c>
      <c r="F1463">
        <v>3333</v>
      </c>
      <c r="G1463">
        <v>0</v>
      </c>
      <c r="H1463">
        <v>0</v>
      </c>
      <c r="I1463">
        <v>0</v>
      </c>
      <c r="J1463">
        <v>30</v>
      </c>
      <c r="K1463">
        <v>0</v>
      </c>
      <c r="L1463">
        <f>Résultats!G$32+Résultats!G$33*Données!C1463+Résultats!G$34*Données!D1463+Résultats!G$35*Données!E1463+Résultats!G$36*Données!F1463+Résultats!G$37*Données!G1463+Résultats!G$38*Données!H1463+Résultats!G$39*Données!I1463</f>
        <v>191088.40871478675</v>
      </c>
      <c r="M1463">
        <f t="shared" si="88"/>
        <v>20911.591285213246</v>
      </c>
      <c r="Q1463">
        <v>126000</v>
      </c>
      <c r="R1463">
        <v>1</v>
      </c>
      <c r="S1463">
        <v>35.5</v>
      </c>
      <c r="T1463">
        <v>1</v>
      </c>
      <c r="U1463">
        <f t="shared" si="89"/>
        <v>11.849397701591441</v>
      </c>
      <c r="V1463">
        <f t="shared" si="90"/>
        <v>8.3902684978425714</v>
      </c>
      <c r="W1463">
        <v>1</v>
      </c>
      <c r="X1463">
        <v>0</v>
      </c>
      <c r="Y1463">
        <v>0</v>
      </c>
      <c r="Z1463">
        <f>'Résultat (Ln)'!F$30+'Résultat (Ln)'!F$31*Données!S1463+'Résultat (Ln)'!F$32*Données!T1463+'Résultat (Ln)'!F$33*Données!U1463+'Résultat (Ln)'!F$34*Données!V1463+'Résultat (Ln)'!F$35*Données!W1463+'Résultat (Ln)'!F$36*Données!X1463+'Résultat (Ln)'!F$37*Données!Y1463</f>
        <v>127929.90182231549</v>
      </c>
      <c r="AA1463">
        <f t="shared" si="91"/>
        <v>-1929.9018223154853</v>
      </c>
    </row>
    <row r="1464" spans="1:27" x14ac:dyDescent="0.25">
      <c r="A1464">
        <v>115000</v>
      </c>
      <c r="B1464">
        <v>1</v>
      </c>
      <c r="C1464">
        <v>36</v>
      </c>
      <c r="D1464">
        <v>0</v>
      </c>
      <c r="E1464">
        <v>177000</v>
      </c>
      <c r="F1464">
        <v>4380</v>
      </c>
      <c r="G1464">
        <v>0</v>
      </c>
      <c r="H1464">
        <v>0</v>
      </c>
      <c r="I1464">
        <v>0</v>
      </c>
      <c r="J1464">
        <v>27</v>
      </c>
      <c r="K1464">
        <v>0</v>
      </c>
      <c r="L1464">
        <f>Résultats!G$32+Résultats!G$33*Données!C1464+Résultats!G$34*Données!D1464+Résultats!G$35*Données!E1464+Résultats!G$36*Données!F1464+Résultats!G$37*Données!G1464+Résultats!G$38*Données!H1464+Résultats!G$39*Données!I1464</f>
        <v>129051.97686118787</v>
      </c>
      <c r="M1464">
        <f t="shared" si="88"/>
        <v>-14051.976861187868</v>
      </c>
      <c r="Q1464">
        <v>212000</v>
      </c>
      <c r="R1464">
        <v>1</v>
      </c>
      <c r="S1464">
        <v>56</v>
      </c>
      <c r="T1464">
        <v>0</v>
      </c>
      <c r="U1464">
        <f t="shared" si="89"/>
        <v>12.487485104968359</v>
      </c>
      <c r="V1464">
        <f t="shared" si="90"/>
        <v>8.1116280783077404</v>
      </c>
      <c r="W1464">
        <v>0</v>
      </c>
      <c r="X1464">
        <v>0</v>
      </c>
      <c r="Y1464">
        <v>0</v>
      </c>
      <c r="Z1464">
        <f>'Résultat (Ln)'!F$30+'Résultat (Ln)'!F$31*Données!S1464+'Résultat (Ln)'!F$32*Données!T1464+'Résultat (Ln)'!F$33*Données!U1464+'Résultat (Ln)'!F$34*Données!V1464+'Résultat (Ln)'!F$35*Données!W1464+'Résultat (Ln)'!F$36*Données!X1464+'Résultat (Ln)'!F$37*Données!Y1464</f>
        <v>204704.34795178883</v>
      </c>
      <c r="AA1464">
        <f t="shared" si="91"/>
        <v>7295.6520482111664</v>
      </c>
    </row>
    <row r="1465" spans="1:27" x14ac:dyDescent="0.25">
      <c r="A1465">
        <v>128000</v>
      </c>
      <c r="B1465">
        <v>1</v>
      </c>
      <c r="C1465">
        <v>34</v>
      </c>
      <c r="D1465">
        <v>0</v>
      </c>
      <c r="E1465">
        <v>160000</v>
      </c>
      <c r="F1465">
        <v>7740</v>
      </c>
      <c r="G1465">
        <v>1</v>
      </c>
      <c r="H1465">
        <v>0</v>
      </c>
      <c r="I1465">
        <v>0</v>
      </c>
      <c r="J1465">
        <v>19</v>
      </c>
      <c r="K1465">
        <v>1</v>
      </c>
      <c r="L1465">
        <f>Résultats!G$32+Résultats!G$33*Données!C1465+Résultats!G$34*Données!D1465+Résultats!G$35*Données!E1465+Résultats!G$36*Données!F1465+Résultats!G$37*Données!G1465+Résultats!G$38*Données!H1465+Résultats!G$39*Données!I1465</f>
        <v>132344.01456550608</v>
      </c>
      <c r="M1465">
        <f t="shared" si="88"/>
        <v>-4344.0145655060769</v>
      </c>
      <c r="Q1465">
        <v>115000</v>
      </c>
      <c r="R1465">
        <v>1</v>
      </c>
      <c r="S1465">
        <v>36</v>
      </c>
      <c r="T1465">
        <v>0</v>
      </c>
      <c r="U1465">
        <f t="shared" si="89"/>
        <v>12.083905011555967</v>
      </c>
      <c r="V1465">
        <f t="shared" si="90"/>
        <v>8.3848040033704923</v>
      </c>
      <c r="W1465">
        <v>0</v>
      </c>
      <c r="X1465">
        <v>0</v>
      </c>
      <c r="Y1465">
        <v>0</v>
      </c>
      <c r="Z1465">
        <f>'Résultat (Ln)'!F$30+'Résultat (Ln)'!F$31*Données!S1465+'Résultat (Ln)'!F$32*Données!T1465+'Résultat (Ln)'!F$33*Données!U1465+'Résultat (Ln)'!F$34*Données!V1465+'Résultat (Ln)'!F$35*Données!W1465+'Résultat (Ln)'!F$36*Données!X1465+'Résultat (Ln)'!F$37*Données!Y1465</f>
        <v>144662.96728041678</v>
      </c>
      <c r="AA1465">
        <f t="shared" si="91"/>
        <v>-29662.967280416779</v>
      </c>
    </row>
    <row r="1466" spans="1:27" x14ac:dyDescent="0.25">
      <c r="A1466">
        <v>240000</v>
      </c>
      <c r="B1466">
        <v>1</v>
      </c>
      <c r="C1466">
        <v>17</v>
      </c>
      <c r="D1466">
        <v>0</v>
      </c>
      <c r="E1466">
        <v>300000</v>
      </c>
      <c r="F1466">
        <v>24797</v>
      </c>
      <c r="G1466">
        <v>0</v>
      </c>
      <c r="H1466">
        <v>0</v>
      </c>
      <c r="I1466">
        <v>1</v>
      </c>
      <c r="J1466">
        <v>9</v>
      </c>
      <c r="K1466">
        <v>1</v>
      </c>
      <c r="L1466">
        <f>Résultats!G$32+Résultats!G$33*Données!C1466+Résultats!G$34*Données!D1466+Résultats!G$35*Données!E1466+Résultats!G$36*Données!F1466+Résultats!G$37*Données!G1466+Résultats!G$38*Données!H1466+Résultats!G$39*Données!I1466</f>
        <v>214151.75320828863</v>
      </c>
      <c r="M1466">
        <f t="shared" si="88"/>
        <v>25848.246791711368</v>
      </c>
      <c r="Q1466">
        <v>128000</v>
      </c>
      <c r="R1466">
        <v>1</v>
      </c>
      <c r="S1466">
        <v>34</v>
      </c>
      <c r="T1466">
        <v>0</v>
      </c>
      <c r="U1466">
        <f t="shared" si="89"/>
        <v>11.982929094215963</v>
      </c>
      <c r="V1466">
        <f t="shared" si="90"/>
        <v>8.9541569665837724</v>
      </c>
      <c r="W1466">
        <v>1</v>
      </c>
      <c r="X1466">
        <v>0</v>
      </c>
      <c r="Y1466">
        <v>0</v>
      </c>
      <c r="Z1466">
        <f>'Résultat (Ln)'!F$30+'Résultat (Ln)'!F$31*Données!S1466+'Résultat (Ln)'!F$32*Données!T1466+'Résultat (Ln)'!F$33*Données!U1466+'Résultat (Ln)'!F$34*Données!V1466+'Résultat (Ln)'!F$35*Données!W1466+'Résultat (Ln)'!F$36*Données!X1466+'Résultat (Ln)'!F$37*Données!Y1466</f>
        <v>151876.70083753904</v>
      </c>
      <c r="AA1466">
        <f t="shared" si="91"/>
        <v>-23876.700837539043</v>
      </c>
    </row>
    <row r="1467" spans="1:27" x14ac:dyDescent="0.25">
      <c r="A1467">
        <v>135000</v>
      </c>
      <c r="B1467">
        <v>1</v>
      </c>
      <c r="C1467">
        <v>32</v>
      </c>
      <c r="D1467">
        <v>0</v>
      </c>
      <c r="E1467">
        <v>151000</v>
      </c>
      <c r="F1467">
        <v>3086</v>
      </c>
      <c r="G1467">
        <v>0</v>
      </c>
      <c r="H1467">
        <v>0</v>
      </c>
      <c r="I1467">
        <v>0</v>
      </c>
      <c r="J1467">
        <v>20</v>
      </c>
      <c r="K1467">
        <v>0</v>
      </c>
      <c r="L1467">
        <f>Résultats!G$32+Résultats!G$33*Données!C1467+Résultats!G$34*Données!D1467+Résultats!G$35*Données!E1467+Résultats!G$36*Données!F1467+Résultats!G$37*Données!G1467+Résultats!G$38*Données!H1467+Résultats!G$39*Données!I1467</f>
        <v>109809.01350794079</v>
      </c>
      <c r="M1467">
        <f t="shared" si="88"/>
        <v>25190.986492059208</v>
      </c>
      <c r="Q1467">
        <v>240000</v>
      </c>
      <c r="R1467">
        <v>1</v>
      </c>
      <c r="S1467">
        <v>17</v>
      </c>
      <c r="T1467">
        <v>0</v>
      </c>
      <c r="U1467">
        <f t="shared" si="89"/>
        <v>12.611537753638338</v>
      </c>
      <c r="V1467">
        <f t="shared" si="90"/>
        <v>10.118477957093951</v>
      </c>
      <c r="W1467">
        <v>0</v>
      </c>
      <c r="X1467">
        <v>0</v>
      </c>
      <c r="Y1467">
        <v>1</v>
      </c>
      <c r="Z1467">
        <f>'Résultat (Ln)'!F$30+'Résultat (Ln)'!F$31*Données!S1467+'Résultat (Ln)'!F$32*Données!T1467+'Résultat (Ln)'!F$33*Données!U1467+'Résultat (Ln)'!F$34*Données!V1467+'Résultat (Ln)'!F$35*Données!W1467+'Résultat (Ln)'!F$36*Données!X1467+'Résultat (Ln)'!F$37*Données!Y1467</f>
        <v>240713.27104508702</v>
      </c>
      <c r="AA1467">
        <f t="shared" si="91"/>
        <v>-713.27104508702178</v>
      </c>
    </row>
    <row r="1468" spans="1:27" x14ac:dyDescent="0.25">
      <c r="A1468">
        <v>153000</v>
      </c>
      <c r="B1468">
        <v>1</v>
      </c>
      <c r="C1468">
        <v>37</v>
      </c>
      <c r="D1468">
        <v>0</v>
      </c>
      <c r="E1468">
        <v>161000</v>
      </c>
      <c r="F1468">
        <v>3015</v>
      </c>
      <c r="G1468">
        <v>1</v>
      </c>
      <c r="H1468">
        <v>0</v>
      </c>
      <c r="I1468">
        <v>0</v>
      </c>
      <c r="J1468">
        <v>28</v>
      </c>
      <c r="K1468">
        <v>1</v>
      </c>
      <c r="L1468">
        <f>Résultats!G$32+Résultats!G$33*Données!C1468+Résultats!G$34*Données!D1468+Résultats!G$35*Données!E1468+Résultats!G$36*Données!F1468+Résultats!G$37*Données!G1468+Résultats!G$38*Données!H1468+Résultats!G$39*Données!I1468</f>
        <v>127100.93366833565</v>
      </c>
      <c r="M1468">
        <f t="shared" si="88"/>
        <v>25899.066331664348</v>
      </c>
      <c r="Q1468">
        <v>135000</v>
      </c>
      <c r="R1468">
        <v>1</v>
      </c>
      <c r="S1468">
        <v>32</v>
      </c>
      <c r="T1468">
        <v>0</v>
      </c>
      <c r="U1468">
        <f t="shared" si="89"/>
        <v>11.925035115797062</v>
      </c>
      <c r="V1468">
        <f t="shared" si="90"/>
        <v>8.034631032923107</v>
      </c>
      <c r="W1468">
        <v>0</v>
      </c>
      <c r="X1468">
        <v>0</v>
      </c>
      <c r="Y1468">
        <v>0</v>
      </c>
      <c r="Z1468">
        <f>'Résultat (Ln)'!F$30+'Résultat (Ln)'!F$31*Données!S1468+'Résultat (Ln)'!F$32*Données!T1468+'Résultat (Ln)'!F$33*Données!U1468+'Résultat (Ln)'!F$34*Données!V1468+'Résultat (Ln)'!F$35*Données!W1468+'Résultat (Ln)'!F$36*Données!X1468+'Résultat (Ln)'!F$37*Données!Y1468</f>
        <v>112923.7763422741</v>
      </c>
      <c r="AA1468">
        <f t="shared" si="91"/>
        <v>22076.223657725903</v>
      </c>
    </row>
    <row r="1469" spans="1:27" x14ac:dyDescent="0.25">
      <c r="A1469">
        <v>151000</v>
      </c>
      <c r="B1469">
        <v>1</v>
      </c>
      <c r="C1469">
        <v>36</v>
      </c>
      <c r="D1469">
        <v>0</v>
      </c>
      <c r="E1469">
        <v>160000</v>
      </c>
      <c r="F1469">
        <v>3116</v>
      </c>
      <c r="G1469">
        <v>1</v>
      </c>
      <c r="H1469">
        <v>0</v>
      </c>
      <c r="I1469">
        <v>0</v>
      </c>
      <c r="J1469">
        <v>30</v>
      </c>
      <c r="K1469">
        <v>0</v>
      </c>
      <c r="L1469">
        <f>Résultats!G$32+Résultats!G$33*Données!C1469+Résultats!G$34*Données!D1469+Résultats!G$35*Données!E1469+Résultats!G$36*Données!F1469+Résultats!G$37*Données!G1469+Résultats!G$38*Données!H1469+Résultats!G$39*Données!I1469</f>
        <v>125681.02654448661</v>
      </c>
      <c r="M1469">
        <f t="shared" si="88"/>
        <v>25318.973455513391</v>
      </c>
      <c r="Q1469">
        <v>153000</v>
      </c>
      <c r="R1469">
        <v>1</v>
      </c>
      <c r="S1469">
        <v>37</v>
      </c>
      <c r="T1469">
        <v>0</v>
      </c>
      <c r="U1469">
        <f t="shared" si="89"/>
        <v>11.9891596439666</v>
      </c>
      <c r="V1469">
        <f t="shared" si="90"/>
        <v>8.0113551091612862</v>
      </c>
      <c r="W1469">
        <v>1</v>
      </c>
      <c r="X1469">
        <v>0</v>
      </c>
      <c r="Y1469">
        <v>0</v>
      </c>
      <c r="Z1469">
        <f>'Résultat (Ln)'!F$30+'Résultat (Ln)'!F$31*Données!S1469+'Résultat (Ln)'!F$32*Données!T1469+'Résultat (Ln)'!F$33*Données!U1469+'Résultat (Ln)'!F$34*Données!V1469+'Résultat (Ln)'!F$35*Données!W1469+'Résultat (Ln)'!F$36*Données!X1469+'Résultat (Ln)'!F$37*Données!Y1469</f>
        <v>129769.08543283791</v>
      </c>
      <c r="AA1469">
        <f t="shared" si="91"/>
        <v>23230.914567162094</v>
      </c>
    </row>
    <row r="1470" spans="1:27" x14ac:dyDescent="0.25">
      <c r="A1470">
        <v>132000</v>
      </c>
      <c r="B1470">
        <v>1</v>
      </c>
      <c r="C1470">
        <v>35.299999237060547</v>
      </c>
      <c r="D1470">
        <v>0</v>
      </c>
      <c r="E1470">
        <v>147000</v>
      </c>
      <c r="F1470">
        <v>5191</v>
      </c>
      <c r="G1470">
        <v>0</v>
      </c>
      <c r="H1470">
        <v>0</v>
      </c>
      <c r="I1470">
        <v>0</v>
      </c>
      <c r="J1470">
        <v>26.840000152587891</v>
      </c>
      <c r="K1470">
        <v>0</v>
      </c>
      <c r="L1470">
        <f>Résultats!G$32+Résultats!G$33*Données!C1470+Résultats!G$34*Données!D1470+Résultats!G$35*Données!E1470+Résultats!G$36*Données!F1470+Résultats!G$37*Données!G1470+Résultats!G$38*Données!H1470+Résultats!G$39*Données!I1470</f>
        <v>115810.85421288889</v>
      </c>
      <c r="M1470">
        <f t="shared" si="88"/>
        <v>16189.145787111105</v>
      </c>
      <c r="Q1470">
        <v>151000</v>
      </c>
      <c r="R1470">
        <v>1</v>
      </c>
      <c r="S1470">
        <v>36</v>
      </c>
      <c r="T1470">
        <v>0</v>
      </c>
      <c r="U1470">
        <f t="shared" si="89"/>
        <v>11.982929094215963</v>
      </c>
      <c r="V1470">
        <f t="shared" si="90"/>
        <v>8.0443054069906381</v>
      </c>
      <c r="W1470">
        <v>1</v>
      </c>
      <c r="X1470">
        <v>0</v>
      </c>
      <c r="Y1470">
        <v>0</v>
      </c>
      <c r="Z1470">
        <f>'Résultat (Ln)'!F$30+'Résultat (Ln)'!F$31*Données!S1470+'Résultat (Ln)'!F$32*Données!T1470+'Résultat (Ln)'!F$33*Données!U1470+'Résultat (Ln)'!F$34*Données!V1470+'Résultat (Ln)'!F$35*Données!W1470+'Résultat (Ln)'!F$36*Données!X1470+'Résultat (Ln)'!F$37*Données!Y1470</f>
        <v>128803.27438225962</v>
      </c>
      <c r="AA1470">
        <f t="shared" si="91"/>
        <v>22196.725617740376</v>
      </c>
    </row>
    <row r="1471" spans="1:27" x14ac:dyDescent="0.25">
      <c r="A1471">
        <v>100000</v>
      </c>
      <c r="B1471">
        <v>1</v>
      </c>
      <c r="C1471">
        <v>30</v>
      </c>
      <c r="D1471">
        <v>0</v>
      </c>
      <c r="E1471">
        <v>145500</v>
      </c>
      <c r="F1471">
        <v>3635</v>
      </c>
      <c r="G1471">
        <v>0</v>
      </c>
      <c r="H1471">
        <v>0</v>
      </c>
      <c r="I1471">
        <v>1</v>
      </c>
      <c r="J1471">
        <v>29</v>
      </c>
      <c r="K1471">
        <v>0</v>
      </c>
      <c r="L1471">
        <f>Résultats!G$32+Résultats!G$33*Données!C1471+Résultats!G$34*Données!D1471+Résultats!G$35*Données!E1471+Résultats!G$36*Données!F1471+Résultats!G$37*Données!G1471+Résultats!G$38*Données!H1471+Résultats!G$39*Données!I1471</f>
        <v>115932.7318927747</v>
      </c>
      <c r="M1471">
        <f t="shared" si="88"/>
        <v>-15932.731892774696</v>
      </c>
      <c r="Q1471">
        <v>132000</v>
      </c>
      <c r="R1471">
        <v>1</v>
      </c>
      <c r="S1471">
        <v>35.299999237060547</v>
      </c>
      <c r="T1471">
        <v>0</v>
      </c>
      <c r="U1471">
        <f t="shared" si="89"/>
        <v>11.898187865760873</v>
      </c>
      <c r="V1471">
        <f t="shared" si="90"/>
        <v>8.5546816358272295</v>
      </c>
      <c r="W1471">
        <v>0</v>
      </c>
      <c r="X1471">
        <v>0</v>
      </c>
      <c r="Y1471">
        <v>0</v>
      </c>
      <c r="Z1471">
        <f>'Résultat (Ln)'!F$30+'Résultat (Ln)'!F$31*Données!S1471+'Résultat (Ln)'!F$32*Données!T1471+'Résultat (Ln)'!F$33*Données!U1471+'Résultat (Ln)'!F$34*Données!V1471+'Résultat (Ln)'!F$35*Données!W1471+'Résultat (Ln)'!F$36*Données!X1471+'Résultat (Ln)'!F$37*Données!Y1471</f>
        <v>128663.83593316845</v>
      </c>
      <c r="AA1471">
        <f t="shared" si="91"/>
        <v>3336.1640668315522</v>
      </c>
    </row>
    <row r="1472" spans="1:27" x14ac:dyDescent="0.25">
      <c r="A1472">
        <v>149000</v>
      </c>
      <c r="B1472">
        <v>1</v>
      </c>
      <c r="C1472">
        <v>33.5</v>
      </c>
      <c r="D1472">
        <v>0</v>
      </c>
      <c r="E1472">
        <v>165000</v>
      </c>
      <c r="F1472">
        <v>3020</v>
      </c>
      <c r="G1472">
        <v>1</v>
      </c>
      <c r="H1472">
        <v>0</v>
      </c>
      <c r="I1472">
        <v>1</v>
      </c>
      <c r="J1472">
        <v>24.579999923706058</v>
      </c>
      <c r="K1472">
        <v>1</v>
      </c>
      <c r="L1472">
        <f>Résultats!G$32+Résultats!G$33*Données!C1472+Résultats!G$34*Données!D1472+Résultats!G$35*Données!E1472+Résultats!G$36*Données!F1472+Résultats!G$37*Données!G1472+Résultats!G$38*Données!H1472+Résultats!G$39*Données!I1472</f>
        <v>134883.54620991164</v>
      </c>
      <c r="M1472">
        <f t="shared" si="88"/>
        <v>14116.453790088359</v>
      </c>
      <c r="Q1472">
        <v>100000</v>
      </c>
      <c r="R1472">
        <v>1</v>
      </c>
      <c r="S1472">
        <v>30</v>
      </c>
      <c r="T1472">
        <v>0</v>
      </c>
      <c r="U1472">
        <f t="shared" si="89"/>
        <v>11.887931365593685</v>
      </c>
      <c r="V1472">
        <f t="shared" si="90"/>
        <v>8.1983643899676206</v>
      </c>
      <c r="W1472">
        <v>0</v>
      </c>
      <c r="X1472">
        <v>0</v>
      </c>
      <c r="Y1472">
        <v>1</v>
      </c>
      <c r="Z1472">
        <f>'Résultat (Ln)'!F$30+'Résultat (Ln)'!F$31*Données!S1472+'Résultat (Ln)'!F$32*Données!T1472+'Résultat (Ln)'!F$33*Données!U1472+'Résultat (Ln)'!F$34*Données!V1472+'Résultat (Ln)'!F$35*Données!W1472+'Résultat (Ln)'!F$36*Données!X1472+'Résultat (Ln)'!F$37*Données!Y1472</f>
        <v>125181.29962509542</v>
      </c>
      <c r="AA1472">
        <f t="shared" si="91"/>
        <v>-25181.299625095417</v>
      </c>
    </row>
    <row r="1473" spans="1:27" x14ac:dyDescent="0.25">
      <c r="A1473">
        <v>99000</v>
      </c>
      <c r="B1473">
        <v>1</v>
      </c>
      <c r="C1473">
        <v>35</v>
      </c>
      <c r="D1473">
        <v>1</v>
      </c>
      <c r="E1473">
        <v>110000</v>
      </c>
      <c r="F1473">
        <v>3750</v>
      </c>
      <c r="G1473">
        <v>0</v>
      </c>
      <c r="H1473">
        <v>0</v>
      </c>
      <c r="I1473">
        <v>0</v>
      </c>
      <c r="J1473">
        <v>29</v>
      </c>
      <c r="K1473">
        <v>0</v>
      </c>
      <c r="L1473">
        <f>Résultats!G$32+Résultats!G$33*Données!C1473+Résultats!G$34*Données!D1473+Résultats!G$35*Données!E1473+Résultats!G$36*Données!F1473+Résultats!G$37*Données!G1473+Résultats!G$38*Données!H1473+Résultats!G$39*Données!I1473</f>
        <v>100244.88015586897</v>
      </c>
      <c r="M1473">
        <f t="shared" si="88"/>
        <v>-1244.8801558689738</v>
      </c>
      <c r="Q1473">
        <v>149000</v>
      </c>
      <c r="R1473">
        <v>1</v>
      </c>
      <c r="S1473">
        <v>33.5</v>
      </c>
      <c r="T1473">
        <v>0</v>
      </c>
      <c r="U1473">
        <f t="shared" si="89"/>
        <v>12.013700752882718</v>
      </c>
      <c r="V1473">
        <f t="shared" si="90"/>
        <v>8.0130121103689156</v>
      </c>
      <c r="W1473">
        <v>1</v>
      </c>
      <c r="X1473">
        <v>0</v>
      </c>
      <c r="Y1473">
        <v>1</v>
      </c>
      <c r="Z1473">
        <f>'Résultat (Ln)'!F$30+'Résultat (Ln)'!F$31*Données!S1473+'Résultat (Ln)'!F$32*Données!T1473+'Résultat (Ln)'!F$33*Données!U1473+'Résultat (Ln)'!F$34*Données!V1473+'Résultat (Ln)'!F$35*Données!W1473+'Résultat (Ln)'!F$36*Données!X1473+'Résultat (Ln)'!F$37*Données!Y1473</f>
        <v>142256.04294269992</v>
      </c>
      <c r="AA1473">
        <f t="shared" si="91"/>
        <v>6743.9570573000819</v>
      </c>
    </row>
    <row r="1474" spans="1:27" x14ac:dyDescent="0.25">
      <c r="A1474">
        <v>98000</v>
      </c>
      <c r="B1474">
        <v>1</v>
      </c>
      <c r="C1474">
        <v>32</v>
      </c>
      <c r="D1474">
        <v>1</v>
      </c>
      <c r="E1474">
        <v>123000</v>
      </c>
      <c r="F1474">
        <v>4166</v>
      </c>
      <c r="G1474">
        <v>0</v>
      </c>
      <c r="H1474">
        <v>0</v>
      </c>
      <c r="I1474">
        <v>0</v>
      </c>
      <c r="J1474">
        <v>26</v>
      </c>
      <c r="K1474">
        <v>1</v>
      </c>
      <c r="L1474">
        <f>Résultats!G$32+Résultats!G$33*Données!C1474+Résultats!G$34*Données!D1474+Résultats!G$35*Données!E1474+Résultats!G$36*Données!F1474+Résultats!G$37*Données!G1474+Résultats!G$38*Données!H1474+Résultats!G$39*Données!I1474</f>
        <v>103675.38105541427</v>
      </c>
      <c r="M1474">
        <f t="shared" si="88"/>
        <v>-5675.3810554142692</v>
      </c>
      <c r="Q1474">
        <v>99000</v>
      </c>
      <c r="R1474">
        <v>1</v>
      </c>
      <c r="S1474">
        <v>35</v>
      </c>
      <c r="T1474">
        <v>1</v>
      </c>
      <c r="U1474">
        <f t="shared" si="89"/>
        <v>11.608235644774552</v>
      </c>
      <c r="V1474">
        <f t="shared" si="90"/>
        <v>8.2295111189644565</v>
      </c>
      <c r="W1474">
        <v>0</v>
      </c>
      <c r="X1474">
        <v>0</v>
      </c>
      <c r="Y1474">
        <v>0</v>
      </c>
      <c r="Z1474">
        <f>'Résultat (Ln)'!F$30+'Résultat (Ln)'!F$31*Données!S1474+'Résultat (Ln)'!F$32*Données!T1474+'Résultat (Ln)'!F$33*Données!U1474+'Résultat (Ln)'!F$34*Données!V1474+'Résultat (Ln)'!F$35*Données!W1474+'Résultat (Ln)'!F$36*Données!X1474+'Résultat (Ln)'!F$37*Données!Y1474</f>
        <v>92444.779049771518</v>
      </c>
      <c r="AA1474">
        <f t="shared" si="91"/>
        <v>6555.2209502284823</v>
      </c>
    </row>
    <row r="1475" spans="1:27" x14ac:dyDescent="0.25">
      <c r="A1475">
        <v>140000</v>
      </c>
      <c r="B1475">
        <v>1</v>
      </c>
      <c r="C1475">
        <v>25.39999961853027</v>
      </c>
      <c r="D1475">
        <v>0</v>
      </c>
      <c r="E1475">
        <v>207000</v>
      </c>
      <c r="F1475">
        <v>6000</v>
      </c>
      <c r="G1475">
        <v>0</v>
      </c>
      <c r="H1475">
        <v>0</v>
      </c>
      <c r="I1475">
        <v>0</v>
      </c>
      <c r="J1475">
        <v>24.29999923706055</v>
      </c>
      <c r="K1475">
        <v>1</v>
      </c>
      <c r="L1475">
        <f>Résultats!G$32+Résultats!G$33*Données!C1475+Résultats!G$34*Données!D1475+Résultats!G$35*Données!E1475+Résultats!G$36*Données!F1475+Résultats!G$37*Données!G1475+Résultats!G$38*Données!H1475+Résultats!G$39*Données!I1475</f>
        <v>134023.88399705995</v>
      </c>
      <c r="M1475">
        <f t="shared" ref="M1475:M1538" si="92">A1475-L1475</f>
        <v>5976.1160029400489</v>
      </c>
      <c r="Q1475">
        <v>98000</v>
      </c>
      <c r="R1475">
        <v>1</v>
      </c>
      <c r="S1475">
        <v>32</v>
      </c>
      <c r="T1475">
        <v>1</v>
      </c>
      <c r="U1475">
        <f t="shared" si="89"/>
        <v>11.719939634354555</v>
      </c>
      <c r="V1475">
        <f t="shared" si="90"/>
        <v>8.334711621820917</v>
      </c>
      <c r="W1475">
        <v>0</v>
      </c>
      <c r="X1475">
        <v>0</v>
      </c>
      <c r="Y1475">
        <v>0</v>
      </c>
      <c r="Z1475">
        <f>'Résultat (Ln)'!F$30+'Résultat (Ln)'!F$31*Données!S1475+'Résultat (Ln)'!F$32*Données!T1475+'Résultat (Ln)'!F$33*Données!U1475+'Résultat (Ln)'!F$34*Données!V1475+'Résultat (Ln)'!F$35*Données!W1475+'Résultat (Ln)'!F$36*Données!X1475+'Résultat (Ln)'!F$37*Données!Y1475</f>
        <v>103703.26008642509</v>
      </c>
      <c r="AA1475">
        <f t="shared" si="91"/>
        <v>-5703.2600864250853</v>
      </c>
    </row>
    <row r="1476" spans="1:27" x14ac:dyDescent="0.25">
      <c r="A1476">
        <v>130000</v>
      </c>
      <c r="B1476">
        <v>1</v>
      </c>
      <c r="C1476">
        <v>25</v>
      </c>
      <c r="D1476">
        <v>0</v>
      </c>
      <c r="E1476">
        <v>163000</v>
      </c>
      <c r="F1476">
        <v>5667</v>
      </c>
      <c r="G1476">
        <v>1</v>
      </c>
      <c r="H1476">
        <v>0</v>
      </c>
      <c r="I1476">
        <v>1</v>
      </c>
      <c r="J1476">
        <v>22</v>
      </c>
      <c r="K1476">
        <v>1</v>
      </c>
      <c r="L1476">
        <f>Résultats!G$32+Résultats!G$33*Données!C1476+Résultats!G$34*Données!D1476+Résultats!G$35*Données!E1476+Résultats!G$36*Données!F1476+Résultats!G$37*Données!G1476+Résultats!G$38*Données!H1476+Résultats!G$39*Données!I1476</f>
        <v>129315.26460722134</v>
      </c>
      <c r="M1476">
        <f t="shared" si="92"/>
        <v>684.73539277866075</v>
      </c>
      <c r="Q1476">
        <v>140000</v>
      </c>
      <c r="R1476">
        <v>1</v>
      </c>
      <c r="S1476">
        <v>25.39999961853027</v>
      </c>
      <c r="T1476">
        <v>0</v>
      </c>
      <c r="U1476">
        <f t="shared" ref="U1476:U1539" si="93">LN(E1475)</f>
        <v>12.240474072247506</v>
      </c>
      <c r="V1476">
        <f t="shared" ref="V1476:V1539" si="94">LN(F1475)</f>
        <v>8.6995147482101913</v>
      </c>
      <c r="W1476">
        <v>0</v>
      </c>
      <c r="X1476">
        <v>0</v>
      </c>
      <c r="Y1476">
        <v>0</v>
      </c>
      <c r="Z1476">
        <f>'Résultat (Ln)'!F$30+'Résultat (Ln)'!F$31*Données!S1476+'Résultat (Ln)'!F$32*Données!T1476+'Résultat (Ln)'!F$33*Données!U1476+'Résultat (Ln)'!F$34*Données!V1476+'Résultat (Ln)'!F$35*Données!W1476+'Résultat (Ln)'!F$36*Données!X1476+'Résultat (Ln)'!F$37*Données!Y1476</f>
        <v>157319.15404507564</v>
      </c>
      <c r="AA1476">
        <f t="shared" ref="AA1476:AA1539" si="95">Q1476-Z1476</f>
        <v>-17319.154045075644</v>
      </c>
    </row>
    <row r="1477" spans="1:27" x14ac:dyDescent="0.25">
      <c r="A1477">
        <v>94000</v>
      </c>
      <c r="B1477">
        <v>1</v>
      </c>
      <c r="C1477">
        <v>37.900001525878913</v>
      </c>
      <c r="D1477">
        <v>1</v>
      </c>
      <c r="E1477">
        <v>104000</v>
      </c>
      <c r="F1477">
        <v>3500</v>
      </c>
      <c r="G1477">
        <v>0</v>
      </c>
      <c r="H1477">
        <v>0</v>
      </c>
      <c r="I1477">
        <v>0</v>
      </c>
      <c r="J1477">
        <v>24.70000076293945</v>
      </c>
      <c r="K1477">
        <v>0</v>
      </c>
      <c r="L1477">
        <f>Résultats!G$32+Résultats!G$33*Données!C1477+Résultats!G$34*Données!D1477+Résultats!G$35*Données!E1477+Résultats!G$36*Données!F1477+Résultats!G$37*Données!G1477+Résultats!G$38*Données!H1477+Résultats!G$39*Données!I1477</f>
        <v>100289.85955456764</v>
      </c>
      <c r="M1477">
        <f t="shared" si="92"/>
        <v>-6289.8595545676362</v>
      </c>
      <c r="Q1477">
        <v>130000</v>
      </c>
      <c r="R1477">
        <v>1</v>
      </c>
      <c r="S1477">
        <v>25</v>
      </c>
      <c r="T1477">
        <v>0</v>
      </c>
      <c r="U1477">
        <f t="shared" si="93"/>
        <v>12.0015054797889</v>
      </c>
      <c r="V1477">
        <f t="shared" si="94"/>
        <v>8.6424151561696192</v>
      </c>
      <c r="W1477">
        <v>1</v>
      </c>
      <c r="X1477">
        <v>0</v>
      </c>
      <c r="Y1477">
        <v>1</v>
      </c>
      <c r="Z1477">
        <f>'Résultat (Ln)'!F$30+'Résultat (Ln)'!F$31*Données!S1477+'Résultat (Ln)'!F$32*Données!T1477+'Résultat (Ln)'!F$33*Données!U1477+'Résultat (Ln)'!F$34*Données!V1477+'Résultat (Ln)'!F$35*Données!W1477+'Résultat (Ln)'!F$36*Données!X1477+'Résultat (Ln)'!F$37*Données!Y1477</f>
        <v>148213.52295768855</v>
      </c>
      <c r="AA1477">
        <f t="shared" si="95"/>
        <v>-18213.522957688547</v>
      </c>
    </row>
    <row r="1478" spans="1:27" x14ac:dyDescent="0.25">
      <c r="A1478">
        <v>47000</v>
      </c>
      <c r="B1478">
        <v>1</v>
      </c>
      <c r="C1478">
        <v>33</v>
      </c>
      <c r="D1478">
        <v>0</v>
      </c>
      <c r="E1478">
        <v>79000</v>
      </c>
      <c r="F1478">
        <v>1993</v>
      </c>
      <c r="G1478">
        <v>0</v>
      </c>
      <c r="H1478">
        <v>1</v>
      </c>
      <c r="I1478">
        <v>0</v>
      </c>
      <c r="J1478">
        <v>31</v>
      </c>
      <c r="K1478">
        <v>1</v>
      </c>
      <c r="L1478">
        <f>Résultats!G$32+Résultats!G$33*Données!C1478+Résultats!G$34*Données!D1478+Résultats!G$35*Données!E1478+Résultats!G$36*Données!F1478+Résultats!G$37*Données!G1478+Résultats!G$38*Données!H1478+Résultats!G$39*Données!I1478</f>
        <v>73593.770472681412</v>
      </c>
      <c r="M1478">
        <f t="shared" si="92"/>
        <v>-26593.770472681412</v>
      </c>
      <c r="Q1478">
        <v>94000</v>
      </c>
      <c r="R1478">
        <v>1</v>
      </c>
      <c r="S1478">
        <v>37.900001525878913</v>
      </c>
      <c r="T1478">
        <v>1</v>
      </c>
      <c r="U1478">
        <f t="shared" si="93"/>
        <v>11.552146178123509</v>
      </c>
      <c r="V1478">
        <f t="shared" si="94"/>
        <v>8.1605182474775049</v>
      </c>
      <c r="W1478">
        <v>0</v>
      </c>
      <c r="X1478">
        <v>0</v>
      </c>
      <c r="Y1478">
        <v>0</v>
      </c>
      <c r="Z1478">
        <f>'Résultat (Ln)'!F$30+'Résultat (Ln)'!F$31*Données!S1478+'Résultat (Ln)'!F$32*Données!T1478+'Résultat (Ln)'!F$33*Données!U1478+'Résultat (Ln)'!F$34*Données!V1478+'Résultat (Ln)'!F$35*Données!W1478+'Résultat (Ln)'!F$36*Données!X1478+'Résultat (Ln)'!F$37*Données!Y1478</f>
        <v>88041.197795801301</v>
      </c>
      <c r="AA1478">
        <f t="shared" si="95"/>
        <v>5958.8022041986987</v>
      </c>
    </row>
    <row r="1479" spans="1:27" x14ac:dyDescent="0.25">
      <c r="A1479">
        <v>145000</v>
      </c>
      <c r="B1479">
        <v>1</v>
      </c>
      <c r="C1479">
        <v>27</v>
      </c>
      <c r="D1479">
        <v>0</v>
      </c>
      <c r="E1479">
        <v>332000</v>
      </c>
      <c r="F1479">
        <v>6857</v>
      </c>
      <c r="G1479">
        <v>1</v>
      </c>
      <c r="H1479">
        <v>0</v>
      </c>
      <c r="I1479">
        <v>1</v>
      </c>
      <c r="J1479">
        <v>20</v>
      </c>
      <c r="K1479">
        <v>1</v>
      </c>
      <c r="L1479">
        <f>Résultats!G$32+Résultats!G$33*Données!C1479+Résultats!G$34*Données!D1479+Résultats!G$35*Données!E1479+Résultats!G$36*Données!F1479+Résultats!G$37*Données!G1479+Résultats!G$38*Données!H1479+Résultats!G$39*Données!I1479</f>
        <v>212833.67473637903</v>
      </c>
      <c r="M1479">
        <f t="shared" si="92"/>
        <v>-67833.674736379035</v>
      </c>
      <c r="Q1479">
        <v>47000</v>
      </c>
      <c r="R1479">
        <v>1</v>
      </c>
      <c r="S1479">
        <v>33</v>
      </c>
      <c r="T1479">
        <v>0</v>
      </c>
      <c r="U1479">
        <f t="shared" si="93"/>
        <v>11.277203131449159</v>
      </c>
      <c r="V1479">
        <f t="shared" si="94"/>
        <v>7.5973963202127948</v>
      </c>
      <c r="W1479">
        <v>0</v>
      </c>
      <c r="X1479">
        <v>1</v>
      </c>
      <c r="Y1479">
        <v>0</v>
      </c>
      <c r="Z1479">
        <f>'Résultat (Ln)'!F$30+'Résultat (Ln)'!F$31*Données!S1479+'Résultat (Ln)'!F$32*Données!T1479+'Résultat (Ln)'!F$33*Données!U1479+'Résultat (Ln)'!F$34*Données!V1479+'Résultat (Ln)'!F$35*Données!W1479+'Résultat (Ln)'!F$36*Données!X1479+'Résultat (Ln)'!F$37*Données!Y1479</f>
        <v>32260.967558772776</v>
      </c>
      <c r="AA1479">
        <f t="shared" si="95"/>
        <v>14739.032441227224</v>
      </c>
    </row>
    <row r="1480" spans="1:27" x14ac:dyDescent="0.25">
      <c r="A1480">
        <v>99000</v>
      </c>
      <c r="B1480">
        <v>1</v>
      </c>
      <c r="C1480">
        <v>34</v>
      </c>
      <c r="D1480">
        <v>0</v>
      </c>
      <c r="E1480">
        <v>110000</v>
      </c>
      <c r="F1480">
        <v>2056</v>
      </c>
      <c r="G1480">
        <v>0</v>
      </c>
      <c r="H1480">
        <v>0</v>
      </c>
      <c r="I1480">
        <v>0</v>
      </c>
      <c r="J1480">
        <v>30</v>
      </c>
      <c r="K1480">
        <v>1</v>
      </c>
      <c r="L1480">
        <f>Résultats!G$32+Résultats!G$33*Données!C1480+Résultats!G$34*Données!D1480+Résultats!G$35*Données!E1480+Résultats!G$36*Données!F1480+Résultats!G$37*Données!G1480+Résultats!G$38*Données!H1480+Résultats!G$39*Données!I1480</f>
        <v>90965.349263870332</v>
      </c>
      <c r="M1480">
        <f t="shared" si="92"/>
        <v>8034.6507361296681</v>
      </c>
      <c r="Q1480">
        <v>145000</v>
      </c>
      <c r="R1480">
        <v>1</v>
      </c>
      <c r="S1480">
        <v>27</v>
      </c>
      <c r="T1480">
        <v>0</v>
      </c>
      <c r="U1480">
        <f t="shared" si="93"/>
        <v>12.712890247898626</v>
      </c>
      <c r="V1480">
        <f t="shared" si="94"/>
        <v>8.8330253072843643</v>
      </c>
      <c r="W1480">
        <v>1</v>
      </c>
      <c r="X1480">
        <v>0</v>
      </c>
      <c r="Y1480">
        <v>1</v>
      </c>
      <c r="Z1480">
        <f>'Résultat (Ln)'!F$30+'Résultat (Ln)'!F$31*Données!S1480+'Résultat (Ln)'!F$32*Données!T1480+'Résultat (Ln)'!F$33*Données!U1480+'Résultat (Ln)'!F$34*Données!V1480+'Résultat (Ln)'!F$35*Données!W1480+'Résultat (Ln)'!F$36*Données!X1480+'Résultat (Ln)'!F$37*Données!Y1480</f>
        <v>232260.71085371045</v>
      </c>
      <c r="AA1480">
        <f t="shared" si="95"/>
        <v>-87260.71085371045</v>
      </c>
    </row>
    <row r="1481" spans="1:27" x14ac:dyDescent="0.25">
      <c r="A1481">
        <v>70000</v>
      </c>
      <c r="B1481">
        <v>1</v>
      </c>
      <c r="C1481">
        <v>31</v>
      </c>
      <c r="D1481">
        <v>0</v>
      </c>
      <c r="E1481">
        <v>70000</v>
      </c>
      <c r="F1481">
        <v>2947</v>
      </c>
      <c r="G1481">
        <v>1</v>
      </c>
      <c r="H1481">
        <v>0</v>
      </c>
      <c r="I1481">
        <v>0</v>
      </c>
      <c r="J1481">
        <v>19.60000038146973</v>
      </c>
      <c r="K1481">
        <v>1</v>
      </c>
      <c r="L1481">
        <f>Résultats!G$32+Résultats!G$33*Données!C1481+Résultats!G$34*Données!D1481+Résultats!G$35*Données!E1481+Résultats!G$36*Données!F1481+Résultats!G$37*Données!G1481+Résultats!G$38*Données!H1481+Résultats!G$39*Données!I1481</f>
        <v>77584.394403549421</v>
      </c>
      <c r="M1481">
        <f t="shared" si="92"/>
        <v>-7584.3944035494205</v>
      </c>
      <c r="Q1481">
        <v>99000</v>
      </c>
      <c r="R1481">
        <v>1</v>
      </c>
      <c r="S1481">
        <v>34</v>
      </c>
      <c r="T1481">
        <v>0</v>
      </c>
      <c r="U1481">
        <f t="shared" si="93"/>
        <v>11.608235644774552</v>
      </c>
      <c r="V1481">
        <f t="shared" si="94"/>
        <v>7.6285176265750554</v>
      </c>
      <c r="W1481">
        <v>0</v>
      </c>
      <c r="X1481">
        <v>0</v>
      </c>
      <c r="Y1481">
        <v>0</v>
      </c>
      <c r="Z1481">
        <f>'Résultat (Ln)'!F$30+'Résultat (Ln)'!F$31*Données!S1481+'Résultat (Ln)'!F$32*Données!T1481+'Résultat (Ln)'!F$33*Données!U1481+'Résultat (Ln)'!F$34*Données!V1481+'Résultat (Ln)'!F$35*Données!W1481+'Résultat (Ln)'!F$36*Données!X1481+'Résultat (Ln)'!F$37*Données!Y1481</f>
        <v>70018.587072185823</v>
      </c>
      <c r="AA1481">
        <f t="shared" si="95"/>
        <v>28981.412927814177</v>
      </c>
    </row>
    <row r="1482" spans="1:27" x14ac:dyDescent="0.25">
      <c r="A1482">
        <v>110000</v>
      </c>
      <c r="B1482">
        <v>1</v>
      </c>
      <c r="C1482">
        <v>19</v>
      </c>
      <c r="D1482">
        <v>0</v>
      </c>
      <c r="E1482">
        <v>137000</v>
      </c>
      <c r="F1482">
        <v>16692</v>
      </c>
      <c r="G1482">
        <v>1</v>
      </c>
      <c r="H1482">
        <v>0</v>
      </c>
      <c r="I1482">
        <v>1</v>
      </c>
      <c r="J1482">
        <v>10</v>
      </c>
      <c r="K1482">
        <v>0</v>
      </c>
      <c r="L1482">
        <f>Résultats!G$32+Résultats!G$33*Données!C1482+Résultats!G$34*Données!D1482+Résultats!G$35*Données!E1482+Résultats!G$36*Données!F1482+Résultats!G$37*Données!G1482+Résultats!G$38*Données!H1482+Résultats!G$39*Données!I1482</f>
        <v>131646.56305448472</v>
      </c>
      <c r="M1482">
        <f t="shared" si="92"/>
        <v>-21646.563054484723</v>
      </c>
      <c r="Q1482">
        <v>70000</v>
      </c>
      <c r="R1482">
        <v>1</v>
      </c>
      <c r="S1482">
        <v>31</v>
      </c>
      <c r="T1482">
        <v>0</v>
      </c>
      <c r="U1482">
        <f t="shared" si="93"/>
        <v>11.156250521031495</v>
      </c>
      <c r="V1482">
        <f t="shared" si="94"/>
        <v>7.9885429827376946</v>
      </c>
      <c r="W1482">
        <v>1</v>
      </c>
      <c r="X1482">
        <v>0</v>
      </c>
      <c r="Y1482">
        <v>0</v>
      </c>
      <c r="Z1482">
        <f>'Résultat (Ln)'!F$30+'Résultat (Ln)'!F$31*Données!S1482+'Résultat (Ln)'!F$32*Données!T1482+'Résultat (Ln)'!F$33*Données!U1482+'Résultat (Ln)'!F$34*Données!V1482+'Résultat (Ln)'!F$35*Données!W1482+'Résultat (Ln)'!F$36*Données!X1482+'Résultat (Ln)'!F$37*Données!Y1482</f>
        <v>32512.89025997038</v>
      </c>
      <c r="AA1482">
        <f t="shared" si="95"/>
        <v>37487.10974002962</v>
      </c>
    </row>
    <row r="1483" spans="1:27" x14ac:dyDescent="0.25">
      <c r="A1483">
        <v>98000</v>
      </c>
      <c r="B1483">
        <v>1</v>
      </c>
      <c r="C1483">
        <v>37.700000762939453</v>
      </c>
      <c r="D1483">
        <v>0</v>
      </c>
      <c r="E1483">
        <v>122000</v>
      </c>
      <c r="F1483">
        <v>210</v>
      </c>
      <c r="G1483">
        <v>1</v>
      </c>
      <c r="H1483">
        <v>1</v>
      </c>
      <c r="I1483">
        <v>0</v>
      </c>
      <c r="J1483">
        <v>31.239999771118161</v>
      </c>
      <c r="K1483">
        <v>0</v>
      </c>
      <c r="L1483">
        <f>Résultats!G$32+Résultats!G$33*Données!C1483+Résultats!G$34*Données!D1483+Résultats!G$35*Données!E1483+Résultats!G$36*Données!F1483+Résultats!G$37*Données!G1483+Résultats!G$38*Données!H1483+Résultats!G$39*Données!I1483</f>
        <v>102633.05629172937</v>
      </c>
      <c r="M1483">
        <f t="shared" si="92"/>
        <v>-4633.0562917293719</v>
      </c>
      <c r="Q1483">
        <v>110000</v>
      </c>
      <c r="R1483">
        <v>1</v>
      </c>
      <c r="S1483">
        <v>19</v>
      </c>
      <c r="T1483">
        <v>0</v>
      </c>
      <c r="U1483">
        <f t="shared" si="93"/>
        <v>11.827736204810263</v>
      </c>
      <c r="V1483">
        <f t="shared" si="94"/>
        <v>9.7226848417114429</v>
      </c>
      <c r="W1483">
        <v>1</v>
      </c>
      <c r="X1483">
        <v>0</v>
      </c>
      <c r="Y1483">
        <v>1</v>
      </c>
      <c r="Z1483">
        <f>'Résultat (Ln)'!F$30+'Résultat (Ln)'!F$31*Données!S1483+'Résultat (Ln)'!F$32*Données!T1483+'Résultat (Ln)'!F$33*Données!U1483+'Résultat (Ln)'!F$34*Données!V1483+'Résultat (Ln)'!F$35*Données!W1483+'Résultat (Ln)'!F$36*Données!X1483+'Résultat (Ln)'!F$37*Données!Y1483</f>
        <v>152551.00114658099</v>
      </c>
      <c r="AA1483">
        <f t="shared" si="95"/>
        <v>-42551.001146580995</v>
      </c>
    </row>
    <row r="1484" spans="1:27" x14ac:dyDescent="0.25">
      <c r="A1484">
        <v>145000</v>
      </c>
      <c r="B1484">
        <v>1</v>
      </c>
      <c r="C1484">
        <v>24</v>
      </c>
      <c r="D1484">
        <v>0</v>
      </c>
      <c r="E1484">
        <v>230000</v>
      </c>
      <c r="F1484">
        <v>6273</v>
      </c>
      <c r="G1484">
        <v>1</v>
      </c>
      <c r="H1484">
        <v>0</v>
      </c>
      <c r="I1484">
        <v>0</v>
      </c>
      <c r="J1484">
        <v>24</v>
      </c>
      <c r="K1484">
        <v>1</v>
      </c>
      <c r="L1484">
        <f>Résultats!G$32+Résultats!G$33*Données!C1484+Résultats!G$34*Données!D1484+Résultats!G$35*Données!E1484+Résultats!G$36*Données!F1484+Résultats!G$37*Données!G1484+Résultats!G$38*Données!H1484+Résultats!G$39*Données!I1484</f>
        <v>150701.30551584836</v>
      </c>
      <c r="M1484">
        <f t="shared" si="92"/>
        <v>-5701.3055158483621</v>
      </c>
      <c r="Q1484">
        <v>98000</v>
      </c>
      <c r="R1484">
        <v>1</v>
      </c>
      <c r="S1484">
        <v>37.700000762939453</v>
      </c>
      <c r="T1484">
        <v>0</v>
      </c>
      <c r="U1484">
        <f t="shared" si="93"/>
        <v>11.711776323715394</v>
      </c>
      <c r="V1484">
        <f t="shared" si="94"/>
        <v>5.3471075307174685</v>
      </c>
      <c r="W1484">
        <v>1</v>
      </c>
      <c r="X1484">
        <v>1</v>
      </c>
      <c r="Y1484">
        <v>0</v>
      </c>
      <c r="Z1484">
        <f>'Résultat (Ln)'!F$30+'Résultat (Ln)'!F$31*Données!S1484+'Résultat (Ln)'!F$32*Données!T1484+'Résultat (Ln)'!F$33*Données!U1484+'Résultat (Ln)'!F$34*Données!V1484+'Résultat (Ln)'!F$35*Données!W1484+'Résultat (Ln)'!F$36*Données!X1484+'Résultat (Ln)'!F$37*Données!Y1484</f>
        <v>25991.778077234601</v>
      </c>
      <c r="AA1484">
        <f t="shared" si="95"/>
        <v>72008.221922765399</v>
      </c>
    </row>
    <row r="1485" spans="1:27" x14ac:dyDescent="0.25">
      <c r="A1485">
        <v>125000</v>
      </c>
      <c r="B1485">
        <v>1</v>
      </c>
      <c r="C1485">
        <v>32</v>
      </c>
      <c r="D1485">
        <v>0</v>
      </c>
      <c r="E1485">
        <v>139000</v>
      </c>
      <c r="F1485">
        <v>1750</v>
      </c>
      <c r="G1485">
        <v>0</v>
      </c>
      <c r="H1485">
        <v>1</v>
      </c>
      <c r="I1485">
        <v>0</v>
      </c>
      <c r="J1485">
        <v>27</v>
      </c>
      <c r="K1485">
        <v>0</v>
      </c>
      <c r="L1485">
        <f>Résultats!G$32+Résultats!G$33*Données!C1485+Résultats!G$34*Données!D1485+Résultats!G$35*Données!E1485+Résultats!G$36*Données!F1485+Résultats!G$37*Données!G1485+Résultats!G$38*Données!H1485+Résultats!G$39*Données!I1485</f>
        <v>99991.413884042209</v>
      </c>
      <c r="M1485">
        <f t="shared" si="92"/>
        <v>25008.586115957791</v>
      </c>
      <c r="Q1485">
        <v>145000</v>
      </c>
      <c r="R1485">
        <v>1</v>
      </c>
      <c r="S1485">
        <v>24</v>
      </c>
      <c r="T1485">
        <v>0</v>
      </c>
      <c r="U1485">
        <f t="shared" si="93"/>
        <v>12.345834587905333</v>
      </c>
      <c r="V1485">
        <f t="shared" si="94"/>
        <v>8.7440099880967441</v>
      </c>
      <c r="W1485">
        <v>1</v>
      </c>
      <c r="X1485">
        <v>0</v>
      </c>
      <c r="Y1485">
        <v>0</v>
      </c>
      <c r="Z1485">
        <f>'Résultat (Ln)'!F$30+'Résultat (Ln)'!F$31*Données!S1485+'Résultat (Ln)'!F$32*Données!T1485+'Résultat (Ln)'!F$33*Données!U1485+'Résultat (Ln)'!F$34*Données!V1485+'Résultat (Ln)'!F$35*Données!W1485+'Résultat (Ln)'!F$36*Données!X1485+'Résultat (Ln)'!F$37*Données!Y1485</f>
        <v>172664.41245056098</v>
      </c>
      <c r="AA1485">
        <f t="shared" si="95"/>
        <v>-27664.41245056098</v>
      </c>
    </row>
    <row r="1486" spans="1:27" x14ac:dyDescent="0.25">
      <c r="A1486">
        <v>110000</v>
      </c>
      <c r="B1486">
        <v>1</v>
      </c>
      <c r="C1486">
        <v>34</v>
      </c>
      <c r="D1486">
        <v>0</v>
      </c>
      <c r="E1486">
        <v>180000</v>
      </c>
      <c r="F1486">
        <v>4333</v>
      </c>
      <c r="G1486">
        <v>1</v>
      </c>
      <c r="H1486">
        <v>0</v>
      </c>
      <c r="I1486">
        <v>0</v>
      </c>
      <c r="J1486">
        <v>17.819999694824219</v>
      </c>
      <c r="K1486">
        <v>1</v>
      </c>
      <c r="L1486">
        <f>Résultats!G$32+Résultats!G$33*Données!C1486+Résultats!G$34*Données!D1486+Résultats!G$35*Données!E1486+Résultats!G$36*Données!F1486+Résultats!G$37*Données!G1486+Résultats!G$38*Données!H1486+Résultats!G$39*Données!I1486</f>
        <v>135081.03838382839</v>
      </c>
      <c r="M1486">
        <f t="shared" si="92"/>
        <v>-25081.038383828389</v>
      </c>
      <c r="Q1486">
        <v>125000</v>
      </c>
      <c r="R1486">
        <v>1</v>
      </c>
      <c r="S1486">
        <v>32</v>
      </c>
      <c r="T1486">
        <v>0</v>
      </c>
      <c r="U1486">
        <f t="shared" si="93"/>
        <v>11.842229212112828</v>
      </c>
      <c r="V1486">
        <f t="shared" si="94"/>
        <v>7.4673710669175595</v>
      </c>
      <c r="W1486">
        <v>0</v>
      </c>
      <c r="X1486">
        <v>1</v>
      </c>
      <c r="Y1486">
        <v>0</v>
      </c>
      <c r="Z1486">
        <f>'Résultat (Ln)'!F$30+'Résultat (Ln)'!F$31*Données!S1486+'Résultat (Ln)'!F$32*Données!T1486+'Résultat (Ln)'!F$33*Données!U1486+'Résultat (Ln)'!F$34*Données!V1486+'Résultat (Ln)'!F$35*Données!W1486+'Résultat (Ln)'!F$36*Données!X1486+'Résultat (Ln)'!F$37*Données!Y1486</f>
        <v>87960.556006780957</v>
      </c>
      <c r="AA1486">
        <f t="shared" si="95"/>
        <v>37039.443993219043</v>
      </c>
    </row>
    <row r="1487" spans="1:27" x14ac:dyDescent="0.25">
      <c r="A1487">
        <v>296000</v>
      </c>
      <c r="B1487">
        <v>1</v>
      </c>
      <c r="C1487">
        <v>39</v>
      </c>
      <c r="D1487">
        <v>0</v>
      </c>
      <c r="E1487">
        <v>367000</v>
      </c>
      <c r="F1487">
        <v>10833</v>
      </c>
      <c r="G1487">
        <v>0</v>
      </c>
      <c r="H1487">
        <v>0</v>
      </c>
      <c r="I1487">
        <v>1</v>
      </c>
      <c r="J1487">
        <v>27.89999961853027</v>
      </c>
      <c r="K1487">
        <v>1</v>
      </c>
      <c r="L1487">
        <f>Résultats!G$32+Résultats!G$33*Données!C1487+Résultats!G$34*Données!D1487+Résultats!G$35*Données!E1487+Résultats!G$36*Données!F1487+Résultats!G$37*Données!G1487+Résultats!G$38*Données!H1487+Résultats!G$39*Données!I1487</f>
        <v>243649.10777453001</v>
      </c>
      <c r="M1487">
        <f t="shared" si="92"/>
        <v>52350.892225469986</v>
      </c>
      <c r="Q1487">
        <v>110000</v>
      </c>
      <c r="R1487">
        <v>1</v>
      </c>
      <c r="S1487">
        <v>34</v>
      </c>
      <c r="T1487">
        <v>0</v>
      </c>
      <c r="U1487">
        <f t="shared" si="93"/>
        <v>12.100712129872347</v>
      </c>
      <c r="V1487">
        <f t="shared" si="94"/>
        <v>8.3740154217399088</v>
      </c>
      <c r="W1487">
        <v>1</v>
      </c>
      <c r="X1487">
        <v>0</v>
      </c>
      <c r="Y1487">
        <v>0</v>
      </c>
      <c r="Z1487">
        <f>'Résultat (Ln)'!F$30+'Résultat (Ln)'!F$31*Données!S1487+'Résultat (Ln)'!F$32*Données!T1487+'Résultat (Ln)'!F$33*Données!U1487+'Résultat (Ln)'!F$34*Données!V1487+'Résultat (Ln)'!F$35*Données!W1487+'Résultat (Ln)'!F$36*Données!X1487+'Résultat (Ln)'!F$37*Données!Y1487</f>
        <v>148231.9904463806</v>
      </c>
      <c r="AA1487">
        <f t="shared" si="95"/>
        <v>-38231.990446380601</v>
      </c>
    </row>
    <row r="1488" spans="1:27" x14ac:dyDescent="0.25">
      <c r="A1488">
        <v>125000</v>
      </c>
      <c r="B1488">
        <v>1</v>
      </c>
      <c r="C1488">
        <v>30.39999961853027</v>
      </c>
      <c r="D1488">
        <v>0</v>
      </c>
      <c r="E1488">
        <v>264000</v>
      </c>
      <c r="F1488">
        <v>5167</v>
      </c>
      <c r="G1488">
        <v>1</v>
      </c>
      <c r="H1488">
        <v>0</v>
      </c>
      <c r="I1488">
        <v>0</v>
      </c>
      <c r="J1488">
        <v>20.29999923706055</v>
      </c>
      <c r="K1488">
        <v>1</v>
      </c>
      <c r="L1488">
        <f>Résultats!G$32+Résultats!G$33*Données!C1488+Résultats!G$34*Données!D1488+Résultats!G$35*Données!E1488+Résultats!G$36*Données!F1488+Résultats!G$37*Données!G1488+Résultats!G$38*Données!H1488+Résultats!G$39*Données!I1488</f>
        <v>171786.01381236204</v>
      </c>
      <c r="M1488">
        <f t="shared" si="92"/>
        <v>-46786.013812362042</v>
      </c>
      <c r="Q1488">
        <v>296000</v>
      </c>
      <c r="R1488">
        <v>1</v>
      </c>
      <c r="S1488">
        <v>39</v>
      </c>
      <c r="T1488">
        <v>0</v>
      </c>
      <c r="U1488">
        <f t="shared" si="93"/>
        <v>12.813117127036707</v>
      </c>
      <c r="V1488">
        <f t="shared" si="94"/>
        <v>9.2903523099455683</v>
      </c>
      <c r="W1488">
        <v>0</v>
      </c>
      <c r="X1488">
        <v>0</v>
      </c>
      <c r="Y1488">
        <v>1</v>
      </c>
      <c r="Z1488">
        <f>'Résultat (Ln)'!F$30+'Résultat (Ln)'!F$31*Données!S1488+'Résultat (Ln)'!F$32*Données!T1488+'Résultat (Ln)'!F$33*Données!U1488+'Résultat (Ln)'!F$34*Données!V1488+'Résultat (Ln)'!F$35*Données!W1488+'Résultat (Ln)'!F$36*Données!X1488+'Résultat (Ln)'!F$37*Données!Y1488</f>
        <v>265981.14709681412</v>
      </c>
      <c r="AA1488">
        <f t="shared" si="95"/>
        <v>30018.852903185878</v>
      </c>
    </row>
    <row r="1489" spans="1:27" x14ac:dyDescent="0.25">
      <c r="A1489">
        <v>40000</v>
      </c>
      <c r="B1489">
        <v>1</v>
      </c>
      <c r="C1489">
        <v>30</v>
      </c>
      <c r="D1489">
        <v>0</v>
      </c>
      <c r="E1489">
        <v>200000</v>
      </c>
      <c r="F1489">
        <v>2608</v>
      </c>
      <c r="G1489">
        <v>1</v>
      </c>
      <c r="H1489">
        <v>0</v>
      </c>
      <c r="I1489">
        <v>0</v>
      </c>
      <c r="J1489">
        <v>29</v>
      </c>
      <c r="K1489">
        <v>0</v>
      </c>
      <c r="L1489">
        <f>Résultats!G$32+Résultats!G$33*Données!C1489+Résultats!G$34*Données!D1489+Résultats!G$35*Données!E1489+Résultats!G$36*Données!F1489+Résultats!G$37*Données!G1489+Résultats!G$38*Données!H1489+Résultats!G$39*Données!I1489</f>
        <v>136482.73903488109</v>
      </c>
      <c r="M1489">
        <f t="shared" si="92"/>
        <v>-96482.739034881088</v>
      </c>
      <c r="Q1489">
        <v>125000</v>
      </c>
      <c r="R1489">
        <v>1</v>
      </c>
      <c r="S1489">
        <v>30.39999961853027</v>
      </c>
      <c r="T1489">
        <v>0</v>
      </c>
      <c r="U1489">
        <f t="shared" si="93"/>
        <v>12.483704382128453</v>
      </c>
      <c r="V1489">
        <f t="shared" si="94"/>
        <v>8.550047528287184</v>
      </c>
      <c r="W1489">
        <v>1</v>
      </c>
      <c r="X1489">
        <v>0</v>
      </c>
      <c r="Y1489">
        <v>0</v>
      </c>
      <c r="Z1489">
        <f>'Résultat (Ln)'!F$30+'Résultat (Ln)'!F$31*Données!S1489+'Résultat (Ln)'!F$32*Données!T1489+'Résultat (Ln)'!F$33*Données!U1489+'Résultat (Ln)'!F$34*Données!V1489+'Résultat (Ln)'!F$35*Données!W1489+'Résultat (Ln)'!F$36*Données!X1489+'Résultat (Ln)'!F$37*Données!Y1489</f>
        <v>189824.67389389631</v>
      </c>
      <c r="AA1489">
        <f t="shared" si="95"/>
        <v>-64824.67389389631</v>
      </c>
    </row>
    <row r="1490" spans="1:27" x14ac:dyDescent="0.25">
      <c r="A1490">
        <v>250000</v>
      </c>
      <c r="B1490">
        <v>1</v>
      </c>
      <c r="C1490">
        <v>30</v>
      </c>
      <c r="D1490">
        <v>1</v>
      </c>
      <c r="E1490">
        <v>590000</v>
      </c>
      <c r="F1490">
        <v>10833</v>
      </c>
      <c r="G1490">
        <v>1</v>
      </c>
      <c r="H1490">
        <v>1</v>
      </c>
      <c r="I1490">
        <v>1</v>
      </c>
      <c r="J1490">
        <v>24</v>
      </c>
      <c r="K1490">
        <v>1</v>
      </c>
      <c r="L1490">
        <f>Résultats!G$32+Résultats!G$33*Données!C1490+Résultats!G$34*Données!D1490+Résultats!G$35*Données!E1490+Résultats!G$36*Données!F1490+Résultats!G$37*Données!G1490+Résultats!G$38*Données!H1490+Résultats!G$39*Données!I1490</f>
        <v>347681.24399362644</v>
      </c>
      <c r="M1490">
        <f t="shared" si="92"/>
        <v>-97681.243993626442</v>
      </c>
      <c r="Q1490">
        <v>40000</v>
      </c>
      <c r="R1490">
        <v>1</v>
      </c>
      <c r="S1490">
        <v>30</v>
      </c>
      <c r="T1490">
        <v>0</v>
      </c>
      <c r="U1490">
        <f t="shared" si="93"/>
        <v>12.206072645530174</v>
      </c>
      <c r="V1490">
        <f t="shared" si="94"/>
        <v>7.8663389230465439</v>
      </c>
      <c r="W1490">
        <v>1</v>
      </c>
      <c r="X1490">
        <v>0</v>
      </c>
      <c r="Y1490">
        <v>0</v>
      </c>
      <c r="Z1490">
        <f>'Résultat (Ln)'!F$30+'Résultat (Ln)'!F$31*Données!S1490+'Résultat (Ln)'!F$32*Données!T1490+'Résultat (Ln)'!F$33*Données!U1490+'Résultat (Ln)'!F$34*Données!V1490+'Résultat (Ln)'!F$35*Données!W1490+'Résultat (Ln)'!F$36*Données!X1490+'Résultat (Ln)'!F$37*Données!Y1490</f>
        <v>140399.81678561229</v>
      </c>
      <c r="AA1490">
        <f t="shared" si="95"/>
        <v>-100399.81678561229</v>
      </c>
    </row>
    <row r="1491" spans="1:27" x14ac:dyDescent="0.25">
      <c r="A1491">
        <v>119000</v>
      </c>
      <c r="B1491">
        <v>1</v>
      </c>
      <c r="C1491">
        <v>44</v>
      </c>
      <c r="D1491">
        <v>0</v>
      </c>
      <c r="E1491">
        <v>125000</v>
      </c>
      <c r="F1491">
        <v>2348</v>
      </c>
      <c r="G1491">
        <v>1</v>
      </c>
      <c r="H1491">
        <v>0</v>
      </c>
      <c r="I1491">
        <v>0</v>
      </c>
      <c r="J1491">
        <v>30</v>
      </c>
      <c r="K1491">
        <v>1</v>
      </c>
      <c r="L1491">
        <f>Résultats!G$32+Résultats!G$33*Données!C1491+Résultats!G$34*Données!D1491+Résultats!G$35*Données!E1491+Résultats!G$36*Données!F1491+Résultats!G$37*Données!G1491+Résultats!G$38*Données!H1491+Résultats!G$39*Données!I1491</f>
        <v>117038.80447698632</v>
      </c>
      <c r="M1491">
        <f t="shared" si="92"/>
        <v>1961.1955230136809</v>
      </c>
      <c r="Q1491">
        <v>250000</v>
      </c>
      <c r="R1491">
        <v>1</v>
      </c>
      <c r="S1491">
        <v>30</v>
      </c>
      <c r="T1491">
        <v>1</v>
      </c>
      <c r="U1491">
        <f t="shared" si="93"/>
        <v>13.287877815881902</v>
      </c>
      <c r="V1491">
        <f t="shared" si="94"/>
        <v>9.2903523099455683</v>
      </c>
      <c r="W1491">
        <v>1</v>
      </c>
      <c r="X1491">
        <v>1</v>
      </c>
      <c r="Y1491">
        <v>1</v>
      </c>
      <c r="Z1491">
        <f>'Résultat (Ln)'!F$30+'Résultat (Ln)'!F$31*Données!S1491+'Résultat (Ln)'!F$32*Données!T1491+'Résultat (Ln)'!F$33*Données!U1491+'Résultat (Ln)'!F$34*Données!V1491+'Résultat (Ln)'!F$35*Données!W1491+'Résultat (Ln)'!F$36*Données!X1491+'Résultat (Ln)'!F$37*Données!Y1491</f>
        <v>314560.32309882634</v>
      </c>
      <c r="AA1491">
        <f t="shared" si="95"/>
        <v>-64560.323098826339</v>
      </c>
    </row>
    <row r="1492" spans="1:27" x14ac:dyDescent="0.25">
      <c r="A1492">
        <v>187000</v>
      </c>
      <c r="B1492">
        <v>1</v>
      </c>
      <c r="C1492">
        <v>26</v>
      </c>
      <c r="D1492">
        <v>0</v>
      </c>
      <c r="E1492">
        <v>315000</v>
      </c>
      <c r="F1492">
        <v>6000</v>
      </c>
      <c r="G1492">
        <v>1</v>
      </c>
      <c r="H1492">
        <v>0</v>
      </c>
      <c r="I1492">
        <v>0</v>
      </c>
      <c r="J1492">
        <v>20</v>
      </c>
      <c r="K1492">
        <v>1</v>
      </c>
      <c r="L1492">
        <f>Résultats!G$32+Résultats!G$33*Données!C1492+Résultats!G$34*Données!D1492+Résultats!G$35*Données!E1492+Résultats!G$36*Données!F1492+Résultats!G$37*Données!G1492+Résultats!G$38*Données!H1492+Résultats!G$39*Données!I1492</f>
        <v>192160.65816040518</v>
      </c>
      <c r="M1492">
        <f t="shared" si="92"/>
        <v>-5160.6581604051753</v>
      </c>
      <c r="Q1492">
        <v>119000</v>
      </c>
      <c r="R1492">
        <v>1</v>
      </c>
      <c r="S1492">
        <v>44</v>
      </c>
      <c r="T1492">
        <v>0</v>
      </c>
      <c r="U1492">
        <f t="shared" si="93"/>
        <v>11.736069016284437</v>
      </c>
      <c r="V1492">
        <f t="shared" si="94"/>
        <v>7.7613191809479867</v>
      </c>
      <c r="W1492">
        <v>1</v>
      </c>
      <c r="X1492">
        <v>0</v>
      </c>
      <c r="Y1492">
        <v>0</v>
      </c>
      <c r="Z1492">
        <f>'Résultat (Ln)'!F$30+'Résultat (Ln)'!F$31*Données!S1492+'Résultat (Ln)'!F$32*Données!T1492+'Résultat (Ln)'!F$33*Données!U1492+'Résultat (Ln)'!F$34*Données!V1492+'Résultat (Ln)'!F$35*Données!W1492+'Résultat (Ln)'!F$36*Données!X1492+'Résultat (Ln)'!F$37*Données!Y1492</f>
        <v>104180.72318141865</v>
      </c>
      <c r="AA1492">
        <f t="shared" si="95"/>
        <v>14819.276818581347</v>
      </c>
    </row>
    <row r="1493" spans="1:27" x14ac:dyDescent="0.25">
      <c r="A1493">
        <v>157000</v>
      </c>
      <c r="B1493">
        <v>1</v>
      </c>
      <c r="C1493">
        <v>36.200000762939453</v>
      </c>
      <c r="D1493">
        <v>0</v>
      </c>
      <c r="E1493">
        <v>174000</v>
      </c>
      <c r="F1493">
        <v>3500</v>
      </c>
      <c r="G1493">
        <v>1</v>
      </c>
      <c r="H1493">
        <v>0</v>
      </c>
      <c r="I1493">
        <v>0</v>
      </c>
      <c r="J1493">
        <v>25.70000076293945</v>
      </c>
      <c r="K1493">
        <v>1</v>
      </c>
      <c r="L1493">
        <f>Résultats!G$32+Résultats!G$33*Données!C1493+Résultats!G$34*Données!D1493+Résultats!G$35*Données!E1493+Résultats!G$36*Données!F1493+Résultats!G$37*Données!G1493+Résultats!G$38*Données!H1493+Résultats!G$39*Données!I1493</f>
        <v>133192.21760654301</v>
      </c>
      <c r="M1493">
        <f t="shared" si="92"/>
        <v>23807.78239345699</v>
      </c>
      <c r="Q1493">
        <v>187000</v>
      </c>
      <c r="R1493">
        <v>1</v>
      </c>
      <c r="S1493">
        <v>26</v>
      </c>
      <c r="T1493">
        <v>0</v>
      </c>
      <c r="U1493">
        <f t="shared" si="93"/>
        <v>12.66032791780777</v>
      </c>
      <c r="V1493">
        <f t="shared" si="94"/>
        <v>8.6995147482101913</v>
      </c>
      <c r="W1493">
        <v>1</v>
      </c>
      <c r="X1493">
        <v>0</v>
      </c>
      <c r="Y1493">
        <v>0</v>
      </c>
      <c r="Z1493">
        <f>'Résultat (Ln)'!F$30+'Résultat (Ln)'!F$31*Données!S1493+'Résultat (Ln)'!F$32*Données!T1493+'Résultat (Ln)'!F$33*Données!U1493+'Résultat (Ln)'!F$34*Données!V1493+'Résultat (Ln)'!F$35*Données!W1493+'Résultat (Ln)'!F$36*Données!X1493+'Résultat (Ln)'!F$37*Données!Y1493</f>
        <v>207572.88073166637</v>
      </c>
      <c r="AA1493">
        <f t="shared" si="95"/>
        <v>-20572.880731666373</v>
      </c>
    </row>
    <row r="1494" spans="1:27" x14ac:dyDescent="0.25">
      <c r="A1494">
        <v>276000</v>
      </c>
      <c r="B1494">
        <v>1</v>
      </c>
      <c r="C1494">
        <v>38</v>
      </c>
      <c r="D1494">
        <v>0</v>
      </c>
      <c r="E1494">
        <v>315000</v>
      </c>
      <c r="F1494">
        <v>16560</v>
      </c>
      <c r="G1494">
        <v>1</v>
      </c>
      <c r="H1494">
        <v>0</v>
      </c>
      <c r="I1494">
        <v>0</v>
      </c>
      <c r="J1494">
        <v>14</v>
      </c>
      <c r="K1494">
        <v>1</v>
      </c>
      <c r="L1494">
        <f>Résultats!G$32+Résultats!G$33*Données!C1494+Résultats!G$34*Données!D1494+Résultats!G$35*Données!E1494+Résultats!G$36*Données!F1494+Résultats!G$37*Données!G1494+Résultats!G$38*Données!H1494+Résultats!G$39*Données!I1494</f>
        <v>226407.73729219942</v>
      </c>
      <c r="M1494">
        <f t="shared" si="92"/>
        <v>49592.262707800575</v>
      </c>
      <c r="Q1494">
        <v>157000</v>
      </c>
      <c r="R1494">
        <v>1</v>
      </c>
      <c r="S1494">
        <v>36.200000762939453</v>
      </c>
      <c r="T1494">
        <v>0</v>
      </c>
      <c r="U1494">
        <f t="shared" si="93"/>
        <v>12.066810578196666</v>
      </c>
      <c r="V1494">
        <f t="shared" si="94"/>
        <v>8.1605182474775049</v>
      </c>
      <c r="W1494">
        <v>1</v>
      </c>
      <c r="X1494">
        <v>0</v>
      </c>
      <c r="Y1494">
        <v>0</v>
      </c>
      <c r="Z1494">
        <f>'Résultat (Ln)'!F$30+'Résultat (Ln)'!F$31*Données!S1494+'Résultat (Ln)'!F$32*Données!T1494+'Résultat (Ln)'!F$33*Données!U1494+'Résultat (Ln)'!F$34*Données!V1494+'Résultat (Ln)'!F$35*Données!W1494+'Résultat (Ln)'!F$36*Données!X1494+'Résultat (Ln)'!F$37*Données!Y1494</f>
        <v>141298.68794789969</v>
      </c>
      <c r="AA1494">
        <f t="shared" si="95"/>
        <v>15701.312052100315</v>
      </c>
    </row>
    <row r="1495" spans="1:27" x14ac:dyDescent="0.25">
      <c r="A1495">
        <v>350000</v>
      </c>
      <c r="B1495">
        <v>1</v>
      </c>
      <c r="C1495">
        <v>28</v>
      </c>
      <c r="D1495">
        <v>0</v>
      </c>
      <c r="E1495">
        <v>750000</v>
      </c>
      <c r="F1495">
        <v>25000</v>
      </c>
      <c r="G1495">
        <v>1</v>
      </c>
      <c r="H1495">
        <v>0</v>
      </c>
      <c r="I1495">
        <v>1</v>
      </c>
      <c r="J1495">
        <v>18</v>
      </c>
      <c r="K1495">
        <v>1</v>
      </c>
      <c r="L1495">
        <f>Résultats!G$32+Résultats!G$33*Données!C1495+Résultats!G$34*Données!D1495+Résultats!G$35*Données!E1495+Résultats!G$36*Données!F1495+Résultats!G$37*Données!G1495+Résultats!G$38*Données!H1495+Résultats!G$39*Données!I1495</f>
        <v>444326.08759755973</v>
      </c>
      <c r="M1495">
        <f t="shared" si="92"/>
        <v>-94326.08759755973</v>
      </c>
      <c r="Q1495">
        <v>276000</v>
      </c>
      <c r="R1495">
        <v>1</v>
      </c>
      <c r="S1495">
        <v>38</v>
      </c>
      <c r="T1495">
        <v>0</v>
      </c>
      <c r="U1495">
        <f t="shared" si="93"/>
        <v>12.66032791780777</v>
      </c>
      <c r="V1495">
        <f t="shared" si="94"/>
        <v>9.7147454279392509</v>
      </c>
      <c r="W1495">
        <v>1</v>
      </c>
      <c r="X1495">
        <v>0</v>
      </c>
      <c r="Y1495">
        <v>0</v>
      </c>
      <c r="Z1495">
        <f>'Résultat (Ln)'!F$30+'Résultat (Ln)'!F$31*Données!S1495+'Résultat (Ln)'!F$32*Données!T1495+'Résultat (Ln)'!F$33*Données!U1495+'Résultat (Ln)'!F$34*Données!V1495+'Résultat (Ln)'!F$35*Données!W1495+'Résultat (Ln)'!F$36*Données!X1495+'Résultat (Ln)'!F$37*Données!Y1495</f>
        <v>250710.32173728533</v>
      </c>
      <c r="AA1495">
        <f t="shared" si="95"/>
        <v>25289.678262714675</v>
      </c>
    </row>
    <row r="1496" spans="1:27" x14ac:dyDescent="0.25">
      <c r="A1496">
        <v>162000</v>
      </c>
      <c r="B1496">
        <v>1</v>
      </c>
      <c r="C1496">
        <v>28.60000038146973</v>
      </c>
      <c r="D1496">
        <v>0</v>
      </c>
      <c r="E1496">
        <v>202000</v>
      </c>
      <c r="F1496">
        <v>3450</v>
      </c>
      <c r="G1496">
        <v>1</v>
      </c>
      <c r="H1496">
        <v>0</v>
      </c>
      <c r="I1496">
        <v>1</v>
      </c>
      <c r="J1496">
        <v>25.270000457763668</v>
      </c>
      <c r="K1496">
        <v>1</v>
      </c>
      <c r="L1496">
        <f>Résultats!G$32+Résultats!G$33*Données!C1496+Résultats!G$34*Données!D1496+Résultats!G$35*Données!E1496+Résultats!G$36*Données!F1496+Résultats!G$37*Données!G1496+Résultats!G$38*Données!H1496+Résultats!G$39*Données!I1496</f>
        <v>147365.58129857967</v>
      </c>
      <c r="M1496">
        <f t="shared" si="92"/>
        <v>14634.418701420334</v>
      </c>
      <c r="Q1496">
        <v>350000</v>
      </c>
      <c r="R1496">
        <v>1</v>
      </c>
      <c r="S1496">
        <v>28</v>
      </c>
      <c r="T1496">
        <v>0</v>
      </c>
      <c r="U1496">
        <f t="shared" si="93"/>
        <v>13.527828485512494</v>
      </c>
      <c r="V1496">
        <f t="shared" si="94"/>
        <v>10.126631103850338</v>
      </c>
      <c r="W1496">
        <v>1</v>
      </c>
      <c r="X1496">
        <v>0</v>
      </c>
      <c r="Y1496">
        <v>1</v>
      </c>
      <c r="Z1496">
        <f>'Résultat (Ln)'!F$30+'Résultat (Ln)'!F$31*Données!S1496+'Résultat (Ln)'!F$32*Données!T1496+'Résultat (Ln)'!F$33*Données!U1496+'Résultat (Ln)'!F$34*Données!V1496+'Résultat (Ln)'!F$35*Données!W1496+'Résultat (Ln)'!F$36*Données!X1496+'Résultat (Ln)'!F$37*Données!Y1496</f>
        <v>357120.7180179506</v>
      </c>
      <c r="AA1496">
        <f t="shared" si="95"/>
        <v>-7120.7180179505958</v>
      </c>
    </row>
    <row r="1497" spans="1:27" x14ac:dyDescent="0.25">
      <c r="A1497">
        <v>106000</v>
      </c>
      <c r="B1497">
        <v>1</v>
      </c>
      <c r="C1497">
        <v>32</v>
      </c>
      <c r="D1497">
        <v>0</v>
      </c>
      <c r="E1497">
        <v>133000</v>
      </c>
      <c r="F1497">
        <v>3044</v>
      </c>
      <c r="G1497">
        <v>1</v>
      </c>
      <c r="H1497">
        <v>1</v>
      </c>
      <c r="I1497">
        <v>1</v>
      </c>
      <c r="J1497">
        <v>20</v>
      </c>
      <c r="K1497">
        <v>1</v>
      </c>
      <c r="L1497">
        <f>Résultats!G$32+Résultats!G$33*Données!C1497+Résultats!G$34*Données!D1497+Résultats!G$35*Données!E1497+Résultats!G$36*Données!F1497+Résultats!G$37*Données!G1497+Résultats!G$38*Données!H1497+Résultats!G$39*Données!I1497</f>
        <v>116639.26646131199</v>
      </c>
      <c r="M1497">
        <f t="shared" si="92"/>
        <v>-10639.266461311985</v>
      </c>
      <c r="Q1497">
        <v>162000</v>
      </c>
      <c r="R1497">
        <v>1</v>
      </c>
      <c r="S1497">
        <v>28.60000038146973</v>
      </c>
      <c r="T1497">
        <v>0</v>
      </c>
      <c r="U1497">
        <f t="shared" si="93"/>
        <v>12.216022976383341</v>
      </c>
      <c r="V1497">
        <f t="shared" si="94"/>
        <v>8.1461295100254052</v>
      </c>
      <c r="W1497">
        <v>1</v>
      </c>
      <c r="X1497">
        <v>0</v>
      </c>
      <c r="Y1497">
        <v>1</v>
      </c>
      <c r="Z1497">
        <f>'Résultat (Ln)'!F$30+'Résultat (Ln)'!F$31*Données!S1497+'Résultat (Ln)'!F$32*Données!T1497+'Résultat (Ln)'!F$33*Données!U1497+'Résultat (Ln)'!F$34*Données!V1497+'Résultat (Ln)'!F$35*Données!W1497+'Résultat (Ln)'!F$36*Données!X1497+'Résultat (Ln)'!F$37*Données!Y1497</f>
        <v>161689.47101930474</v>
      </c>
      <c r="AA1497">
        <f t="shared" si="95"/>
        <v>310.52898069526418</v>
      </c>
    </row>
    <row r="1498" spans="1:27" x14ac:dyDescent="0.25">
      <c r="A1498">
        <v>113000</v>
      </c>
      <c r="B1498">
        <v>1</v>
      </c>
      <c r="C1498">
        <v>42</v>
      </c>
      <c r="D1498">
        <v>0</v>
      </c>
      <c r="E1498">
        <v>126000</v>
      </c>
      <c r="F1498">
        <v>2653</v>
      </c>
      <c r="G1498">
        <v>1</v>
      </c>
      <c r="H1498">
        <v>0</v>
      </c>
      <c r="I1498">
        <v>0</v>
      </c>
      <c r="J1498">
        <v>32</v>
      </c>
      <c r="K1498">
        <v>1</v>
      </c>
      <c r="L1498">
        <f>Résultats!G$32+Résultats!G$33*Données!C1498+Résultats!G$34*Données!D1498+Résultats!G$35*Données!E1498+Résultats!G$36*Données!F1498+Résultats!G$37*Données!G1498+Résultats!G$38*Données!H1498+Résultats!G$39*Données!I1498</f>
        <v>115799.442133979</v>
      </c>
      <c r="M1498">
        <f t="shared" si="92"/>
        <v>-2799.4421339789988</v>
      </c>
      <c r="Q1498">
        <v>106000</v>
      </c>
      <c r="R1498">
        <v>1</v>
      </c>
      <c r="S1498">
        <v>32</v>
      </c>
      <c r="T1498">
        <v>0</v>
      </c>
      <c r="U1498">
        <f t="shared" si="93"/>
        <v>11.798104407203891</v>
      </c>
      <c r="V1498">
        <f t="shared" si="94"/>
        <v>8.0209277189815769</v>
      </c>
      <c r="W1498">
        <v>1</v>
      </c>
      <c r="X1498">
        <v>1</v>
      </c>
      <c r="Y1498">
        <v>1</v>
      </c>
      <c r="Z1498">
        <f>'Résultat (Ln)'!F$30+'Résultat (Ln)'!F$31*Données!S1498+'Résultat (Ln)'!F$32*Données!T1498+'Résultat (Ln)'!F$33*Données!U1498+'Résultat (Ln)'!F$34*Données!V1498+'Résultat (Ln)'!F$35*Données!W1498+'Résultat (Ln)'!F$36*Données!X1498+'Résultat (Ln)'!F$37*Données!Y1498</f>
        <v>117356.46954927678</v>
      </c>
      <c r="AA1498">
        <f t="shared" si="95"/>
        <v>-11356.469549276779</v>
      </c>
    </row>
    <row r="1499" spans="1:27" x14ac:dyDescent="0.25">
      <c r="A1499">
        <v>110000</v>
      </c>
      <c r="B1499">
        <v>1</v>
      </c>
      <c r="C1499">
        <v>39</v>
      </c>
      <c r="D1499">
        <v>0</v>
      </c>
      <c r="E1499">
        <v>210000</v>
      </c>
      <c r="F1499">
        <v>5850</v>
      </c>
      <c r="G1499">
        <v>1</v>
      </c>
      <c r="H1499">
        <v>0</v>
      </c>
      <c r="I1499">
        <v>0</v>
      </c>
      <c r="J1499">
        <v>20</v>
      </c>
      <c r="K1499">
        <v>1</v>
      </c>
      <c r="L1499">
        <f>Résultats!G$32+Résultats!G$33*Données!C1499+Résultats!G$34*Données!D1499+Résultats!G$35*Données!E1499+Résultats!G$36*Données!F1499+Résultats!G$37*Données!G1499+Résultats!G$38*Données!H1499+Résultats!G$39*Données!I1499</f>
        <v>157772.61177344722</v>
      </c>
      <c r="M1499">
        <f t="shared" si="92"/>
        <v>-47772.611773447221</v>
      </c>
      <c r="Q1499">
        <v>113000</v>
      </c>
      <c r="R1499">
        <v>1</v>
      </c>
      <c r="S1499">
        <v>42</v>
      </c>
      <c r="T1499">
        <v>0</v>
      </c>
      <c r="U1499">
        <f t="shared" si="93"/>
        <v>11.744037185933616</v>
      </c>
      <c r="V1499">
        <f t="shared" si="94"/>
        <v>7.8834463541377398</v>
      </c>
      <c r="W1499">
        <v>1</v>
      </c>
      <c r="X1499">
        <v>0</v>
      </c>
      <c r="Y1499">
        <v>0</v>
      </c>
      <c r="Z1499">
        <f>'Résultat (Ln)'!F$30+'Résultat (Ln)'!F$31*Données!S1499+'Résultat (Ln)'!F$32*Données!T1499+'Résultat (Ln)'!F$33*Données!U1499+'Résultat (Ln)'!F$34*Données!V1499+'Résultat (Ln)'!F$35*Données!W1499+'Résultat (Ln)'!F$36*Données!X1499+'Résultat (Ln)'!F$37*Données!Y1499</f>
        <v>106015.94710567802</v>
      </c>
      <c r="AA1499">
        <f t="shared" si="95"/>
        <v>6984.0528943219833</v>
      </c>
    </row>
    <row r="1500" spans="1:27" x14ac:dyDescent="0.25">
      <c r="A1500">
        <v>100000</v>
      </c>
      <c r="B1500">
        <v>1</v>
      </c>
      <c r="C1500">
        <v>37</v>
      </c>
      <c r="D1500">
        <v>0</v>
      </c>
      <c r="E1500">
        <v>420000</v>
      </c>
      <c r="F1500">
        <v>4691</v>
      </c>
      <c r="G1500">
        <v>1</v>
      </c>
      <c r="H1500">
        <v>0</v>
      </c>
      <c r="I1500">
        <v>0</v>
      </c>
      <c r="J1500">
        <v>28</v>
      </c>
      <c r="K1500">
        <v>1</v>
      </c>
      <c r="L1500">
        <f>Résultats!G$32+Résultats!G$33*Données!C1500+Résultats!G$34*Données!D1500+Résultats!G$35*Données!E1500+Résultats!G$36*Données!F1500+Résultats!G$37*Données!G1500+Résultats!G$38*Données!H1500+Résultats!G$39*Données!I1500</f>
        <v>251289.56187955098</v>
      </c>
      <c r="M1500">
        <f t="shared" si="92"/>
        <v>-151289.56187955098</v>
      </c>
      <c r="Q1500">
        <v>110000</v>
      </c>
      <c r="R1500">
        <v>1</v>
      </c>
      <c r="S1500">
        <v>39</v>
      </c>
      <c r="T1500">
        <v>0</v>
      </c>
      <c r="U1500">
        <f t="shared" si="93"/>
        <v>12.254862809699606</v>
      </c>
      <c r="V1500">
        <f t="shared" si="94"/>
        <v>8.6741969402259027</v>
      </c>
      <c r="W1500">
        <v>1</v>
      </c>
      <c r="X1500">
        <v>0</v>
      </c>
      <c r="Y1500">
        <v>0</v>
      </c>
      <c r="Z1500">
        <f>'Résultat (Ln)'!F$30+'Résultat (Ln)'!F$31*Données!S1500+'Résultat (Ln)'!F$32*Données!T1500+'Résultat (Ln)'!F$33*Données!U1500+'Résultat (Ln)'!F$34*Données!V1500+'Résultat (Ln)'!F$35*Données!W1500+'Résultat (Ln)'!F$36*Données!X1500+'Résultat (Ln)'!F$37*Données!Y1500</f>
        <v>179285.29342170211</v>
      </c>
      <c r="AA1500">
        <f t="shared" si="95"/>
        <v>-69285.29342170211</v>
      </c>
    </row>
    <row r="1501" spans="1:27" x14ac:dyDescent="0.25">
      <c r="A1501">
        <v>125000</v>
      </c>
      <c r="B1501">
        <v>1</v>
      </c>
      <c r="C1501">
        <v>27.60000038146973</v>
      </c>
      <c r="D1501">
        <v>0</v>
      </c>
      <c r="E1501">
        <v>125000</v>
      </c>
      <c r="F1501">
        <v>3700</v>
      </c>
      <c r="G1501">
        <v>1</v>
      </c>
      <c r="H1501">
        <v>1</v>
      </c>
      <c r="I1501">
        <v>1</v>
      </c>
      <c r="J1501">
        <v>25.440000534057621</v>
      </c>
      <c r="K1501">
        <v>1</v>
      </c>
      <c r="L1501">
        <f>Résultats!G$32+Résultats!G$33*Données!C1501+Résultats!G$34*Données!D1501+Résultats!G$35*Données!E1501+Résultats!G$36*Données!F1501+Résultats!G$37*Données!G1501+Résultats!G$38*Données!H1501+Résultats!G$39*Données!I1501</f>
        <v>109120.6795939318</v>
      </c>
      <c r="M1501">
        <f t="shared" si="92"/>
        <v>15879.320406068204</v>
      </c>
      <c r="Q1501">
        <v>100000</v>
      </c>
      <c r="R1501">
        <v>1</v>
      </c>
      <c r="S1501">
        <v>37</v>
      </c>
      <c r="T1501">
        <v>0</v>
      </c>
      <c r="U1501">
        <f t="shared" si="93"/>
        <v>12.948009990259552</v>
      </c>
      <c r="V1501">
        <f t="shared" si="94"/>
        <v>8.453401058328458</v>
      </c>
      <c r="W1501">
        <v>1</v>
      </c>
      <c r="X1501">
        <v>0</v>
      </c>
      <c r="Y1501">
        <v>0</v>
      </c>
      <c r="Z1501">
        <f>'Résultat (Ln)'!F$30+'Résultat (Ln)'!F$31*Données!S1501+'Résultat (Ln)'!F$32*Données!T1501+'Résultat (Ln)'!F$33*Données!U1501+'Résultat (Ln)'!F$34*Données!V1501+'Résultat (Ln)'!F$35*Données!W1501+'Résultat (Ln)'!F$36*Données!X1501+'Résultat (Ln)'!F$37*Données!Y1501</f>
        <v>244951.12052029767</v>
      </c>
      <c r="AA1501">
        <f t="shared" si="95"/>
        <v>-144951.12052029767</v>
      </c>
    </row>
    <row r="1502" spans="1:27" x14ac:dyDescent="0.25">
      <c r="A1502">
        <v>100000</v>
      </c>
      <c r="B1502">
        <v>1</v>
      </c>
      <c r="C1502">
        <v>39</v>
      </c>
      <c r="D1502">
        <v>0</v>
      </c>
      <c r="E1502">
        <v>160000</v>
      </c>
      <c r="F1502">
        <v>2592</v>
      </c>
      <c r="G1502">
        <v>0</v>
      </c>
      <c r="H1502">
        <v>0</v>
      </c>
      <c r="I1502">
        <v>1</v>
      </c>
      <c r="J1502">
        <v>38</v>
      </c>
      <c r="K1502">
        <v>0</v>
      </c>
      <c r="L1502">
        <f>Résultats!G$32+Résultats!G$33*Données!C1502+Résultats!G$34*Données!D1502+Résultats!G$35*Données!E1502+Résultats!G$36*Données!F1502+Résultats!G$37*Données!G1502+Résultats!G$38*Données!H1502+Résultats!G$39*Données!I1502</f>
        <v>131020.47547810394</v>
      </c>
      <c r="M1502">
        <f t="shared" si="92"/>
        <v>-31020.475478103937</v>
      </c>
      <c r="Q1502">
        <v>125000</v>
      </c>
      <c r="R1502">
        <v>1</v>
      </c>
      <c r="S1502">
        <v>27.60000038146973</v>
      </c>
      <c r="T1502">
        <v>0</v>
      </c>
      <c r="U1502">
        <f t="shared" si="93"/>
        <v>11.736069016284437</v>
      </c>
      <c r="V1502">
        <f t="shared" si="94"/>
        <v>8.2160880986323157</v>
      </c>
      <c r="W1502">
        <v>1</v>
      </c>
      <c r="X1502">
        <v>1</v>
      </c>
      <c r="Y1502">
        <v>1</v>
      </c>
      <c r="Z1502">
        <f>'Résultat (Ln)'!F$30+'Résultat (Ln)'!F$31*Données!S1502+'Résultat (Ln)'!F$32*Données!T1502+'Résultat (Ln)'!F$33*Données!U1502+'Résultat (Ln)'!F$34*Données!V1502+'Résultat (Ln)'!F$35*Données!W1502+'Résultat (Ln)'!F$36*Données!X1502+'Résultat (Ln)'!F$37*Données!Y1502</f>
        <v>110802.99847053495</v>
      </c>
      <c r="AA1502">
        <f t="shared" si="95"/>
        <v>14197.001529465051</v>
      </c>
    </row>
    <row r="1503" spans="1:27" x14ac:dyDescent="0.25">
      <c r="A1503">
        <v>93000</v>
      </c>
      <c r="B1503">
        <v>1</v>
      </c>
      <c r="C1503">
        <v>44</v>
      </c>
      <c r="D1503">
        <v>0</v>
      </c>
      <c r="E1503">
        <v>143000</v>
      </c>
      <c r="F1503">
        <v>2500</v>
      </c>
      <c r="G1503">
        <v>0</v>
      </c>
      <c r="H1503">
        <v>0</v>
      </c>
      <c r="I1503">
        <v>0</v>
      </c>
      <c r="J1503">
        <v>32</v>
      </c>
      <c r="K1503">
        <v>0</v>
      </c>
      <c r="L1503">
        <f>Résultats!G$32+Résultats!G$33*Données!C1503+Résultats!G$34*Données!D1503+Résultats!G$35*Données!E1503+Résultats!G$36*Données!F1503+Résultats!G$37*Données!G1503+Résultats!G$38*Données!H1503+Résultats!G$39*Données!I1503</f>
        <v>118721.88851163973</v>
      </c>
      <c r="M1503">
        <f t="shared" si="92"/>
        <v>-25721.888511639729</v>
      </c>
      <c r="Q1503">
        <v>100000</v>
      </c>
      <c r="R1503">
        <v>1</v>
      </c>
      <c r="S1503">
        <v>39</v>
      </c>
      <c r="T1503">
        <v>0</v>
      </c>
      <c r="U1503">
        <f t="shared" si="93"/>
        <v>11.982929094215963</v>
      </c>
      <c r="V1503">
        <f t="shared" si="94"/>
        <v>7.8601850574721652</v>
      </c>
      <c r="W1503">
        <v>0</v>
      </c>
      <c r="X1503">
        <v>0</v>
      </c>
      <c r="Y1503">
        <v>1</v>
      </c>
      <c r="Z1503">
        <f>'Résultat (Ln)'!F$30+'Résultat (Ln)'!F$31*Données!S1503+'Résultat (Ln)'!F$32*Données!T1503+'Résultat (Ln)'!F$33*Données!U1503+'Résultat (Ln)'!F$34*Données!V1503+'Résultat (Ln)'!F$35*Données!W1503+'Résultat (Ln)'!F$36*Données!X1503+'Résultat (Ln)'!F$37*Données!Y1503</f>
        <v>136878.49615943045</v>
      </c>
      <c r="AA1503">
        <f t="shared" si="95"/>
        <v>-36878.496159430448</v>
      </c>
    </row>
    <row r="1504" spans="1:27" x14ac:dyDescent="0.25">
      <c r="A1504">
        <v>108000</v>
      </c>
      <c r="B1504">
        <v>1</v>
      </c>
      <c r="C1504">
        <v>36</v>
      </c>
      <c r="D1504">
        <v>0</v>
      </c>
      <c r="E1504">
        <v>146000</v>
      </c>
      <c r="F1504">
        <v>2773</v>
      </c>
      <c r="G1504">
        <v>1</v>
      </c>
      <c r="H1504">
        <v>0</v>
      </c>
      <c r="I1504">
        <v>0</v>
      </c>
      <c r="J1504">
        <v>27</v>
      </c>
      <c r="K1504">
        <v>1</v>
      </c>
      <c r="L1504">
        <f>Résultats!G$32+Résultats!G$33*Données!C1504+Résultats!G$34*Données!D1504+Résultats!G$35*Données!E1504+Résultats!G$36*Données!F1504+Résultats!G$37*Données!G1504+Résultats!G$38*Données!H1504+Résultats!G$39*Données!I1504</f>
        <v>118479.01971661572</v>
      </c>
      <c r="M1504">
        <f t="shared" si="92"/>
        <v>-10479.019716615716</v>
      </c>
      <c r="Q1504">
        <v>93000</v>
      </c>
      <c r="R1504">
        <v>1</v>
      </c>
      <c r="S1504">
        <v>44</v>
      </c>
      <c r="T1504">
        <v>0</v>
      </c>
      <c r="U1504">
        <f t="shared" si="93"/>
        <v>11.870599909242044</v>
      </c>
      <c r="V1504">
        <f t="shared" si="94"/>
        <v>7.8240460108562919</v>
      </c>
      <c r="W1504">
        <v>0</v>
      </c>
      <c r="X1504">
        <v>0</v>
      </c>
      <c r="Y1504">
        <v>0</v>
      </c>
      <c r="Z1504">
        <f>'Résultat (Ln)'!F$30+'Résultat (Ln)'!F$31*Données!S1504+'Résultat (Ln)'!F$32*Données!T1504+'Résultat (Ln)'!F$33*Données!U1504+'Résultat (Ln)'!F$34*Données!V1504+'Résultat (Ln)'!F$35*Données!W1504+'Résultat (Ln)'!F$36*Données!X1504+'Résultat (Ln)'!F$37*Données!Y1504</f>
        <v>115847.03126495657</v>
      </c>
      <c r="AA1504">
        <f t="shared" si="95"/>
        <v>-22847.031264956575</v>
      </c>
    </row>
    <row r="1505" spans="1:27" x14ac:dyDescent="0.25">
      <c r="A1505">
        <v>162000</v>
      </c>
      <c r="B1505">
        <v>1</v>
      </c>
      <c r="C1505">
        <v>21</v>
      </c>
      <c r="D1505">
        <v>0</v>
      </c>
      <c r="E1505">
        <v>170000</v>
      </c>
      <c r="F1505">
        <v>5532</v>
      </c>
      <c r="G1505">
        <v>0</v>
      </c>
      <c r="H1505">
        <v>0</v>
      </c>
      <c r="I1505">
        <v>1</v>
      </c>
      <c r="J1505">
        <v>14</v>
      </c>
      <c r="K1505">
        <v>1</v>
      </c>
      <c r="L1505">
        <f>Résultats!G$32+Résultats!G$33*Données!C1505+Résultats!G$34*Données!D1505+Résultats!G$35*Données!E1505+Résultats!G$36*Données!F1505+Résultats!G$37*Données!G1505+Résultats!G$38*Données!H1505+Résultats!G$39*Données!I1505</f>
        <v>120711.03619603306</v>
      </c>
      <c r="M1505">
        <f t="shared" si="92"/>
        <v>41288.963803966937</v>
      </c>
      <c r="Q1505">
        <v>108000</v>
      </c>
      <c r="R1505">
        <v>1</v>
      </c>
      <c r="S1505">
        <v>36</v>
      </c>
      <c r="T1505">
        <v>0</v>
      </c>
      <c r="U1505">
        <f t="shared" si="93"/>
        <v>11.891361900690473</v>
      </c>
      <c r="V1505">
        <f t="shared" si="94"/>
        <v>7.9276850456157781</v>
      </c>
      <c r="W1505">
        <v>1</v>
      </c>
      <c r="X1505">
        <v>0</v>
      </c>
      <c r="Y1505">
        <v>0</v>
      </c>
      <c r="Z1505">
        <f>'Résultat (Ln)'!F$30+'Résultat (Ln)'!F$31*Données!S1505+'Résultat (Ln)'!F$32*Données!T1505+'Résultat (Ln)'!F$33*Données!U1505+'Résultat (Ln)'!F$34*Données!V1505+'Résultat (Ln)'!F$35*Données!W1505+'Résultat (Ln)'!F$36*Données!X1505+'Résultat (Ln)'!F$37*Données!Y1505</f>
        <v>115716.96670869114</v>
      </c>
      <c r="AA1505">
        <f t="shared" si="95"/>
        <v>-7716.9667086911359</v>
      </c>
    </row>
    <row r="1506" spans="1:27" x14ac:dyDescent="0.25">
      <c r="A1506">
        <v>373000</v>
      </c>
      <c r="B1506">
        <v>1</v>
      </c>
      <c r="C1506">
        <v>35</v>
      </c>
      <c r="D1506">
        <v>0</v>
      </c>
      <c r="E1506">
        <v>394899.99389648438</v>
      </c>
      <c r="F1506">
        <v>12283</v>
      </c>
      <c r="G1506">
        <v>1</v>
      </c>
      <c r="H1506">
        <v>0</v>
      </c>
      <c r="I1506">
        <v>0</v>
      </c>
      <c r="J1506">
        <v>29</v>
      </c>
      <c r="K1506">
        <v>1</v>
      </c>
      <c r="L1506">
        <f>Résultats!G$32+Résultats!G$33*Données!C1506+Résultats!G$34*Données!D1506+Résultats!G$35*Données!E1506+Résultats!G$36*Données!F1506+Résultats!G$37*Données!G1506+Résultats!G$38*Données!H1506+Résultats!G$39*Données!I1506</f>
        <v>251983.37290839438</v>
      </c>
      <c r="M1506">
        <f t="shared" si="92"/>
        <v>121016.62709160562</v>
      </c>
      <c r="Q1506">
        <v>162000</v>
      </c>
      <c r="R1506">
        <v>1</v>
      </c>
      <c r="S1506">
        <v>21</v>
      </c>
      <c r="T1506">
        <v>0</v>
      </c>
      <c r="U1506">
        <f t="shared" si="93"/>
        <v>12.043553716032399</v>
      </c>
      <c r="V1506">
        <f t="shared" si="94"/>
        <v>8.6183046927846494</v>
      </c>
      <c r="W1506">
        <v>0</v>
      </c>
      <c r="X1506">
        <v>0</v>
      </c>
      <c r="Y1506">
        <v>1</v>
      </c>
      <c r="Z1506">
        <f>'Résultat (Ln)'!F$30+'Résultat (Ln)'!F$31*Données!S1506+'Résultat (Ln)'!F$32*Données!T1506+'Résultat (Ln)'!F$33*Données!U1506+'Résultat (Ln)'!F$34*Données!V1506+'Résultat (Ln)'!F$35*Données!W1506+'Résultat (Ln)'!F$36*Données!X1506+'Résultat (Ln)'!F$37*Données!Y1506</f>
        <v>142642.51565351189</v>
      </c>
      <c r="AA1506">
        <f t="shared" si="95"/>
        <v>19357.484346488112</v>
      </c>
    </row>
    <row r="1507" spans="1:27" x14ac:dyDescent="0.25">
      <c r="A1507">
        <v>149000</v>
      </c>
      <c r="B1507">
        <v>1</v>
      </c>
      <c r="C1507">
        <v>30</v>
      </c>
      <c r="D1507">
        <v>0</v>
      </c>
      <c r="E1507">
        <v>165000</v>
      </c>
      <c r="F1507">
        <v>3408</v>
      </c>
      <c r="G1507">
        <v>1</v>
      </c>
      <c r="H1507">
        <v>0</v>
      </c>
      <c r="I1507">
        <v>0</v>
      </c>
      <c r="J1507">
        <v>27</v>
      </c>
      <c r="K1507">
        <v>1</v>
      </c>
      <c r="L1507">
        <f>Résultats!G$32+Résultats!G$33*Données!C1507+Résultats!G$34*Données!D1507+Résultats!G$35*Données!E1507+Résultats!G$36*Données!F1507+Résultats!G$37*Données!G1507+Résultats!G$38*Données!H1507+Résultats!G$39*Données!I1507</f>
        <v>121689.60452394404</v>
      </c>
      <c r="M1507">
        <f t="shared" si="92"/>
        <v>27310.395476055957</v>
      </c>
      <c r="Q1507">
        <v>373000</v>
      </c>
      <c r="R1507">
        <v>1</v>
      </c>
      <c r="S1507">
        <v>35</v>
      </c>
      <c r="T1507">
        <v>0</v>
      </c>
      <c r="U1507">
        <f t="shared" si="93"/>
        <v>12.88638783181889</v>
      </c>
      <c r="V1507">
        <f t="shared" si="94"/>
        <v>9.4159714715390948</v>
      </c>
      <c r="W1507">
        <v>1</v>
      </c>
      <c r="X1507">
        <v>0</v>
      </c>
      <c r="Y1507">
        <v>0</v>
      </c>
      <c r="Z1507">
        <f>'Résultat (Ln)'!F$30+'Résultat (Ln)'!F$31*Données!S1507+'Résultat (Ln)'!F$32*Données!T1507+'Résultat (Ln)'!F$33*Données!U1507+'Résultat (Ln)'!F$34*Données!V1507+'Résultat (Ln)'!F$35*Données!W1507+'Résultat (Ln)'!F$36*Données!X1507+'Résultat (Ln)'!F$37*Données!Y1507</f>
        <v>262897.46684902319</v>
      </c>
      <c r="AA1507">
        <f t="shared" si="95"/>
        <v>110102.53315097681</v>
      </c>
    </row>
    <row r="1508" spans="1:27" x14ac:dyDescent="0.25">
      <c r="A1508">
        <v>150000</v>
      </c>
      <c r="B1508">
        <v>1</v>
      </c>
      <c r="C1508">
        <v>23</v>
      </c>
      <c r="D1508">
        <v>0</v>
      </c>
      <c r="E1508">
        <v>214000</v>
      </c>
      <c r="F1508">
        <v>16525</v>
      </c>
      <c r="G1508">
        <v>1</v>
      </c>
      <c r="H1508">
        <v>0</v>
      </c>
      <c r="I1508">
        <v>0</v>
      </c>
      <c r="J1508">
        <v>9</v>
      </c>
      <c r="K1508">
        <v>1</v>
      </c>
      <c r="L1508">
        <f>Résultats!G$32+Résultats!G$33*Données!C1508+Résultats!G$34*Données!D1508+Résultats!G$35*Données!E1508+Résultats!G$36*Données!F1508+Résultats!G$37*Données!G1508+Résultats!G$38*Données!H1508+Résultats!G$39*Données!I1508</f>
        <v>161947.57891169738</v>
      </c>
      <c r="M1508">
        <f t="shared" si="92"/>
        <v>-11947.578911697376</v>
      </c>
      <c r="Q1508">
        <v>149000</v>
      </c>
      <c r="R1508">
        <v>1</v>
      </c>
      <c r="S1508">
        <v>30</v>
      </c>
      <c r="T1508">
        <v>0</v>
      </c>
      <c r="U1508">
        <f t="shared" si="93"/>
        <v>12.013700752882718</v>
      </c>
      <c r="V1508">
        <f t="shared" si="94"/>
        <v>8.1338808879492071</v>
      </c>
      <c r="W1508">
        <v>1</v>
      </c>
      <c r="X1508">
        <v>0</v>
      </c>
      <c r="Y1508">
        <v>0</v>
      </c>
      <c r="Z1508">
        <f>'Résultat (Ln)'!F$30+'Résultat (Ln)'!F$31*Données!S1508+'Résultat (Ln)'!F$32*Données!T1508+'Résultat (Ln)'!F$33*Données!U1508+'Résultat (Ln)'!F$34*Données!V1508+'Résultat (Ln)'!F$35*Données!W1508+'Résultat (Ln)'!F$36*Données!X1508+'Résultat (Ln)'!F$37*Données!Y1508</f>
        <v>127281.82933113562</v>
      </c>
      <c r="AA1508">
        <f t="shared" si="95"/>
        <v>21718.170668864375</v>
      </c>
    </row>
    <row r="1509" spans="1:27" x14ac:dyDescent="0.25">
      <c r="A1509">
        <v>88000</v>
      </c>
      <c r="B1509">
        <v>1</v>
      </c>
      <c r="C1509">
        <v>22</v>
      </c>
      <c r="D1509">
        <v>0</v>
      </c>
      <c r="E1509">
        <v>190000</v>
      </c>
      <c r="F1509">
        <v>3250</v>
      </c>
      <c r="G1509">
        <v>1</v>
      </c>
      <c r="H1509">
        <v>0</v>
      </c>
      <c r="I1509">
        <v>0</v>
      </c>
      <c r="J1509">
        <v>21</v>
      </c>
      <c r="K1509">
        <v>1</v>
      </c>
      <c r="L1509">
        <f>Résultats!G$32+Résultats!G$33*Données!C1509+Résultats!G$34*Données!D1509+Résultats!G$35*Données!E1509+Résultats!G$36*Données!F1509+Résultats!G$37*Données!G1509+Résultats!G$38*Données!H1509+Résultats!G$39*Données!I1509</f>
        <v>123867.90280402824</v>
      </c>
      <c r="M1509">
        <f t="shared" si="92"/>
        <v>-35867.902804028243</v>
      </c>
      <c r="Q1509">
        <v>150000</v>
      </c>
      <c r="R1509">
        <v>1</v>
      </c>
      <c r="S1509">
        <v>23</v>
      </c>
      <c r="T1509">
        <v>0</v>
      </c>
      <c r="U1509">
        <f t="shared" si="93"/>
        <v>12.273731294003989</v>
      </c>
      <c r="V1509">
        <f t="shared" si="94"/>
        <v>9.7126296647198878</v>
      </c>
      <c r="W1509">
        <v>1</v>
      </c>
      <c r="X1509">
        <v>0</v>
      </c>
      <c r="Y1509">
        <v>0</v>
      </c>
      <c r="Z1509">
        <f>'Résultat (Ln)'!F$30+'Résultat (Ln)'!F$31*Données!S1509+'Résultat (Ln)'!F$32*Données!T1509+'Résultat (Ln)'!F$33*Données!U1509+'Résultat (Ln)'!F$34*Données!V1509+'Résultat (Ln)'!F$35*Données!W1509+'Résultat (Ln)'!F$36*Données!X1509+'Résultat (Ln)'!F$37*Données!Y1509</f>
        <v>190878.92488543523</v>
      </c>
      <c r="AA1509">
        <f t="shared" si="95"/>
        <v>-40878.924885435234</v>
      </c>
    </row>
    <row r="1510" spans="1:27" x14ac:dyDescent="0.25">
      <c r="A1510">
        <v>230000</v>
      </c>
      <c r="B1510">
        <v>1</v>
      </c>
      <c r="C1510">
        <v>32</v>
      </c>
      <c r="D1510">
        <v>0</v>
      </c>
      <c r="E1510">
        <v>324000</v>
      </c>
      <c r="F1510">
        <v>6700</v>
      </c>
      <c r="G1510">
        <v>1</v>
      </c>
      <c r="H1510">
        <v>0</v>
      </c>
      <c r="I1510">
        <v>1</v>
      </c>
      <c r="J1510">
        <v>29</v>
      </c>
      <c r="K1510">
        <v>1</v>
      </c>
      <c r="L1510">
        <f>Résultats!G$32+Résultats!G$33*Données!C1510+Résultats!G$34*Données!D1510+Résultats!G$35*Données!E1510+Résultats!G$36*Données!F1510+Résultats!G$37*Données!G1510+Résultats!G$38*Données!H1510+Résultats!G$39*Données!I1510</f>
        <v>214537.16786616304</v>
      </c>
      <c r="M1510">
        <f t="shared" si="92"/>
        <v>15462.832133836957</v>
      </c>
      <c r="Q1510">
        <v>88000</v>
      </c>
      <c r="R1510">
        <v>1</v>
      </c>
      <c r="S1510">
        <v>22</v>
      </c>
      <c r="T1510">
        <v>0</v>
      </c>
      <c r="U1510">
        <f t="shared" si="93"/>
        <v>12.154779351142624</v>
      </c>
      <c r="V1510">
        <f t="shared" si="94"/>
        <v>8.0864102753237823</v>
      </c>
      <c r="W1510">
        <v>1</v>
      </c>
      <c r="X1510">
        <v>0</v>
      </c>
      <c r="Y1510">
        <v>0</v>
      </c>
      <c r="Z1510">
        <f>'Résultat (Ln)'!F$30+'Résultat (Ln)'!F$31*Données!S1510+'Résultat (Ln)'!F$32*Données!T1510+'Résultat (Ln)'!F$33*Données!U1510+'Résultat (Ln)'!F$34*Données!V1510+'Résultat (Ln)'!F$35*Données!W1510+'Résultat (Ln)'!F$36*Données!X1510+'Résultat (Ln)'!F$37*Données!Y1510</f>
        <v>131297.15085125781</v>
      </c>
      <c r="AA1510">
        <f t="shared" si="95"/>
        <v>-43297.150851257815</v>
      </c>
    </row>
    <row r="1511" spans="1:27" x14ac:dyDescent="0.25">
      <c r="A1511">
        <v>132000</v>
      </c>
      <c r="B1511">
        <v>1</v>
      </c>
      <c r="C1511">
        <v>38.799999237060547</v>
      </c>
      <c r="D1511">
        <v>0</v>
      </c>
      <c r="E1511">
        <v>140000</v>
      </c>
      <c r="F1511">
        <v>2873</v>
      </c>
      <c r="G1511">
        <v>1</v>
      </c>
      <c r="H1511">
        <v>0</v>
      </c>
      <c r="I1511">
        <v>1</v>
      </c>
      <c r="J1511">
        <v>27.39999961853027</v>
      </c>
      <c r="K1511">
        <v>1</v>
      </c>
      <c r="L1511">
        <f>Résultats!G$32+Résultats!G$33*Données!C1511+Résultats!G$34*Données!D1511+Résultats!G$35*Données!E1511+Résultats!G$36*Données!F1511+Résultats!G$37*Données!G1511+Résultats!G$38*Données!H1511+Résultats!G$39*Données!I1511</f>
        <v>129012.81188328807</v>
      </c>
      <c r="M1511">
        <f t="shared" si="92"/>
        <v>2987.1881167119282</v>
      </c>
      <c r="Q1511">
        <v>230000</v>
      </c>
      <c r="R1511">
        <v>1</v>
      </c>
      <c r="S1511">
        <v>32</v>
      </c>
      <c r="T1511">
        <v>0</v>
      </c>
      <c r="U1511">
        <f t="shared" si="93"/>
        <v>12.688498794774466</v>
      </c>
      <c r="V1511">
        <f t="shared" si="94"/>
        <v>8.8098628053790566</v>
      </c>
      <c r="W1511">
        <v>1</v>
      </c>
      <c r="X1511">
        <v>0</v>
      </c>
      <c r="Y1511">
        <v>1</v>
      </c>
      <c r="Z1511">
        <f>'Résultat (Ln)'!F$30+'Résultat (Ln)'!F$31*Données!S1511+'Résultat (Ln)'!F$32*Données!T1511+'Résultat (Ln)'!F$33*Données!U1511+'Résultat (Ln)'!F$34*Données!V1511+'Résultat (Ln)'!F$35*Données!W1511+'Résultat (Ln)'!F$36*Données!X1511+'Résultat (Ln)'!F$37*Données!Y1511</f>
        <v>235106.64933740144</v>
      </c>
      <c r="AA1511">
        <f t="shared" si="95"/>
        <v>-5106.649337401439</v>
      </c>
    </row>
    <row r="1512" spans="1:27" x14ac:dyDescent="0.25">
      <c r="A1512">
        <v>86000</v>
      </c>
      <c r="B1512">
        <v>1</v>
      </c>
      <c r="C1512">
        <v>18</v>
      </c>
      <c r="D1512">
        <v>0</v>
      </c>
      <c r="E1512">
        <v>108000</v>
      </c>
      <c r="F1512">
        <v>16667</v>
      </c>
      <c r="G1512">
        <v>1</v>
      </c>
      <c r="H1512">
        <v>0</v>
      </c>
      <c r="I1512">
        <v>1</v>
      </c>
      <c r="J1512">
        <v>1</v>
      </c>
      <c r="K1512">
        <v>1</v>
      </c>
      <c r="L1512">
        <f>Résultats!G$32+Résultats!G$33*Données!C1512+Résultats!G$34*Données!D1512+Résultats!G$35*Données!E1512+Résultats!G$36*Données!F1512+Résultats!G$37*Données!G1512+Résultats!G$38*Données!H1512+Résultats!G$39*Données!I1512</f>
        <v>116907.80319971713</v>
      </c>
      <c r="M1512">
        <f t="shared" si="92"/>
        <v>-30907.803199717135</v>
      </c>
      <c r="Q1512">
        <v>132000</v>
      </c>
      <c r="R1512">
        <v>1</v>
      </c>
      <c r="S1512">
        <v>38.799999237060547</v>
      </c>
      <c r="T1512">
        <v>0</v>
      </c>
      <c r="U1512">
        <f t="shared" si="93"/>
        <v>11.849397701591441</v>
      </c>
      <c r="V1512">
        <f t="shared" si="94"/>
        <v>7.9631120589792896</v>
      </c>
      <c r="W1512">
        <v>1</v>
      </c>
      <c r="X1512">
        <v>0</v>
      </c>
      <c r="Y1512">
        <v>1</v>
      </c>
      <c r="Z1512">
        <f>'Résultat (Ln)'!F$30+'Résultat (Ln)'!F$31*Données!S1512+'Résultat (Ln)'!F$32*Données!T1512+'Résultat (Ln)'!F$33*Données!U1512+'Résultat (Ln)'!F$34*Données!V1512+'Résultat (Ln)'!F$35*Données!W1512+'Résultat (Ln)'!F$36*Données!X1512+'Résultat (Ln)'!F$37*Données!Y1512</f>
        <v>129720.81400004761</v>
      </c>
      <c r="AA1512">
        <f t="shared" si="95"/>
        <v>2279.1859999523876</v>
      </c>
    </row>
    <row r="1513" spans="1:27" x14ac:dyDescent="0.25">
      <c r="A1513">
        <v>345000</v>
      </c>
      <c r="B1513">
        <v>1</v>
      </c>
      <c r="C1513">
        <v>37.299999237060547</v>
      </c>
      <c r="D1513">
        <v>0</v>
      </c>
      <c r="E1513">
        <v>460000</v>
      </c>
      <c r="F1513">
        <v>10366</v>
      </c>
      <c r="G1513">
        <v>1</v>
      </c>
      <c r="H1513">
        <v>0</v>
      </c>
      <c r="I1513">
        <v>1</v>
      </c>
      <c r="J1513">
        <v>27.319999694824219</v>
      </c>
      <c r="K1513">
        <v>1</v>
      </c>
      <c r="L1513">
        <f>Résultats!G$32+Résultats!G$33*Données!C1513+Résultats!G$34*Données!D1513+Résultats!G$35*Données!E1513+Résultats!G$36*Données!F1513+Résultats!G$37*Données!G1513+Résultats!G$38*Données!H1513+Résultats!G$39*Données!I1513</f>
        <v>291234.69302145822</v>
      </c>
      <c r="M1513">
        <f t="shared" si="92"/>
        <v>53765.306978541776</v>
      </c>
      <c r="Q1513">
        <v>86000</v>
      </c>
      <c r="R1513">
        <v>1</v>
      </c>
      <c r="S1513">
        <v>18</v>
      </c>
      <c r="T1513">
        <v>0</v>
      </c>
      <c r="U1513">
        <f t="shared" si="93"/>
        <v>11.589886506106357</v>
      </c>
      <c r="V1513">
        <f t="shared" si="94"/>
        <v>9.7211859955421769</v>
      </c>
      <c r="W1513">
        <v>1</v>
      </c>
      <c r="X1513">
        <v>0</v>
      </c>
      <c r="Y1513">
        <v>1</v>
      </c>
      <c r="Z1513">
        <f>'Résultat (Ln)'!F$30+'Résultat (Ln)'!F$31*Données!S1513+'Résultat (Ln)'!F$32*Données!T1513+'Résultat (Ln)'!F$33*Données!U1513+'Résultat (Ln)'!F$34*Données!V1513+'Résultat (Ln)'!F$35*Données!W1513+'Résultat (Ln)'!F$36*Données!X1513+'Résultat (Ln)'!F$37*Données!Y1513</f>
        <v>125790.49068000489</v>
      </c>
      <c r="AA1513">
        <f t="shared" si="95"/>
        <v>-39790.490680004892</v>
      </c>
    </row>
    <row r="1514" spans="1:27" x14ac:dyDescent="0.25">
      <c r="A1514">
        <v>95000</v>
      </c>
      <c r="B1514">
        <v>1</v>
      </c>
      <c r="C1514">
        <v>31.39999961853027</v>
      </c>
      <c r="D1514">
        <v>0</v>
      </c>
      <c r="E1514">
        <v>110000</v>
      </c>
      <c r="F1514">
        <v>2947</v>
      </c>
      <c r="G1514">
        <v>1</v>
      </c>
      <c r="H1514">
        <v>0</v>
      </c>
      <c r="I1514">
        <v>0</v>
      </c>
      <c r="J1514">
        <v>22.85000038146973</v>
      </c>
      <c r="K1514">
        <v>1</v>
      </c>
      <c r="L1514">
        <f>Résultats!G$32+Résultats!G$33*Données!C1514+Résultats!G$34*Données!D1514+Résultats!G$35*Données!E1514+Résultats!G$36*Données!F1514+Résultats!G$37*Données!G1514+Résultats!G$38*Données!H1514+Résultats!G$39*Données!I1514</f>
        <v>96721.992863918349</v>
      </c>
      <c r="M1514">
        <f t="shared" si="92"/>
        <v>-1721.992863918349</v>
      </c>
      <c r="Q1514">
        <v>345000</v>
      </c>
      <c r="R1514">
        <v>1</v>
      </c>
      <c r="S1514">
        <v>37.299999237060547</v>
      </c>
      <c r="T1514">
        <v>0</v>
      </c>
      <c r="U1514">
        <f t="shared" si="93"/>
        <v>13.038981768465277</v>
      </c>
      <c r="V1514">
        <f t="shared" si="94"/>
        <v>9.2462864987496527</v>
      </c>
      <c r="W1514">
        <v>1</v>
      </c>
      <c r="X1514">
        <v>0</v>
      </c>
      <c r="Y1514">
        <v>1</v>
      </c>
      <c r="Z1514">
        <f>'Résultat (Ln)'!F$30+'Résultat (Ln)'!F$31*Données!S1514+'Résultat (Ln)'!F$32*Données!T1514+'Résultat (Ln)'!F$33*Données!U1514+'Résultat (Ln)'!F$34*Données!V1514+'Résultat (Ln)'!F$35*Données!W1514+'Résultat (Ln)'!F$36*Données!X1514+'Résultat (Ln)'!F$37*Données!Y1514</f>
        <v>291393.53493093961</v>
      </c>
      <c r="AA1514">
        <f t="shared" si="95"/>
        <v>53606.465069060388</v>
      </c>
    </row>
    <row r="1515" spans="1:27" x14ac:dyDescent="0.25">
      <c r="A1515">
        <v>154000</v>
      </c>
      <c r="B1515">
        <v>1</v>
      </c>
      <c r="C1515">
        <v>34.400001525878913</v>
      </c>
      <c r="D1515">
        <v>0</v>
      </c>
      <c r="E1515">
        <v>220000</v>
      </c>
      <c r="F1515">
        <v>4350</v>
      </c>
      <c r="G1515">
        <v>0</v>
      </c>
      <c r="H1515">
        <v>0</v>
      </c>
      <c r="I1515">
        <v>1</v>
      </c>
      <c r="J1515">
        <v>34.400001525878913</v>
      </c>
      <c r="K1515">
        <v>0</v>
      </c>
      <c r="L1515">
        <f>Résultats!G$32+Résultats!G$33*Données!C1515+Résultats!G$34*Données!D1515+Résultats!G$35*Données!E1515+Résultats!G$36*Données!F1515+Résultats!G$37*Données!G1515+Résultats!G$38*Données!H1515+Résultats!G$39*Données!I1515</f>
        <v>157160.41979625024</v>
      </c>
      <c r="M1515">
        <f t="shared" si="92"/>
        <v>-3160.4197962502367</v>
      </c>
      <c r="Q1515">
        <v>95000</v>
      </c>
      <c r="R1515">
        <v>1</v>
      </c>
      <c r="S1515">
        <v>31.39999961853027</v>
      </c>
      <c r="T1515">
        <v>0</v>
      </c>
      <c r="U1515">
        <f t="shared" si="93"/>
        <v>11.608235644774552</v>
      </c>
      <c r="V1515">
        <f t="shared" si="94"/>
        <v>7.9885429827376946</v>
      </c>
      <c r="W1515">
        <v>1</v>
      </c>
      <c r="X1515">
        <v>0</v>
      </c>
      <c r="Y1515">
        <v>0</v>
      </c>
      <c r="Z1515">
        <f>'Résultat (Ln)'!F$30+'Résultat (Ln)'!F$31*Données!S1515+'Résultat (Ln)'!F$32*Données!T1515+'Résultat (Ln)'!F$33*Données!U1515+'Résultat (Ln)'!F$34*Données!V1515+'Résultat (Ln)'!F$35*Données!W1515+'Résultat (Ln)'!F$36*Données!X1515+'Résultat (Ln)'!F$37*Données!Y1515</f>
        <v>81452.507520334024</v>
      </c>
      <c r="AA1515">
        <f t="shared" si="95"/>
        <v>13547.492479665976</v>
      </c>
    </row>
    <row r="1516" spans="1:27" x14ac:dyDescent="0.25">
      <c r="A1516">
        <v>86000</v>
      </c>
      <c r="B1516">
        <v>1</v>
      </c>
      <c r="C1516">
        <v>31</v>
      </c>
      <c r="D1516">
        <v>0</v>
      </c>
      <c r="E1516">
        <v>107000</v>
      </c>
      <c r="F1516">
        <v>1300</v>
      </c>
      <c r="G1516">
        <v>1</v>
      </c>
      <c r="H1516">
        <v>1</v>
      </c>
      <c r="I1516">
        <v>0</v>
      </c>
      <c r="J1516">
        <v>31</v>
      </c>
      <c r="K1516">
        <v>1</v>
      </c>
      <c r="L1516">
        <f>Résultats!G$32+Résultats!G$33*Données!C1516+Résultats!G$34*Données!D1516+Résultats!G$35*Données!E1516+Résultats!G$36*Données!F1516+Résultats!G$37*Données!G1516+Résultats!G$38*Données!H1516+Résultats!G$39*Données!I1516</f>
        <v>90044.853073859151</v>
      </c>
      <c r="M1516">
        <f t="shared" si="92"/>
        <v>-4044.8530738591508</v>
      </c>
      <c r="Q1516">
        <v>154000</v>
      </c>
      <c r="R1516">
        <v>1</v>
      </c>
      <c r="S1516">
        <v>34.400001525878913</v>
      </c>
      <c r="T1516">
        <v>0</v>
      </c>
      <c r="U1516">
        <f t="shared" si="93"/>
        <v>12.301382825334498</v>
      </c>
      <c r="V1516">
        <f t="shared" si="94"/>
        <v>8.3779311240827301</v>
      </c>
      <c r="W1516">
        <v>0</v>
      </c>
      <c r="X1516">
        <v>0</v>
      </c>
      <c r="Y1516">
        <v>1</v>
      </c>
      <c r="Z1516">
        <f>'Résultat (Ln)'!F$30+'Résultat (Ln)'!F$31*Données!S1516+'Résultat (Ln)'!F$32*Données!T1516+'Résultat (Ln)'!F$33*Données!U1516+'Résultat (Ln)'!F$34*Données!V1516+'Résultat (Ln)'!F$35*Données!W1516+'Résultat (Ln)'!F$36*Données!X1516+'Résultat (Ln)'!F$37*Données!Y1516</f>
        <v>179914.53659013481</v>
      </c>
      <c r="AA1516">
        <f t="shared" si="95"/>
        <v>-25914.536590134812</v>
      </c>
    </row>
    <row r="1517" spans="1:27" x14ac:dyDescent="0.25">
      <c r="A1517">
        <v>113000</v>
      </c>
      <c r="B1517">
        <v>1</v>
      </c>
      <c r="C1517">
        <v>40</v>
      </c>
      <c r="D1517">
        <v>0</v>
      </c>
      <c r="E1517">
        <v>125000</v>
      </c>
      <c r="F1517">
        <v>3095</v>
      </c>
      <c r="G1517">
        <v>1</v>
      </c>
      <c r="H1517">
        <v>0</v>
      </c>
      <c r="I1517">
        <v>0</v>
      </c>
      <c r="J1517">
        <v>32</v>
      </c>
      <c r="K1517">
        <v>1</v>
      </c>
      <c r="L1517">
        <f>Résultats!G$32+Résultats!G$33*Données!C1517+Résultats!G$34*Données!D1517+Résultats!G$35*Données!E1517+Résultats!G$36*Données!F1517+Résultats!G$37*Données!G1517+Résultats!G$38*Données!H1517+Résultats!G$39*Données!I1517</f>
        <v>113891.65012273499</v>
      </c>
      <c r="M1517">
        <f t="shared" si="92"/>
        <v>-891.65012273499451</v>
      </c>
      <c r="Q1517">
        <v>86000</v>
      </c>
      <c r="R1517">
        <v>1</v>
      </c>
      <c r="S1517">
        <v>31</v>
      </c>
      <c r="T1517">
        <v>0</v>
      </c>
      <c r="U1517">
        <f t="shared" si="93"/>
        <v>11.580584113444043</v>
      </c>
      <c r="V1517">
        <f t="shared" si="94"/>
        <v>7.1701195434496281</v>
      </c>
      <c r="W1517">
        <v>1</v>
      </c>
      <c r="X1517">
        <v>1</v>
      </c>
      <c r="Y1517">
        <v>0</v>
      </c>
      <c r="Z1517">
        <f>'Résultat (Ln)'!F$30+'Résultat (Ln)'!F$31*Données!S1517+'Résultat (Ln)'!F$32*Données!T1517+'Résultat (Ln)'!F$33*Données!U1517+'Résultat (Ln)'!F$34*Données!V1517+'Résultat (Ln)'!F$35*Données!W1517+'Résultat (Ln)'!F$36*Données!X1517+'Résultat (Ln)'!F$37*Données!Y1517</f>
        <v>54868.696695111401</v>
      </c>
      <c r="AA1517">
        <f t="shared" si="95"/>
        <v>31131.303304888599</v>
      </c>
    </row>
    <row r="1518" spans="1:27" x14ac:dyDescent="0.25">
      <c r="A1518">
        <v>128000</v>
      </c>
      <c r="B1518">
        <v>1</v>
      </c>
      <c r="C1518">
        <v>33</v>
      </c>
      <c r="D1518">
        <v>0</v>
      </c>
      <c r="E1518">
        <v>161000</v>
      </c>
      <c r="F1518">
        <v>2083</v>
      </c>
      <c r="G1518">
        <v>1</v>
      </c>
      <c r="H1518">
        <v>0</v>
      </c>
      <c r="I1518">
        <v>0</v>
      </c>
      <c r="J1518">
        <v>25</v>
      </c>
      <c r="K1518">
        <v>1</v>
      </c>
      <c r="L1518">
        <f>Résultats!G$32+Résultats!G$33*Données!C1518+Résultats!G$34*Données!D1518+Résultats!G$35*Données!E1518+Résultats!G$36*Données!F1518+Résultats!G$37*Données!G1518+Résultats!G$38*Données!H1518+Résultats!G$39*Données!I1518</f>
        <v>120700.23432698028</v>
      </c>
      <c r="M1518">
        <f t="shared" si="92"/>
        <v>7299.7656730197195</v>
      </c>
      <c r="Q1518">
        <v>113000</v>
      </c>
      <c r="R1518">
        <v>1</v>
      </c>
      <c r="S1518">
        <v>40</v>
      </c>
      <c r="T1518">
        <v>0</v>
      </c>
      <c r="U1518">
        <f t="shared" si="93"/>
        <v>11.736069016284437</v>
      </c>
      <c r="V1518">
        <f t="shared" si="94"/>
        <v>8.0375431851186967</v>
      </c>
      <c r="W1518">
        <v>1</v>
      </c>
      <c r="X1518">
        <v>0</v>
      </c>
      <c r="Y1518">
        <v>0</v>
      </c>
      <c r="Z1518">
        <f>'Résultat (Ln)'!F$30+'Résultat (Ln)'!F$31*Données!S1518+'Résultat (Ln)'!F$32*Données!T1518+'Résultat (Ln)'!F$33*Données!U1518+'Résultat (Ln)'!F$34*Données!V1518+'Résultat (Ln)'!F$35*Données!W1518+'Résultat (Ln)'!F$36*Données!X1518+'Résultat (Ln)'!F$37*Données!Y1518</f>
        <v>107039.48051363351</v>
      </c>
      <c r="AA1518">
        <f t="shared" si="95"/>
        <v>5960.5194863664947</v>
      </c>
    </row>
    <row r="1519" spans="1:27" x14ac:dyDescent="0.25">
      <c r="A1519">
        <v>85000</v>
      </c>
      <c r="B1519">
        <v>1</v>
      </c>
      <c r="C1519">
        <v>34</v>
      </c>
      <c r="D1519">
        <v>0</v>
      </c>
      <c r="E1519">
        <v>106000</v>
      </c>
      <c r="F1519">
        <v>4125</v>
      </c>
      <c r="G1519">
        <v>0</v>
      </c>
      <c r="H1519">
        <v>0</v>
      </c>
      <c r="I1519">
        <v>0</v>
      </c>
      <c r="J1519">
        <v>27</v>
      </c>
      <c r="K1519">
        <v>0</v>
      </c>
      <c r="L1519">
        <f>Résultats!G$32+Résultats!G$33*Données!C1519+Résultats!G$34*Données!D1519+Résultats!G$35*Données!E1519+Résultats!G$36*Données!F1519+Résultats!G$37*Données!G1519+Résultats!G$38*Données!H1519+Résultats!G$39*Données!I1519</f>
        <v>93106.818248928656</v>
      </c>
      <c r="M1519">
        <f t="shared" si="92"/>
        <v>-8106.8182489286555</v>
      </c>
      <c r="Q1519">
        <v>128000</v>
      </c>
      <c r="R1519">
        <v>1</v>
      </c>
      <c r="S1519">
        <v>33</v>
      </c>
      <c r="T1519">
        <v>0</v>
      </c>
      <c r="U1519">
        <f t="shared" si="93"/>
        <v>11.9891596439666</v>
      </c>
      <c r="V1519">
        <f t="shared" si="94"/>
        <v>7.6415644412609716</v>
      </c>
      <c r="W1519">
        <v>1</v>
      </c>
      <c r="X1519">
        <v>0</v>
      </c>
      <c r="Y1519">
        <v>0</v>
      </c>
      <c r="Z1519">
        <f>'Résultat (Ln)'!F$30+'Résultat (Ln)'!F$31*Données!S1519+'Résultat (Ln)'!F$32*Données!T1519+'Résultat (Ln)'!F$33*Données!U1519+'Résultat (Ln)'!F$34*Données!V1519+'Résultat (Ln)'!F$35*Données!W1519+'Résultat (Ln)'!F$36*Données!X1519+'Résultat (Ln)'!F$37*Données!Y1519</f>
        <v>114509.84907302844</v>
      </c>
      <c r="AA1519">
        <f t="shared" si="95"/>
        <v>13490.150926971561</v>
      </c>
    </row>
    <row r="1520" spans="1:27" x14ac:dyDescent="0.25">
      <c r="A1520">
        <v>157000</v>
      </c>
      <c r="B1520">
        <v>1</v>
      </c>
      <c r="C1520">
        <v>37</v>
      </c>
      <c r="D1520">
        <v>0</v>
      </c>
      <c r="E1520">
        <v>197000</v>
      </c>
      <c r="F1520">
        <v>3583</v>
      </c>
      <c r="G1520">
        <v>1</v>
      </c>
      <c r="H1520">
        <v>0</v>
      </c>
      <c r="I1520">
        <v>0</v>
      </c>
      <c r="J1520">
        <v>23</v>
      </c>
      <c r="K1520">
        <v>1</v>
      </c>
      <c r="L1520">
        <f>Résultats!G$32+Résultats!G$33*Données!C1520+Résultats!G$34*Données!D1520+Résultats!G$35*Données!E1520+Résultats!G$36*Données!F1520+Résultats!G$37*Données!G1520+Résultats!G$38*Données!H1520+Résultats!G$39*Données!I1520</f>
        <v>145011.91456429925</v>
      </c>
      <c r="M1520">
        <f t="shared" si="92"/>
        <v>11988.085435700748</v>
      </c>
      <c r="Q1520">
        <v>85000</v>
      </c>
      <c r="R1520">
        <v>1</v>
      </c>
      <c r="S1520">
        <v>34</v>
      </c>
      <c r="T1520">
        <v>0</v>
      </c>
      <c r="U1520">
        <f t="shared" si="93"/>
        <v>11.571194373094205</v>
      </c>
      <c r="V1520">
        <f t="shared" si="94"/>
        <v>8.3248212987687822</v>
      </c>
      <c r="W1520">
        <v>0</v>
      </c>
      <c r="X1520">
        <v>0</v>
      </c>
      <c r="Y1520">
        <v>0</v>
      </c>
      <c r="Z1520">
        <f>'Résultat (Ln)'!F$30+'Résultat (Ln)'!F$31*Données!S1520+'Résultat (Ln)'!F$32*Données!T1520+'Résultat (Ln)'!F$33*Données!U1520+'Résultat (Ln)'!F$34*Données!V1520+'Résultat (Ln)'!F$35*Données!W1520+'Résultat (Ln)'!F$36*Données!X1520+'Résultat (Ln)'!F$37*Données!Y1520</f>
        <v>85576.315548405313</v>
      </c>
      <c r="AA1520">
        <f t="shared" si="95"/>
        <v>-576.31554840531317</v>
      </c>
    </row>
    <row r="1521" spans="1:27" x14ac:dyDescent="0.25">
      <c r="A1521">
        <v>177000</v>
      </c>
      <c r="B1521">
        <v>1</v>
      </c>
      <c r="C1521">
        <v>44</v>
      </c>
      <c r="D1521">
        <v>0</v>
      </c>
      <c r="E1521">
        <v>221000</v>
      </c>
      <c r="F1521">
        <v>6250</v>
      </c>
      <c r="G1521">
        <v>0</v>
      </c>
      <c r="H1521">
        <v>0</v>
      </c>
      <c r="I1521">
        <v>1</v>
      </c>
      <c r="J1521">
        <v>31</v>
      </c>
      <c r="K1521">
        <v>1</v>
      </c>
      <c r="L1521">
        <f>Résultats!G$32+Résultats!G$33*Données!C1521+Résultats!G$34*Données!D1521+Résultats!G$35*Données!E1521+Résultats!G$36*Données!F1521+Résultats!G$37*Données!G1521+Résultats!G$38*Données!H1521+Résultats!G$39*Données!I1521</f>
        <v>172336.40294665721</v>
      </c>
      <c r="M1521">
        <f t="shared" si="92"/>
        <v>4663.5970533427899</v>
      </c>
      <c r="Q1521">
        <v>157000</v>
      </c>
      <c r="R1521">
        <v>1</v>
      </c>
      <c r="S1521">
        <v>37</v>
      </c>
      <c r="T1521">
        <v>0</v>
      </c>
      <c r="U1521">
        <f t="shared" si="93"/>
        <v>12.190959007720126</v>
      </c>
      <c r="V1521">
        <f t="shared" si="94"/>
        <v>8.1839557173049542</v>
      </c>
      <c r="W1521">
        <v>1</v>
      </c>
      <c r="X1521">
        <v>0</v>
      </c>
      <c r="Y1521">
        <v>0</v>
      </c>
      <c r="Z1521">
        <f>'Résultat (Ln)'!F$30+'Résultat (Ln)'!F$31*Données!S1521+'Résultat (Ln)'!F$32*Données!T1521+'Résultat (Ln)'!F$33*Données!U1521+'Résultat (Ln)'!F$34*Données!V1521+'Résultat (Ln)'!F$35*Données!W1521+'Résultat (Ln)'!F$36*Données!X1521+'Résultat (Ln)'!F$37*Données!Y1521</f>
        <v>156241.80343461101</v>
      </c>
      <c r="AA1521">
        <f t="shared" si="95"/>
        <v>758.19656538899289</v>
      </c>
    </row>
    <row r="1522" spans="1:27" x14ac:dyDescent="0.25">
      <c r="A1522">
        <v>234000</v>
      </c>
      <c r="B1522">
        <v>1</v>
      </c>
      <c r="C1522">
        <v>30</v>
      </c>
      <c r="D1522">
        <v>0</v>
      </c>
      <c r="E1522">
        <v>260000</v>
      </c>
      <c r="F1522">
        <v>10833</v>
      </c>
      <c r="G1522">
        <v>1</v>
      </c>
      <c r="H1522">
        <v>0</v>
      </c>
      <c r="I1522">
        <v>0</v>
      </c>
      <c r="J1522">
        <v>23</v>
      </c>
      <c r="K1522">
        <v>1</v>
      </c>
      <c r="L1522">
        <f>Résultats!G$32+Résultats!G$33*Données!C1522+Résultats!G$34*Données!D1522+Résultats!G$35*Données!E1522+Résultats!G$36*Données!F1522+Résultats!G$37*Données!G1522+Résultats!G$38*Données!H1522+Résultats!G$39*Données!I1522</f>
        <v>180438.23623857991</v>
      </c>
      <c r="M1522">
        <f t="shared" si="92"/>
        <v>53561.763761420094</v>
      </c>
      <c r="Q1522">
        <v>177000</v>
      </c>
      <c r="R1522">
        <v>1</v>
      </c>
      <c r="S1522">
        <v>44</v>
      </c>
      <c r="T1522">
        <v>0</v>
      </c>
      <c r="U1522">
        <f t="shared" si="93"/>
        <v>12.30591798049989</v>
      </c>
      <c r="V1522">
        <f t="shared" si="94"/>
        <v>8.740336742730447</v>
      </c>
      <c r="W1522">
        <v>0</v>
      </c>
      <c r="X1522">
        <v>0</v>
      </c>
      <c r="Y1522">
        <v>1</v>
      </c>
      <c r="Z1522">
        <f>'Résultat (Ln)'!F$30+'Résultat (Ln)'!F$31*Données!S1522+'Résultat (Ln)'!F$32*Données!T1522+'Résultat (Ln)'!F$33*Données!U1522+'Résultat (Ln)'!F$34*Données!V1522+'Résultat (Ln)'!F$35*Données!W1522+'Résultat (Ln)'!F$36*Données!X1522+'Résultat (Ln)'!F$37*Données!Y1522</f>
        <v>202296.22947924762</v>
      </c>
      <c r="AA1522">
        <f t="shared" si="95"/>
        <v>-25296.229479247617</v>
      </c>
    </row>
    <row r="1523" spans="1:27" x14ac:dyDescent="0.25">
      <c r="A1523">
        <v>144000</v>
      </c>
      <c r="B1523">
        <v>1</v>
      </c>
      <c r="C1523">
        <v>15</v>
      </c>
      <c r="D1523">
        <v>1</v>
      </c>
      <c r="E1523">
        <v>180000</v>
      </c>
      <c r="F1523">
        <v>6500</v>
      </c>
      <c r="G1523">
        <v>1</v>
      </c>
      <c r="H1523">
        <v>0</v>
      </c>
      <c r="I1523">
        <v>1</v>
      </c>
      <c r="J1523">
        <v>15</v>
      </c>
      <c r="K1523">
        <v>1</v>
      </c>
      <c r="L1523">
        <f>Résultats!G$32+Résultats!G$33*Données!C1523+Résultats!G$34*Données!D1523+Résultats!G$35*Données!E1523+Résultats!G$36*Données!F1523+Résultats!G$37*Données!G1523+Résultats!G$38*Données!H1523+Résultats!G$39*Données!I1523</f>
        <v>132229.1919744437</v>
      </c>
      <c r="M1523">
        <f t="shared" si="92"/>
        <v>11770.808025556296</v>
      </c>
      <c r="Q1523">
        <v>234000</v>
      </c>
      <c r="R1523">
        <v>1</v>
      </c>
      <c r="S1523">
        <v>30</v>
      </c>
      <c r="T1523">
        <v>0</v>
      </c>
      <c r="U1523">
        <f t="shared" si="93"/>
        <v>12.468436909997665</v>
      </c>
      <c r="V1523">
        <f t="shared" si="94"/>
        <v>9.2903523099455683</v>
      </c>
      <c r="W1523">
        <v>1</v>
      </c>
      <c r="X1523">
        <v>0</v>
      </c>
      <c r="Y1523">
        <v>0</v>
      </c>
      <c r="Z1523">
        <f>'Résultat (Ln)'!F$30+'Résultat (Ln)'!F$31*Données!S1523+'Résultat (Ln)'!F$32*Données!T1523+'Résultat (Ln)'!F$33*Données!U1523+'Résultat (Ln)'!F$34*Données!V1523+'Résultat (Ln)'!F$35*Données!W1523+'Résultat (Ln)'!F$36*Données!X1523+'Résultat (Ln)'!F$37*Données!Y1523</f>
        <v>208461.68722628316</v>
      </c>
      <c r="AA1523">
        <f t="shared" si="95"/>
        <v>25538.31277371684</v>
      </c>
    </row>
    <row r="1524" spans="1:27" x14ac:dyDescent="0.25">
      <c r="A1524">
        <v>246000</v>
      </c>
      <c r="B1524">
        <v>1</v>
      </c>
      <c r="C1524">
        <v>35</v>
      </c>
      <c r="D1524">
        <v>0</v>
      </c>
      <c r="E1524">
        <v>265000</v>
      </c>
      <c r="F1524">
        <v>8333</v>
      </c>
      <c r="G1524">
        <v>1</v>
      </c>
      <c r="H1524">
        <v>0</v>
      </c>
      <c r="I1524">
        <v>1</v>
      </c>
      <c r="J1524">
        <v>27</v>
      </c>
      <c r="K1524">
        <v>1</v>
      </c>
      <c r="L1524">
        <f>Résultats!G$32+Résultats!G$33*Données!C1524+Résultats!G$34*Données!D1524+Résultats!G$35*Données!E1524+Résultats!G$36*Données!F1524+Résultats!G$37*Données!G1524+Résultats!G$38*Données!H1524+Résultats!G$39*Données!I1524</f>
        <v>193597.34292011091</v>
      </c>
      <c r="M1524">
        <f t="shared" si="92"/>
        <v>52402.65707988909</v>
      </c>
      <c r="Q1524">
        <v>144000</v>
      </c>
      <c r="R1524">
        <v>1</v>
      </c>
      <c r="S1524">
        <v>15</v>
      </c>
      <c r="T1524">
        <v>1</v>
      </c>
      <c r="U1524">
        <f t="shared" si="93"/>
        <v>12.100712129872347</v>
      </c>
      <c r="V1524">
        <f t="shared" si="94"/>
        <v>8.7795574558837277</v>
      </c>
      <c r="W1524">
        <v>1</v>
      </c>
      <c r="X1524">
        <v>0</v>
      </c>
      <c r="Y1524">
        <v>1</v>
      </c>
      <c r="Z1524">
        <f>'Résultat (Ln)'!F$30+'Résultat (Ln)'!F$31*Données!S1524+'Résultat (Ln)'!F$32*Données!T1524+'Résultat (Ln)'!F$33*Données!U1524+'Résultat (Ln)'!F$34*Données!V1524+'Résultat (Ln)'!F$35*Données!W1524+'Résultat (Ln)'!F$36*Données!X1524+'Résultat (Ln)'!F$37*Données!Y1524</f>
        <v>154822.70283795326</v>
      </c>
      <c r="AA1524">
        <f t="shared" si="95"/>
        <v>-10822.702837953257</v>
      </c>
    </row>
    <row r="1525" spans="1:27" x14ac:dyDescent="0.25">
      <c r="A1525">
        <v>131000</v>
      </c>
      <c r="B1525">
        <v>1</v>
      </c>
      <c r="C1525">
        <v>31.10000038146973</v>
      </c>
      <c r="D1525">
        <v>0</v>
      </c>
      <c r="E1525">
        <v>145000</v>
      </c>
      <c r="F1525">
        <v>1958</v>
      </c>
      <c r="G1525">
        <v>1</v>
      </c>
      <c r="H1525">
        <v>0</v>
      </c>
      <c r="I1525">
        <v>0</v>
      </c>
      <c r="J1525">
        <v>30.14999961853027</v>
      </c>
      <c r="K1525">
        <v>1</v>
      </c>
      <c r="L1525">
        <f>Résultats!G$32+Résultats!G$33*Données!C1525+Résultats!G$34*Données!D1525+Résultats!G$35*Données!E1525+Résultats!G$36*Données!F1525+Résultats!G$37*Données!G1525+Résultats!G$38*Données!H1525+Résultats!G$39*Données!I1525</f>
        <v>110804.28532535817</v>
      </c>
      <c r="M1525">
        <f t="shared" si="92"/>
        <v>20195.714674641829</v>
      </c>
      <c r="Q1525">
        <v>246000</v>
      </c>
      <c r="R1525">
        <v>1</v>
      </c>
      <c r="S1525">
        <v>35</v>
      </c>
      <c r="T1525">
        <v>0</v>
      </c>
      <c r="U1525">
        <f t="shared" si="93"/>
        <v>12.487485104968359</v>
      </c>
      <c r="V1525">
        <f t="shared" si="94"/>
        <v>9.0279788143822071</v>
      </c>
      <c r="W1525">
        <v>1</v>
      </c>
      <c r="X1525">
        <v>0</v>
      </c>
      <c r="Y1525">
        <v>1</v>
      </c>
      <c r="Z1525">
        <f>'Résultat (Ln)'!F$30+'Résultat (Ln)'!F$31*Données!S1525+'Résultat (Ln)'!F$32*Données!T1525+'Résultat (Ln)'!F$33*Données!U1525+'Résultat (Ln)'!F$34*Données!V1525+'Résultat (Ln)'!F$35*Données!W1525+'Résultat (Ln)'!F$36*Données!X1525+'Résultat (Ln)'!F$37*Données!Y1525</f>
        <v>223342.23232817717</v>
      </c>
      <c r="AA1525">
        <f t="shared" si="95"/>
        <v>22657.767671822832</v>
      </c>
    </row>
    <row r="1526" spans="1:27" x14ac:dyDescent="0.25">
      <c r="A1526">
        <v>80000</v>
      </c>
      <c r="B1526">
        <v>1</v>
      </c>
      <c r="C1526">
        <v>31.29999923706055</v>
      </c>
      <c r="D1526">
        <v>0</v>
      </c>
      <c r="E1526">
        <v>94000</v>
      </c>
      <c r="F1526">
        <v>3547</v>
      </c>
      <c r="G1526">
        <v>0</v>
      </c>
      <c r="H1526">
        <v>0</v>
      </c>
      <c r="I1526">
        <v>0</v>
      </c>
      <c r="J1526">
        <v>22.479999542236332</v>
      </c>
      <c r="K1526">
        <v>1</v>
      </c>
      <c r="L1526">
        <f>Résultats!G$32+Résultats!G$33*Données!C1526+Résultats!G$34*Données!D1526+Résultats!G$35*Données!E1526+Résultats!G$36*Données!F1526+Résultats!G$37*Données!G1526+Résultats!G$38*Données!H1526+Résultats!G$39*Données!I1526</f>
        <v>83281.927027466532</v>
      </c>
      <c r="M1526">
        <f t="shared" si="92"/>
        <v>-3281.9270274665323</v>
      </c>
      <c r="Q1526">
        <v>131000</v>
      </c>
      <c r="R1526">
        <v>1</v>
      </c>
      <c r="S1526">
        <v>31.10000038146973</v>
      </c>
      <c r="T1526">
        <v>0</v>
      </c>
      <c r="U1526">
        <f t="shared" si="93"/>
        <v>11.884489021402711</v>
      </c>
      <c r="V1526">
        <f t="shared" si="94"/>
        <v>7.5796788230904557</v>
      </c>
      <c r="W1526">
        <v>1</v>
      </c>
      <c r="X1526">
        <v>0</v>
      </c>
      <c r="Y1526">
        <v>0</v>
      </c>
      <c r="Z1526">
        <f>'Résultat (Ln)'!F$30+'Résultat (Ln)'!F$31*Données!S1526+'Résultat (Ln)'!F$32*Données!T1526+'Résultat (Ln)'!F$33*Données!U1526+'Résultat (Ln)'!F$34*Données!V1526+'Résultat (Ln)'!F$35*Données!W1526+'Résultat (Ln)'!F$36*Données!X1526+'Résultat (Ln)'!F$37*Données!Y1526</f>
        <v>99232.113797591461</v>
      </c>
      <c r="AA1526">
        <f t="shared" si="95"/>
        <v>31767.886202408539</v>
      </c>
    </row>
    <row r="1527" spans="1:27" x14ac:dyDescent="0.25">
      <c r="A1527">
        <v>25000</v>
      </c>
      <c r="B1527">
        <v>1</v>
      </c>
      <c r="C1527">
        <v>8</v>
      </c>
      <c r="D1527">
        <v>0</v>
      </c>
      <c r="E1527">
        <v>25000</v>
      </c>
      <c r="F1527">
        <v>6300</v>
      </c>
      <c r="G1527">
        <v>1</v>
      </c>
      <c r="H1527">
        <v>9</v>
      </c>
      <c r="I1527">
        <v>0</v>
      </c>
      <c r="J1527">
        <v>8</v>
      </c>
      <c r="K1527">
        <v>1</v>
      </c>
      <c r="L1527">
        <f>Résultats!G$32+Résultats!G$33*Données!C1527+Résultats!G$34*Données!D1527+Résultats!G$35*Données!E1527+Résultats!G$36*Données!F1527+Résultats!G$37*Données!G1527+Résultats!G$38*Données!H1527+Résultats!G$39*Données!I1527</f>
        <v>22021.991318356624</v>
      </c>
      <c r="M1527">
        <f t="shared" si="92"/>
        <v>2978.0086816433759</v>
      </c>
      <c r="Q1527">
        <v>80000</v>
      </c>
      <c r="R1527">
        <v>1</v>
      </c>
      <c r="S1527">
        <v>31.29999923706055</v>
      </c>
      <c r="T1527">
        <v>0</v>
      </c>
      <c r="U1527">
        <f t="shared" si="93"/>
        <v>11.451050061252142</v>
      </c>
      <c r="V1527">
        <f t="shared" si="94"/>
        <v>8.1738574547736214</v>
      </c>
      <c r="W1527">
        <v>0</v>
      </c>
      <c r="X1527">
        <v>0</v>
      </c>
      <c r="Y1527">
        <v>0</v>
      </c>
      <c r="Z1527">
        <f>'Résultat (Ln)'!F$30+'Résultat (Ln)'!F$31*Données!S1527+'Résultat (Ln)'!F$32*Données!T1527+'Résultat (Ln)'!F$33*Données!U1527+'Résultat (Ln)'!F$34*Données!V1527+'Résultat (Ln)'!F$35*Données!W1527+'Résultat (Ln)'!F$36*Données!X1527+'Résultat (Ln)'!F$37*Données!Y1527</f>
        <v>65163.965740743763</v>
      </c>
      <c r="AA1527">
        <f t="shared" si="95"/>
        <v>14836.034259256237</v>
      </c>
    </row>
    <row r="1528" spans="1:27" x14ac:dyDescent="0.25">
      <c r="A1528">
        <v>500000</v>
      </c>
      <c r="B1528">
        <v>1</v>
      </c>
      <c r="C1528">
        <v>32.200000762939453</v>
      </c>
      <c r="D1528">
        <v>0</v>
      </c>
      <c r="E1528">
        <v>660000</v>
      </c>
      <c r="F1528">
        <v>18333</v>
      </c>
      <c r="G1528">
        <v>1</v>
      </c>
      <c r="H1528">
        <v>0</v>
      </c>
      <c r="I1528">
        <v>1</v>
      </c>
      <c r="J1528">
        <v>24.219999313354489</v>
      </c>
      <c r="K1528">
        <v>1</v>
      </c>
      <c r="L1528">
        <f>Résultats!G$32+Résultats!G$33*Données!C1528+Résultats!G$34*Données!D1528+Résultats!G$35*Données!E1528+Résultats!G$36*Données!F1528+Résultats!G$37*Données!G1528+Résultats!G$38*Données!H1528+Résultats!G$39*Données!I1528</f>
        <v>394205.48151819035</v>
      </c>
      <c r="M1528">
        <f t="shared" si="92"/>
        <v>105794.51848180965</v>
      </c>
      <c r="Q1528">
        <v>25000</v>
      </c>
      <c r="R1528">
        <v>1</v>
      </c>
      <c r="S1528">
        <v>8</v>
      </c>
      <c r="T1528">
        <v>0</v>
      </c>
      <c r="U1528">
        <f t="shared" si="93"/>
        <v>10.126631103850338</v>
      </c>
      <c r="V1528">
        <f t="shared" si="94"/>
        <v>8.7483049123796235</v>
      </c>
      <c r="W1528">
        <v>1</v>
      </c>
      <c r="X1528">
        <v>9</v>
      </c>
      <c r="Y1528">
        <v>0</v>
      </c>
      <c r="Z1528">
        <f>'Résultat (Ln)'!F$30+'Résultat (Ln)'!F$31*Données!S1528+'Résultat (Ln)'!F$32*Données!T1528+'Résultat (Ln)'!F$33*Données!U1528+'Résultat (Ln)'!F$34*Données!V1528+'Résultat (Ln)'!F$35*Données!W1528+'Résultat (Ln)'!F$36*Données!X1528+'Résultat (Ln)'!F$37*Données!Y1528</f>
        <v>-86254.414561870013</v>
      </c>
      <c r="AA1528">
        <f t="shared" si="95"/>
        <v>111254.41456187001</v>
      </c>
    </row>
    <row r="1529" spans="1:27" x14ac:dyDescent="0.25">
      <c r="A1529">
        <v>30000</v>
      </c>
      <c r="B1529">
        <v>1</v>
      </c>
      <c r="C1529">
        <v>28</v>
      </c>
      <c r="D1529">
        <v>0</v>
      </c>
      <c r="E1529">
        <v>134000</v>
      </c>
      <c r="F1529">
        <v>2500</v>
      </c>
      <c r="G1529">
        <v>0</v>
      </c>
      <c r="H1529">
        <v>0</v>
      </c>
      <c r="I1529">
        <v>0</v>
      </c>
      <c r="J1529">
        <v>27</v>
      </c>
      <c r="K1529">
        <v>0</v>
      </c>
      <c r="L1529">
        <f>Résultats!G$32+Résultats!G$33*Données!C1529+Résultats!G$34*Données!D1529+Résultats!G$35*Données!E1529+Résultats!G$36*Données!F1529+Résultats!G$37*Données!G1529+Résultats!G$38*Données!H1529+Résultats!G$39*Données!I1529</f>
        <v>96140.583027702407</v>
      </c>
      <c r="M1529">
        <f t="shared" si="92"/>
        <v>-66140.583027702407</v>
      </c>
      <c r="Q1529">
        <v>500000</v>
      </c>
      <c r="R1529">
        <v>1</v>
      </c>
      <c r="S1529">
        <v>32.200000762939453</v>
      </c>
      <c r="T1529">
        <v>0</v>
      </c>
      <c r="U1529">
        <f t="shared" si="93"/>
        <v>13.399995114002609</v>
      </c>
      <c r="V1529">
        <f t="shared" si="94"/>
        <v>9.8164579935630254</v>
      </c>
      <c r="W1529">
        <v>1</v>
      </c>
      <c r="X1529">
        <v>0</v>
      </c>
      <c r="Y1529">
        <v>1</v>
      </c>
      <c r="Z1529">
        <f>'Résultat (Ln)'!F$30+'Résultat (Ln)'!F$31*Données!S1529+'Résultat (Ln)'!F$32*Données!T1529+'Résultat (Ln)'!F$33*Données!U1529+'Résultat (Ln)'!F$34*Données!V1529+'Résultat (Ln)'!F$35*Données!W1529+'Résultat (Ln)'!F$36*Données!X1529+'Résultat (Ln)'!F$37*Données!Y1529</f>
        <v>339851.06955094851</v>
      </c>
      <c r="AA1529">
        <f t="shared" si="95"/>
        <v>160148.93044905149</v>
      </c>
    </row>
    <row r="1530" spans="1:27" x14ac:dyDescent="0.25">
      <c r="A1530">
        <v>118000</v>
      </c>
      <c r="B1530">
        <v>1</v>
      </c>
      <c r="C1530">
        <v>26.5</v>
      </c>
      <c r="D1530">
        <v>0</v>
      </c>
      <c r="E1530">
        <v>128000</v>
      </c>
      <c r="F1530">
        <v>2638</v>
      </c>
      <c r="G1530">
        <v>0</v>
      </c>
      <c r="H1530">
        <v>0</v>
      </c>
      <c r="I1530">
        <v>0</v>
      </c>
      <c r="J1530">
        <v>26.5</v>
      </c>
      <c r="K1530">
        <v>1</v>
      </c>
      <c r="L1530">
        <f>Résultats!G$32+Résultats!G$33*Données!C1530+Résultats!G$34*Données!D1530+Résultats!G$35*Données!E1530+Résultats!G$36*Données!F1530+Résultats!G$37*Données!G1530+Résultats!G$38*Données!H1530+Résultats!G$39*Données!I1530</f>
        <v>91883.272503464395</v>
      </c>
      <c r="M1530">
        <f t="shared" si="92"/>
        <v>26116.727496535605</v>
      </c>
      <c r="Q1530">
        <v>30000</v>
      </c>
      <c r="R1530">
        <v>1</v>
      </c>
      <c r="S1530">
        <v>28</v>
      </c>
      <c r="T1530">
        <v>0</v>
      </c>
      <c r="U1530">
        <f t="shared" si="93"/>
        <v>11.805595078933049</v>
      </c>
      <c r="V1530">
        <f t="shared" si="94"/>
        <v>7.8240460108562919</v>
      </c>
      <c r="W1530">
        <v>0</v>
      </c>
      <c r="X1530">
        <v>0</v>
      </c>
      <c r="Y1530">
        <v>0</v>
      </c>
      <c r="Z1530">
        <f>'Résultat (Ln)'!F$30+'Résultat (Ln)'!F$31*Données!S1530+'Résultat (Ln)'!F$32*Données!T1530+'Résultat (Ln)'!F$33*Données!U1530+'Résultat (Ln)'!F$34*Données!V1530+'Résultat (Ln)'!F$35*Données!W1530+'Résultat (Ln)'!F$36*Données!X1530+'Résultat (Ln)'!F$37*Données!Y1530</f>
        <v>89326.146150169661</v>
      </c>
      <c r="AA1530">
        <f t="shared" si="95"/>
        <v>-59326.146150169661</v>
      </c>
    </row>
    <row r="1531" spans="1:27" x14ac:dyDescent="0.25">
      <c r="A1531">
        <v>110000</v>
      </c>
      <c r="B1531">
        <v>1</v>
      </c>
      <c r="C1531">
        <v>38</v>
      </c>
      <c r="D1531">
        <v>0</v>
      </c>
      <c r="E1531">
        <v>160000</v>
      </c>
      <c r="F1531">
        <v>5769</v>
      </c>
      <c r="G1531">
        <v>0</v>
      </c>
      <c r="H1531">
        <v>0</v>
      </c>
      <c r="I1531">
        <v>0</v>
      </c>
      <c r="J1531">
        <v>17</v>
      </c>
      <c r="K1531">
        <v>0</v>
      </c>
      <c r="L1531">
        <f>Résultats!G$32+Résultats!G$33*Données!C1531+Résultats!G$34*Données!D1531+Résultats!G$35*Données!E1531+Résultats!G$36*Données!F1531+Résultats!G$37*Données!G1531+Résultats!G$38*Données!H1531+Résultats!G$39*Données!I1531</f>
        <v>126102.69870302363</v>
      </c>
      <c r="M1531">
        <f t="shared" si="92"/>
        <v>-16102.698703023634</v>
      </c>
      <c r="Q1531">
        <v>118000</v>
      </c>
      <c r="R1531">
        <v>1</v>
      </c>
      <c r="S1531">
        <v>26.5</v>
      </c>
      <c r="T1531">
        <v>0</v>
      </c>
      <c r="U1531">
        <f t="shared" si="93"/>
        <v>11.759785542901755</v>
      </c>
      <c r="V1531">
        <f t="shared" si="94"/>
        <v>7.8777763332772599</v>
      </c>
      <c r="W1531">
        <v>0</v>
      </c>
      <c r="X1531">
        <v>0</v>
      </c>
      <c r="Y1531">
        <v>0</v>
      </c>
      <c r="Z1531">
        <f>'Résultat (Ln)'!F$30+'Résultat (Ln)'!F$31*Données!S1531+'Résultat (Ln)'!F$32*Données!T1531+'Résultat (Ln)'!F$33*Données!U1531+'Résultat (Ln)'!F$34*Données!V1531+'Résultat (Ln)'!F$35*Données!W1531+'Résultat (Ln)'!F$36*Données!X1531+'Résultat (Ln)'!F$37*Données!Y1531</f>
        <v>84089.415029207332</v>
      </c>
      <c r="AA1531">
        <f t="shared" si="95"/>
        <v>33910.584970792668</v>
      </c>
    </row>
    <row r="1532" spans="1:27" x14ac:dyDescent="0.25">
      <c r="A1532">
        <v>176000</v>
      </c>
      <c r="B1532">
        <v>1</v>
      </c>
      <c r="C1532">
        <v>46</v>
      </c>
      <c r="D1532">
        <v>0</v>
      </c>
      <c r="E1532">
        <v>220000</v>
      </c>
      <c r="F1532">
        <v>3634</v>
      </c>
      <c r="G1532">
        <v>1</v>
      </c>
      <c r="H1532">
        <v>0</v>
      </c>
      <c r="I1532">
        <v>0</v>
      </c>
      <c r="J1532">
        <v>43</v>
      </c>
      <c r="K1532">
        <v>1</v>
      </c>
      <c r="L1532">
        <f>Résultats!G$32+Résultats!G$33*Données!C1532+Résultats!G$34*Données!D1532+Résultats!G$35*Données!E1532+Résultats!G$36*Données!F1532+Résultats!G$37*Données!G1532+Résultats!G$38*Données!H1532+Résultats!G$39*Données!I1532</f>
        <v>166188.70031148268</v>
      </c>
      <c r="M1532">
        <f t="shared" si="92"/>
        <v>9811.2996885173197</v>
      </c>
      <c r="Q1532">
        <v>110000</v>
      </c>
      <c r="R1532">
        <v>1</v>
      </c>
      <c r="S1532">
        <v>38</v>
      </c>
      <c r="T1532">
        <v>0</v>
      </c>
      <c r="U1532">
        <f t="shared" si="93"/>
        <v>11.982929094215963</v>
      </c>
      <c r="V1532">
        <f t="shared" si="94"/>
        <v>8.660254034256889</v>
      </c>
      <c r="W1532">
        <v>0</v>
      </c>
      <c r="X1532">
        <v>0</v>
      </c>
      <c r="Y1532">
        <v>0</v>
      </c>
      <c r="Z1532">
        <f>'Résultat (Ln)'!F$30+'Résultat (Ln)'!F$31*Données!S1532+'Résultat (Ln)'!F$32*Données!T1532+'Résultat (Ln)'!F$33*Données!U1532+'Résultat (Ln)'!F$34*Données!V1532+'Résultat (Ln)'!F$35*Données!W1532+'Résultat (Ln)'!F$36*Données!X1532+'Résultat (Ln)'!F$37*Données!Y1532</f>
        <v>144008.09308429819</v>
      </c>
      <c r="AA1532">
        <f t="shared" si="95"/>
        <v>-34008.093084298191</v>
      </c>
    </row>
    <row r="1533" spans="1:27" x14ac:dyDescent="0.25">
      <c r="A1533">
        <v>232000</v>
      </c>
      <c r="B1533">
        <v>1</v>
      </c>
      <c r="C1533">
        <v>41.900001525878913</v>
      </c>
      <c r="D1533">
        <v>0</v>
      </c>
      <c r="E1533">
        <v>292000</v>
      </c>
      <c r="F1533">
        <v>5417</v>
      </c>
      <c r="G1533">
        <v>1</v>
      </c>
      <c r="H1533">
        <v>0</v>
      </c>
      <c r="I1533">
        <v>1</v>
      </c>
      <c r="J1533">
        <v>35.990001678466797</v>
      </c>
      <c r="K1533">
        <v>0</v>
      </c>
      <c r="L1533">
        <f>Résultats!G$32+Résultats!G$33*Données!C1533+Résultats!G$34*Données!D1533+Résultats!G$35*Données!E1533+Résultats!G$36*Données!F1533+Résultats!G$37*Données!G1533+Résultats!G$38*Données!H1533+Résultats!G$39*Données!I1533</f>
        <v>208480.32058437198</v>
      </c>
      <c r="M1533">
        <f t="shared" si="92"/>
        <v>23519.679415628023</v>
      </c>
      <c r="Q1533">
        <v>176000</v>
      </c>
      <c r="R1533">
        <v>1</v>
      </c>
      <c r="S1533">
        <v>46</v>
      </c>
      <c r="T1533">
        <v>0</v>
      </c>
      <c r="U1533">
        <f t="shared" si="93"/>
        <v>12.301382825334498</v>
      </c>
      <c r="V1533">
        <f t="shared" si="94"/>
        <v>8.1980892489561157</v>
      </c>
      <c r="W1533">
        <v>1</v>
      </c>
      <c r="X1533">
        <v>0</v>
      </c>
      <c r="Y1533">
        <v>0</v>
      </c>
      <c r="Z1533">
        <f>'Résultat (Ln)'!F$30+'Résultat (Ln)'!F$31*Données!S1533+'Résultat (Ln)'!F$32*Données!T1533+'Résultat (Ln)'!F$33*Données!U1533+'Résultat (Ln)'!F$34*Données!V1533+'Résultat (Ln)'!F$35*Données!W1533+'Résultat (Ln)'!F$36*Données!X1533+'Résultat (Ln)'!F$37*Données!Y1533</f>
        <v>179473.50193334202</v>
      </c>
      <c r="AA1533">
        <f t="shared" si="95"/>
        <v>-3473.5019333420205</v>
      </c>
    </row>
    <row r="1534" spans="1:27" x14ac:dyDescent="0.25">
      <c r="A1534">
        <v>185000</v>
      </c>
      <c r="B1534">
        <v>1</v>
      </c>
      <c r="C1534">
        <v>20</v>
      </c>
      <c r="D1534">
        <v>0</v>
      </c>
      <c r="E1534">
        <v>205000</v>
      </c>
      <c r="F1534">
        <v>29167</v>
      </c>
      <c r="G1534">
        <v>0</v>
      </c>
      <c r="H1534">
        <v>0</v>
      </c>
      <c r="I1534">
        <v>0</v>
      </c>
      <c r="J1534">
        <v>11</v>
      </c>
      <c r="K1534">
        <v>1</v>
      </c>
      <c r="L1534">
        <f>Résultats!G$32+Résultats!G$33*Données!C1534+Résultats!G$34*Données!D1534+Résultats!G$35*Données!E1534+Résultats!G$36*Données!F1534+Résultats!G$37*Données!G1534+Résultats!G$38*Données!H1534+Résultats!G$39*Données!I1534</f>
        <v>171779.87775312702</v>
      </c>
      <c r="M1534">
        <f t="shared" si="92"/>
        <v>13220.122246872983</v>
      </c>
      <c r="Q1534">
        <v>232000</v>
      </c>
      <c r="R1534">
        <v>1</v>
      </c>
      <c r="S1534">
        <v>41.900001525878913</v>
      </c>
      <c r="T1534">
        <v>0</v>
      </c>
      <c r="U1534">
        <f t="shared" si="93"/>
        <v>12.584509081250419</v>
      </c>
      <c r="V1534">
        <f t="shared" si="94"/>
        <v>8.5972974356578984</v>
      </c>
      <c r="W1534">
        <v>1</v>
      </c>
      <c r="X1534">
        <v>0</v>
      </c>
      <c r="Y1534">
        <v>1</v>
      </c>
      <c r="Z1534">
        <f>'Résultat (Ln)'!F$30+'Résultat (Ln)'!F$31*Données!S1534+'Résultat (Ln)'!F$32*Données!T1534+'Résultat (Ln)'!F$33*Données!U1534+'Résultat (Ln)'!F$34*Données!V1534+'Résultat (Ln)'!F$35*Données!W1534+'Résultat (Ln)'!F$36*Données!X1534+'Résultat (Ln)'!F$37*Données!Y1534</f>
        <v>230096.0562270529</v>
      </c>
      <c r="AA1534">
        <f t="shared" si="95"/>
        <v>1903.9437729470956</v>
      </c>
    </row>
    <row r="1535" spans="1:27" x14ac:dyDescent="0.25">
      <c r="A1535">
        <v>122000</v>
      </c>
      <c r="B1535">
        <v>1</v>
      </c>
      <c r="C1535">
        <v>36</v>
      </c>
      <c r="D1535">
        <v>0</v>
      </c>
      <c r="E1535">
        <v>153000</v>
      </c>
      <c r="F1535">
        <v>2166</v>
      </c>
      <c r="G1535">
        <v>0</v>
      </c>
      <c r="H1535">
        <v>0</v>
      </c>
      <c r="I1535">
        <v>0</v>
      </c>
      <c r="J1535">
        <v>29</v>
      </c>
      <c r="K1535">
        <v>1</v>
      </c>
      <c r="L1535">
        <f>Résultats!G$32+Résultats!G$33*Données!C1535+Résultats!G$34*Données!D1535+Résultats!G$35*Données!E1535+Résultats!G$36*Données!F1535+Résultats!G$37*Données!G1535+Résultats!G$38*Données!H1535+Résultats!G$39*Données!I1535</f>
        <v>113554.83718526161</v>
      </c>
      <c r="M1535">
        <f t="shared" si="92"/>
        <v>8445.162814738389</v>
      </c>
      <c r="Q1535">
        <v>185000</v>
      </c>
      <c r="R1535">
        <v>1</v>
      </c>
      <c r="S1535">
        <v>20</v>
      </c>
      <c r="T1535">
        <v>0</v>
      </c>
      <c r="U1535">
        <f t="shared" si="93"/>
        <v>12.230765258120545</v>
      </c>
      <c r="V1535">
        <f t="shared" si="94"/>
        <v>10.280793212183719</v>
      </c>
      <c r="W1535">
        <v>0</v>
      </c>
      <c r="X1535">
        <v>0</v>
      </c>
      <c r="Y1535">
        <v>0</v>
      </c>
      <c r="Z1535">
        <f>'Résultat (Ln)'!F$30+'Résultat (Ln)'!F$31*Données!S1535+'Résultat (Ln)'!F$32*Données!T1535+'Résultat (Ln)'!F$33*Données!U1535+'Résultat (Ln)'!F$34*Données!V1535+'Résultat (Ln)'!F$35*Données!W1535+'Résultat (Ln)'!F$36*Données!X1535+'Résultat (Ln)'!F$37*Données!Y1535</f>
        <v>194027.59973702027</v>
      </c>
      <c r="AA1535">
        <f t="shared" si="95"/>
        <v>-9027.5997370202676</v>
      </c>
    </row>
    <row r="1536" spans="1:27" x14ac:dyDescent="0.25">
      <c r="A1536">
        <v>160000</v>
      </c>
      <c r="B1536">
        <v>1</v>
      </c>
      <c r="C1536">
        <v>32</v>
      </c>
      <c r="D1536">
        <v>0</v>
      </c>
      <c r="E1536">
        <v>245000</v>
      </c>
      <c r="F1536">
        <v>4583</v>
      </c>
      <c r="G1536">
        <v>1</v>
      </c>
      <c r="H1536">
        <v>0</v>
      </c>
      <c r="I1536">
        <v>0</v>
      </c>
      <c r="J1536">
        <v>25</v>
      </c>
      <c r="K1536">
        <v>1</v>
      </c>
      <c r="L1536">
        <f>Résultats!G$32+Résultats!G$33*Données!C1536+Résultats!G$34*Données!D1536+Résultats!G$35*Données!E1536+Résultats!G$36*Données!F1536+Résultats!G$37*Données!G1536+Résultats!G$38*Données!H1536+Résultats!G$39*Données!I1536</f>
        <v>163620.1069307522</v>
      </c>
      <c r="M1536">
        <f t="shared" si="92"/>
        <v>-3620.1069307521975</v>
      </c>
      <c r="Q1536">
        <v>122000</v>
      </c>
      <c r="R1536">
        <v>1</v>
      </c>
      <c r="S1536">
        <v>36</v>
      </c>
      <c r="T1536">
        <v>0</v>
      </c>
      <c r="U1536">
        <f t="shared" si="93"/>
        <v>11.938193200374572</v>
      </c>
      <c r="V1536">
        <f t="shared" si="94"/>
        <v>7.6806374275609359</v>
      </c>
      <c r="W1536">
        <v>0</v>
      </c>
      <c r="X1536">
        <v>0</v>
      </c>
      <c r="Y1536">
        <v>0</v>
      </c>
      <c r="Z1536">
        <f>'Résultat (Ln)'!F$30+'Résultat (Ln)'!F$31*Données!S1536+'Résultat (Ln)'!F$32*Données!T1536+'Résultat (Ln)'!F$33*Données!U1536+'Résultat (Ln)'!F$34*Données!V1536+'Résultat (Ln)'!F$35*Données!W1536+'Résultat (Ln)'!F$36*Données!X1536+'Résultat (Ln)'!F$37*Données!Y1536</f>
        <v>109294.39721135295</v>
      </c>
      <c r="AA1536">
        <f t="shared" si="95"/>
        <v>12705.602788647055</v>
      </c>
    </row>
    <row r="1537" spans="1:27" x14ac:dyDescent="0.25">
      <c r="A1537">
        <v>75000</v>
      </c>
      <c r="B1537">
        <v>1</v>
      </c>
      <c r="C1537">
        <v>59</v>
      </c>
      <c r="D1537">
        <v>0</v>
      </c>
      <c r="E1537">
        <v>93000</v>
      </c>
      <c r="F1537">
        <v>2435</v>
      </c>
      <c r="G1537">
        <v>0</v>
      </c>
      <c r="H1537">
        <v>0</v>
      </c>
      <c r="I1537">
        <v>0</v>
      </c>
      <c r="J1537">
        <v>40</v>
      </c>
      <c r="K1537">
        <v>1</v>
      </c>
      <c r="L1537">
        <f>Résultats!G$32+Résultats!G$33*Données!C1537+Résultats!G$34*Données!D1537+Résultats!G$35*Données!E1537+Résultats!G$36*Données!F1537+Résultats!G$37*Données!G1537+Résultats!G$38*Données!H1537+Résultats!G$39*Données!I1537</f>
        <v>112478.32458600057</v>
      </c>
      <c r="M1537">
        <f t="shared" si="92"/>
        <v>-37478.32458600057</v>
      </c>
      <c r="Q1537">
        <v>160000</v>
      </c>
      <c r="R1537">
        <v>1</v>
      </c>
      <c r="S1537">
        <v>32</v>
      </c>
      <c r="T1537">
        <v>0</v>
      </c>
      <c r="U1537">
        <f t="shared" si="93"/>
        <v>12.409013489526863</v>
      </c>
      <c r="V1537">
        <f t="shared" si="94"/>
        <v>8.4301090845091249</v>
      </c>
      <c r="W1537">
        <v>1</v>
      </c>
      <c r="X1537">
        <v>0</v>
      </c>
      <c r="Y1537">
        <v>0</v>
      </c>
      <c r="Z1537">
        <f>'Résultat (Ln)'!F$30+'Résultat (Ln)'!F$31*Données!S1537+'Résultat (Ln)'!F$32*Données!T1537+'Résultat (Ln)'!F$33*Données!U1537+'Résultat (Ln)'!F$34*Données!V1537+'Résultat (Ln)'!F$35*Données!W1537+'Résultat (Ln)'!F$36*Données!X1537+'Résultat (Ln)'!F$37*Données!Y1537</f>
        <v>180409.63862191307</v>
      </c>
      <c r="AA1537">
        <f t="shared" si="95"/>
        <v>-20409.638621913065</v>
      </c>
    </row>
    <row r="1538" spans="1:27" x14ac:dyDescent="0.25">
      <c r="A1538">
        <v>224000</v>
      </c>
      <c r="B1538">
        <v>1</v>
      </c>
      <c r="C1538">
        <v>42.700000762939453</v>
      </c>
      <c r="D1538">
        <v>1</v>
      </c>
      <c r="E1538">
        <v>280000</v>
      </c>
      <c r="F1538">
        <v>6000</v>
      </c>
      <c r="G1538">
        <v>1</v>
      </c>
      <c r="H1538">
        <v>0</v>
      </c>
      <c r="I1538">
        <v>1</v>
      </c>
      <c r="J1538">
        <v>35.299999237060547</v>
      </c>
      <c r="K1538">
        <v>1</v>
      </c>
      <c r="L1538">
        <f>Résultats!G$32+Résultats!G$33*Données!C1538+Résultats!G$34*Données!D1538+Résultats!G$35*Données!E1538+Résultats!G$36*Données!F1538+Résultats!G$37*Données!G1538+Résultats!G$38*Données!H1538+Résultats!G$39*Données!I1538</f>
        <v>209773.79553675494</v>
      </c>
      <c r="M1538">
        <f t="shared" si="92"/>
        <v>14226.204463245056</v>
      </c>
      <c r="Q1538">
        <v>75000</v>
      </c>
      <c r="R1538">
        <v>1</v>
      </c>
      <c r="S1538">
        <v>59</v>
      </c>
      <c r="T1538">
        <v>0</v>
      </c>
      <c r="U1538">
        <f t="shared" si="93"/>
        <v>11.440354772135393</v>
      </c>
      <c r="V1538">
        <f t="shared" si="94"/>
        <v>7.7977020355166902</v>
      </c>
      <c r="W1538">
        <v>0</v>
      </c>
      <c r="X1538">
        <v>0</v>
      </c>
      <c r="Y1538">
        <v>0</v>
      </c>
      <c r="Z1538">
        <f>'Résultat (Ln)'!F$30+'Résultat (Ln)'!F$31*Données!S1538+'Résultat (Ln)'!F$32*Données!T1538+'Résultat (Ln)'!F$33*Données!U1538+'Résultat (Ln)'!F$34*Données!V1538+'Résultat (Ln)'!F$35*Données!W1538+'Résultat (Ln)'!F$36*Données!X1538+'Résultat (Ln)'!F$37*Données!Y1538</f>
        <v>87318.43697324954</v>
      </c>
      <c r="AA1538">
        <f t="shared" si="95"/>
        <v>-12318.43697324954</v>
      </c>
    </row>
    <row r="1539" spans="1:27" x14ac:dyDescent="0.25">
      <c r="A1539">
        <v>98000</v>
      </c>
      <c r="B1539">
        <v>1</v>
      </c>
      <c r="C1539">
        <v>24.79999923706055</v>
      </c>
      <c r="D1539">
        <v>0</v>
      </c>
      <c r="E1539">
        <v>109000</v>
      </c>
      <c r="F1539">
        <v>4334</v>
      </c>
      <c r="G1539">
        <v>1</v>
      </c>
      <c r="H1539">
        <v>0</v>
      </c>
      <c r="I1539">
        <v>1</v>
      </c>
      <c r="J1539">
        <v>20.45000076293945</v>
      </c>
      <c r="K1539">
        <v>0</v>
      </c>
      <c r="L1539">
        <f>Résultats!G$32+Résultats!G$33*Données!C1539+Résultats!G$34*Données!D1539+Résultats!G$35*Données!E1539+Résultats!G$36*Données!F1539+Résultats!G$37*Données!G1539+Résultats!G$38*Données!H1539+Résultats!G$39*Données!I1539</f>
        <v>101286.98258815784</v>
      </c>
      <c r="M1539">
        <f t="shared" ref="M1539:M1602" si="96">A1539-L1539</f>
        <v>-3286.9825881578436</v>
      </c>
      <c r="Q1539">
        <v>224000</v>
      </c>
      <c r="R1539">
        <v>1</v>
      </c>
      <c r="S1539">
        <v>42.700000762939453</v>
      </c>
      <c r="T1539">
        <v>1</v>
      </c>
      <c r="U1539">
        <f t="shared" si="93"/>
        <v>12.542544882151386</v>
      </c>
      <c r="V1539">
        <f t="shared" si="94"/>
        <v>8.6995147482101913</v>
      </c>
      <c r="W1539">
        <v>1</v>
      </c>
      <c r="X1539">
        <v>0</v>
      </c>
      <c r="Y1539">
        <v>1</v>
      </c>
      <c r="Z1539">
        <f>'Résultat (Ln)'!F$30+'Résultat (Ln)'!F$31*Données!S1539+'Résultat (Ln)'!F$32*Données!T1539+'Résultat (Ln)'!F$33*Données!U1539+'Résultat (Ln)'!F$34*Données!V1539+'Résultat (Ln)'!F$35*Données!W1539+'Résultat (Ln)'!F$36*Données!X1539+'Résultat (Ln)'!F$37*Données!Y1539</f>
        <v>233790.88955345776</v>
      </c>
      <c r="AA1539">
        <f t="shared" si="95"/>
        <v>-9790.8895534577605</v>
      </c>
    </row>
    <row r="1540" spans="1:27" x14ac:dyDescent="0.25">
      <c r="A1540">
        <v>96000</v>
      </c>
      <c r="B1540">
        <v>1</v>
      </c>
      <c r="C1540">
        <v>37.900001525878913</v>
      </c>
      <c r="D1540">
        <v>0</v>
      </c>
      <c r="E1540">
        <v>130000</v>
      </c>
      <c r="F1540">
        <v>2699</v>
      </c>
      <c r="G1540">
        <v>0</v>
      </c>
      <c r="H1540">
        <v>0</v>
      </c>
      <c r="I1540">
        <v>0</v>
      </c>
      <c r="J1540">
        <v>21.79999923706055</v>
      </c>
      <c r="K1540">
        <v>1</v>
      </c>
      <c r="L1540">
        <f>Résultats!G$32+Résultats!G$33*Données!C1540+Résultats!G$34*Données!D1540+Résultats!G$35*Données!E1540+Résultats!G$36*Données!F1540+Résultats!G$37*Données!G1540+Résultats!G$38*Données!H1540+Résultats!G$39*Données!I1540</f>
        <v>106030.22814479482</v>
      </c>
      <c r="M1540">
        <f t="shared" si="96"/>
        <v>-10030.228144794819</v>
      </c>
      <c r="Q1540">
        <v>98000</v>
      </c>
      <c r="R1540">
        <v>1</v>
      </c>
      <c r="S1540">
        <v>24.79999923706055</v>
      </c>
      <c r="T1540">
        <v>0</v>
      </c>
      <c r="U1540">
        <f t="shared" ref="U1540:U1603" si="97">LN(E1539)</f>
        <v>11.59910316121128</v>
      </c>
      <c r="V1540">
        <f t="shared" ref="V1540:V1603" si="98">LN(F1539)</f>
        <v>8.3742461820963037</v>
      </c>
      <c r="W1540">
        <v>1</v>
      </c>
      <c r="X1540">
        <v>0</v>
      </c>
      <c r="Y1540">
        <v>1</v>
      </c>
      <c r="Z1540">
        <f>'Résultat (Ln)'!F$30+'Résultat (Ln)'!F$31*Données!S1540+'Résultat (Ln)'!F$32*Données!T1540+'Résultat (Ln)'!F$33*Données!U1540+'Résultat (Ln)'!F$34*Données!V1540+'Résultat (Ln)'!F$35*Données!W1540+'Résultat (Ln)'!F$36*Données!X1540+'Résultat (Ln)'!F$37*Données!Y1540</f>
        <v>97312.357871140193</v>
      </c>
      <c r="AA1540">
        <f t="shared" ref="AA1540:AA1603" si="99">Q1540-Z1540</f>
        <v>687.64212885980669</v>
      </c>
    </row>
    <row r="1541" spans="1:27" x14ac:dyDescent="0.25">
      <c r="A1541">
        <v>126000</v>
      </c>
      <c r="B1541">
        <v>1</v>
      </c>
      <c r="C1541">
        <v>27.79999923706055</v>
      </c>
      <c r="D1541">
        <v>0</v>
      </c>
      <c r="E1541">
        <v>157500</v>
      </c>
      <c r="F1541">
        <v>5000</v>
      </c>
      <c r="G1541">
        <v>1</v>
      </c>
      <c r="H1541">
        <v>0</v>
      </c>
      <c r="I1541">
        <v>0</v>
      </c>
      <c r="J1541">
        <v>27.75</v>
      </c>
      <c r="K1541">
        <v>1</v>
      </c>
      <c r="L1541">
        <f>Résultats!G$32+Résultats!G$33*Données!C1541+Résultats!G$34*Données!D1541+Résultats!G$35*Données!E1541+Résultats!G$36*Données!F1541+Résultats!G$37*Données!G1541+Résultats!G$38*Données!H1541+Résultats!G$39*Données!I1541</f>
        <v>118745.33678475769</v>
      </c>
      <c r="M1541">
        <f t="shared" si="96"/>
        <v>7254.6632152423117</v>
      </c>
      <c r="Q1541">
        <v>96000</v>
      </c>
      <c r="R1541">
        <v>1</v>
      </c>
      <c r="S1541">
        <v>37.900001525878913</v>
      </c>
      <c r="T1541">
        <v>0</v>
      </c>
      <c r="U1541">
        <f t="shared" si="97"/>
        <v>11.77528972943772</v>
      </c>
      <c r="V1541">
        <f t="shared" si="98"/>
        <v>7.9006366130180048</v>
      </c>
      <c r="W1541">
        <v>0</v>
      </c>
      <c r="X1541">
        <v>0</v>
      </c>
      <c r="Y1541">
        <v>0</v>
      </c>
      <c r="Z1541">
        <f>'Résultat (Ln)'!F$30+'Résultat (Ln)'!F$31*Données!S1541+'Résultat (Ln)'!F$32*Données!T1541+'Résultat (Ln)'!F$33*Données!U1541+'Résultat (Ln)'!F$34*Données!V1541+'Résultat (Ln)'!F$35*Données!W1541+'Résultat (Ln)'!F$36*Données!X1541+'Résultat (Ln)'!F$37*Données!Y1541</f>
        <v>100323.79867403788</v>
      </c>
      <c r="AA1541">
        <f t="shared" si="99"/>
        <v>-4323.7986740378838</v>
      </c>
    </row>
    <row r="1542" spans="1:27" x14ac:dyDescent="0.25">
      <c r="A1542">
        <v>186000</v>
      </c>
      <c r="B1542">
        <v>1</v>
      </c>
      <c r="C1542">
        <v>32</v>
      </c>
      <c r="D1542">
        <v>0</v>
      </c>
      <c r="E1542">
        <v>232000</v>
      </c>
      <c r="F1542">
        <v>5333</v>
      </c>
      <c r="G1542">
        <v>1</v>
      </c>
      <c r="H1542">
        <v>0</v>
      </c>
      <c r="I1542">
        <v>0</v>
      </c>
      <c r="J1542">
        <v>28</v>
      </c>
      <c r="K1542">
        <v>1</v>
      </c>
      <c r="L1542">
        <f>Résultats!G$32+Résultats!G$33*Données!C1542+Résultats!G$34*Données!D1542+Résultats!G$35*Données!E1542+Résultats!G$36*Données!F1542+Résultats!G$37*Données!G1542+Résultats!G$38*Données!H1542+Résultats!G$39*Données!I1542</f>
        <v>159003.05496232497</v>
      </c>
      <c r="M1542">
        <f t="shared" si="96"/>
        <v>26996.945037675032</v>
      </c>
      <c r="Q1542">
        <v>126000</v>
      </c>
      <c r="R1542">
        <v>1</v>
      </c>
      <c r="S1542">
        <v>27.79999923706055</v>
      </c>
      <c r="T1542">
        <v>0</v>
      </c>
      <c r="U1542">
        <f t="shared" si="97"/>
        <v>11.967180737247824</v>
      </c>
      <c r="V1542">
        <f t="shared" si="98"/>
        <v>8.5171931914162382</v>
      </c>
      <c r="W1542">
        <v>1</v>
      </c>
      <c r="X1542">
        <v>0</v>
      </c>
      <c r="Y1542">
        <v>0</v>
      </c>
      <c r="Z1542">
        <f>'Résultat (Ln)'!F$30+'Résultat (Ln)'!F$31*Données!S1542+'Résultat (Ln)'!F$32*Données!T1542+'Résultat (Ln)'!F$33*Données!U1542+'Résultat (Ln)'!F$34*Données!V1542+'Résultat (Ln)'!F$35*Données!W1542+'Résultat (Ln)'!F$36*Données!X1542+'Résultat (Ln)'!F$37*Données!Y1542</f>
        <v>130356.89631392666</v>
      </c>
      <c r="AA1542">
        <f t="shared" si="99"/>
        <v>-4356.8963139266561</v>
      </c>
    </row>
    <row r="1543" spans="1:27" x14ac:dyDescent="0.25">
      <c r="A1543">
        <v>124000</v>
      </c>
      <c r="B1543">
        <v>1</v>
      </c>
      <c r="C1543">
        <v>40</v>
      </c>
      <c r="D1543">
        <v>0</v>
      </c>
      <c r="E1543">
        <v>134000</v>
      </c>
      <c r="F1543">
        <v>2360</v>
      </c>
      <c r="G1543">
        <v>1</v>
      </c>
      <c r="H1543">
        <v>0</v>
      </c>
      <c r="I1543">
        <v>1</v>
      </c>
      <c r="J1543">
        <v>27</v>
      </c>
      <c r="K1543">
        <v>0</v>
      </c>
      <c r="L1543">
        <f>Résultats!G$32+Résultats!G$33*Données!C1543+Résultats!G$34*Données!D1543+Résultats!G$35*Données!E1543+Résultats!G$36*Données!F1543+Résultats!G$37*Données!G1543+Résultats!G$38*Données!H1543+Résultats!G$39*Données!I1543</f>
        <v>126595.41268392686</v>
      </c>
      <c r="M1543">
        <f t="shared" si="96"/>
        <v>-2595.4126839268574</v>
      </c>
      <c r="Q1543">
        <v>186000</v>
      </c>
      <c r="R1543">
        <v>1</v>
      </c>
      <c r="S1543">
        <v>32</v>
      </c>
      <c r="T1543">
        <v>0</v>
      </c>
      <c r="U1543">
        <f t="shared" si="97"/>
        <v>12.354492650648448</v>
      </c>
      <c r="V1543">
        <f t="shared" si="98"/>
        <v>8.5816692106006016</v>
      </c>
      <c r="W1543">
        <v>1</v>
      </c>
      <c r="X1543">
        <v>0</v>
      </c>
      <c r="Y1543">
        <v>0</v>
      </c>
      <c r="Z1543">
        <f>'Résultat (Ln)'!F$30+'Résultat (Ln)'!F$31*Données!S1543+'Résultat (Ln)'!F$32*Données!T1543+'Résultat (Ln)'!F$33*Données!U1543+'Résultat (Ln)'!F$34*Données!V1543+'Résultat (Ln)'!F$35*Données!W1543+'Résultat (Ln)'!F$36*Données!X1543+'Résultat (Ln)'!F$37*Données!Y1543</f>
        <v>178815.87032399612</v>
      </c>
      <c r="AA1543">
        <f t="shared" si="99"/>
        <v>7184.1296760038822</v>
      </c>
    </row>
    <row r="1544" spans="1:27" x14ac:dyDescent="0.25">
      <c r="A1544">
        <v>130000</v>
      </c>
      <c r="B1544">
        <v>1</v>
      </c>
      <c r="C1544">
        <v>35</v>
      </c>
      <c r="D1544">
        <v>0</v>
      </c>
      <c r="E1544">
        <v>155000</v>
      </c>
      <c r="F1544">
        <v>4570</v>
      </c>
      <c r="G1544">
        <v>1</v>
      </c>
      <c r="H1544">
        <v>0</v>
      </c>
      <c r="I1544">
        <v>0</v>
      </c>
      <c r="J1544">
        <v>28</v>
      </c>
      <c r="K1544">
        <v>1</v>
      </c>
      <c r="L1544">
        <f>Résultats!G$32+Résultats!G$33*Données!C1544+Résultats!G$34*Données!D1544+Résultats!G$35*Données!E1544+Résultats!G$36*Données!F1544+Résultats!G$37*Données!G1544+Résultats!G$38*Données!H1544+Résultats!G$39*Données!I1544</f>
        <v>125015.13265181475</v>
      </c>
      <c r="M1544">
        <f t="shared" si="96"/>
        <v>4984.8673481852456</v>
      </c>
      <c r="Q1544">
        <v>124000</v>
      </c>
      <c r="R1544">
        <v>1</v>
      </c>
      <c r="S1544">
        <v>40</v>
      </c>
      <c r="T1544">
        <v>0</v>
      </c>
      <c r="U1544">
        <f t="shared" si="97"/>
        <v>11.805595078933049</v>
      </c>
      <c r="V1544">
        <f t="shared" si="98"/>
        <v>7.7664168980196555</v>
      </c>
      <c r="W1544">
        <v>1</v>
      </c>
      <c r="X1544">
        <v>0</v>
      </c>
      <c r="Y1544">
        <v>1</v>
      </c>
      <c r="Z1544">
        <f>'Résultat (Ln)'!F$30+'Résultat (Ln)'!F$31*Données!S1544+'Résultat (Ln)'!F$32*Données!T1544+'Résultat (Ln)'!F$33*Données!U1544+'Résultat (Ln)'!F$34*Données!V1544+'Résultat (Ln)'!F$35*Données!W1544+'Résultat (Ln)'!F$36*Données!X1544+'Résultat (Ln)'!F$37*Données!Y1544</f>
        <v>120975.34540533439</v>
      </c>
      <c r="AA1544">
        <f t="shared" si="99"/>
        <v>3024.6545946656115</v>
      </c>
    </row>
    <row r="1545" spans="1:27" x14ac:dyDescent="0.25">
      <c r="A1545">
        <v>163000</v>
      </c>
      <c r="B1545">
        <v>1</v>
      </c>
      <c r="C1545">
        <v>29</v>
      </c>
      <c r="D1545">
        <v>0</v>
      </c>
      <c r="E1545">
        <v>245000</v>
      </c>
      <c r="F1545">
        <v>2553</v>
      </c>
      <c r="G1545">
        <v>1</v>
      </c>
      <c r="H1545">
        <v>9</v>
      </c>
      <c r="I1545">
        <v>0</v>
      </c>
      <c r="J1545">
        <v>21</v>
      </c>
      <c r="K1545">
        <v>1</v>
      </c>
      <c r="L1545">
        <f>Résultats!G$32+Résultats!G$33*Données!C1545+Résultats!G$34*Données!D1545+Résultats!G$35*Données!E1545+Résultats!G$36*Données!F1545+Résultats!G$37*Données!G1545+Résultats!G$38*Données!H1545+Résultats!G$39*Données!I1545</f>
        <v>141612.89912831839</v>
      </c>
      <c r="M1545">
        <f t="shared" si="96"/>
        <v>21387.100871681614</v>
      </c>
      <c r="Q1545">
        <v>130000</v>
      </c>
      <c r="R1545">
        <v>1</v>
      </c>
      <c r="S1545">
        <v>35</v>
      </c>
      <c r="T1545">
        <v>0</v>
      </c>
      <c r="U1545">
        <f t="shared" si="97"/>
        <v>11.951180395901384</v>
      </c>
      <c r="V1545">
        <f t="shared" si="98"/>
        <v>8.4272684838882501</v>
      </c>
      <c r="W1545">
        <v>1</v>
      </c>
      <c r="X1545">
        <v>0</v>
      </c>
      <c r="Y1545">
        <v>0</v>
      </c>
      <c r="Z1545">
        <f>'Résultat (Ln)'!F$30+'Résultat (Ln)'!F$31*Données!S1545+'Résultat (Ln)'!F$32*Données!T1545+'Résultat (Ln)'!F$33*Données!U1545+'Résultat (Ln)'!F$34*Données!V1545+'Résultat (Ln)'!F$35*Données!W1545+'Résultat (Ln)'!F$36*Données!X1545+'Résultat (Ln)'!F$37*Données!Y1545</f>
        <v>134918.41685119949</v>
      </c>
      <c r="AA1545">
        <f t="shared" si="99"/>
        <v>-4918.416851199494</v>
      </c>
    </row>
    <row r="1546" spans="1:27" x14ac:dyDescent="0.25">
      <c r="A1546">
        <v>135000</v>
      </c>
      <c r="B1546">
        <v>1</v>
      </c>
      <c r="C1546">
        <v>37</v>
      </c>
      <c r="D1546">
        <v>0</v>
      </c>
      <c r="E1546">
        <v>150000</v>
      </c>
      <c r="F1546">
        <v>5530</v>
      </c>
      <c r="G1546">
        <v>0</v>
      </c>
      <c r="H1546">
        <v>0</v>
      </c>
      <c r="I1546">
        <v>0</v>
      </c>
      <c r="J1546">
        <v>27</v>
      </c>
      <c r="K1546">
        <v>0</v>
      </c>
      <c r="L1546">
        <f>Résultats!G$32+Résultats!G$33*Données!C1546+Résultats!G$34*Données!D1546+Résultats!G$35*Données!E1546+Résultats!G$36*Données!F1546+Résultats!G$37*Données!G1546+Résultats!G$38*Données!H1546+Résultats!G$39*Données!I1546</f>
        <v>119821.36445676407</v>
      </c>
      <c r="M1546">
        <f t="shared" si="96"/>
        <v>15178.635543235927</v>
      </c>
      <c r="Q1546">
        <v>163000</v>
      </c>
      <c r="R1546">
        <v>1</v>
      </c>
      <c r="S1546">
        <v>29</v>
      </c>
      <c r="T1546">
        <v>0</v>
      </c>
      <c r="U1546">
        <f t="shared" si="97"/>
        <v>12.409013489526863</v>
      </c>
      <c r="V1546">
        <f t="shared" si="98"/>
        <v>7.8450244172414836</v>
      </c>
      <c r="W1546">
        <v>1</v>
      </c>
      <c r="X1546">
        <v>9</v>
      </c>
      <c r="Y1546">
        <v>0</v>
      </c>
      <c r="Z1546">
        <f>'Résultat (Ln)'!F$30+'Résultat (Ln)'!F$31*Données!S1546+'Résultat (Ln)'!F$32*Données!T1546+'Résultat (Ln)'!F$33*Données!U1546+'Résultat (Ln)'!F$34*Données!V1546+'Résultat (Ln)'!F$35*Données!W1546+'Résultat (Ln)'!F$36*Données!X1546+'Résultat (Ln)'!F$37*Données!Y1546</f>
        <v>158736.50066323663</v>
      </c>
      <c r="AA1546">
        <f t="shared" si="99"/>
        <v>4263.4993367633724</v>
      </c>
    </row>
    <row r="1547" spans="1:27" x14ac:dyDescent="0.25">
      <c r="A1547">
        <v>175000</v>
      </c>
      <c r="B1547">
        <v>1</v>
      </c>
      <c r="C1547">
        <v>29</v>
      </c>
      <c r="D1547">
        <v>0</v>
      </c>
      <c r="E1547">
        <v>185000</v>
      </c>
      <c r="F1547">
        <v>6500</v>
      </c>
      <c r="G1547">
        <v>1</v>
      </c>
      <c r="H1547">
        <v>0</v>
      </c>
      <c r="I1547">
        <v>1</v>
      </c>
      <c r="J1547">
        <v>26</v>
      </c>
      <c r="K1547">
        <v>1</v>
      </c>
      <c r="L1547">
        <f>Résultats!G$32+Résultats!G$33*Données!C1547+Résultats!G$34*Données!D1547+Résultats!G$35*Données!E1547+Résultats!G$36*Données!F1547+Résultats!G$37*Données!G1547+Résultats!G$38*Données!H1547+Résultats!G$39*Données!I1547</f>
        <v>145797.09491016451</v>
      </c>
      <c r="M1547">
        <f t="shared" si="96"/>
        <v>29202.905089835491</v>
      </c>
      <c r="Q1547">
        <v>135000</v>
      </c>
      <c r="R1547">
        <v>1</v>
      </c>
      <c r="S1547">
        <v>37</v>
      </c>
      <c r="T1547">
        <v>0</v>
      </c>
      <c r="U1547">
        <f t="shared" si="97"/>
        <v>11.918390573078392</v>
      </c>
      <c r="V1547">
        <f t="shared" si="98"/>
        <v>8.6179430945163809</v>
      </c>
      <c r="W1547">
        <v>0</v>
      </c>
      <c r="X1547">
        <v>0</v>
      </c>
      <c r="Y1547">
        <v>0</v>
      </c>
      <c r="Z1547">
        <f>'Résultat (Ln)'!F$30+'Résultat (Ln)'!F$31*Données!S1547+'Résultat (Ln)'!F$32*Données!T1547+'Résultat (Ln)'!F$33*Données!U1547+'Résultat (Ln)'!F$34*Données!V1547+'Résultat (Ln)'!F$35*Données!W1547+'Résultat (Ln)'!F$36*Données!X1547+'Résultat (Ln)'!F$37*Données!Y1547</f>
        <v>134681.16493497076</v>
      </c>
      <c r="AA1547">
        <f t="shared" si="99"/>
        <v>318.83506502924138</v>
      </c>
    </row>
    <row r="1548" spans="1:27" x14ac:dyDescent="0.25">
      <c r="A1548">
        <v>122000</v>
      </c>
      <c r="B1548">
        <v>1</v>
      </c>
      <c r="C1548">
        <v>19</v>
      </c>
      <c r="D1548">
        <v>0</v>
      </c>
      <c r="E1548">
        <v>152000</v>
      </c>
      <c r="F1548">
        <v>9000</v>
      </c>
      <c r="G1548">
        <v>0</v>
      </c>
      <c r="H1548">
        <v>0</v>
      </c>
      <c r="I1548">
        <v>0</v>
      </c>
      <c r="J1548">
        <v>14</v>
      </c>
      <c r="K1548">
        <v>1</v>
      </c>
      <c r="L1548">
        <f>Résultats!G$32+Résultats!G$33*Données!C1548+Résultats!G$34*Données!D1548+Résultats!G$35*Données!E1548+Résultats!G$36*Données!F1548+Résultats!G$37*Données!G1548+Résultats!G$38*Données!H1548+Résultats!G$39*Données!I1548</f>
        <v>106803.32632916281</v>
      </c>
      <c r="M1548">
        <f t="shared" si="96"/>
        <v>15196.67367083719</v>
      </c>
      <c r="Q1548">
        <v>175000</v>
      </c>
      <c r="R1548">
        <v>1</v>
      </c>
      <c r="S1548">
        <v>29</v>
      </c>
      <c r="T1548">
        <v>0</v>
      </c>
      <c r="U1548">
        <f t="shared" si="97"/>
        <v>12.128111104060462</v>
      </c>
      <c r="V1548">
        <f t="shared" si="98"/>
        <v>8.7795574558837277</v>
      </c>
      <c r="W1548">
        <v>1</v>
      </c>
      <c r="X1548">
        <v>0</v>
      </c>
      <c r="Y1548">
        <v>1</v>
      </c>
      <c r="Z1548">
        <f>'Résultat (Ln)'!F$30+'Résultat (Ln)'!F$31*Données!S1548+'Résultat (Ln)'!F$32*Données!T1548+'Résultat (Ln)'!F$33*Données!U1548+'Résultat (Ln)'!F$34*Données!V1548+'Résultat (Ln)'!F$35*Données!W1548+'Résultat (Ln)'!F$36*Données!X1548+'Résultat (Ln)'!F$37*Données!Y1548</f>
        <v>170519.51297061183</v>
      </c>
      <c r="AA1548">
        <f t="shared" si="99"/>
        <v>4480.4870293881686</v>
      </c>
    </row>
    <row r="1549" spans="1:27" x14ac:dyDescent="0.25">
      <c r="A1549">
        <v>106000</v>
      </c>
      <c r="B1549">
        <v>1</v>
      </c>
      <c r="C1549">
        <v>24</v>
      </c>
      <c r="D1549">
        <v>0</v>
      </c>
      <c r="E1549">
        <v>117500</v>
      </c>
      <c r="F1549">
        <v>3529</v>
      </c>
      <c r="G1549">
        <v>0</v>
      </c>
      <c r="H1549">
        <v>0</v>
      </c>
      <c r="I1549">
        <v>0</v>
      </c>
      <c r="J1549">
        <v>19.70000076293945</v>
      </c>
      <c r="K1549">
        <v>0</v>
      </c>
      <c r="L1549">
        <f>Résultats!G$32+Résultats!G$33*Données!C1549+Résultats!G$34*Données!D1549+Résultats!G$35*Données!E1549+Résultats!G$36*Données!F1549+Résultats!G$37*Données!G1549+Résultats!G$38*Données!H1549+Résultats!G$39*Données!I1549</f>
        <v>85835.155777495995</v>
      </c>
      <c r="M1549">
        <f t="shared" si="96"/>
        <v>20164.844222504005</v>
      </c>
      <c r="Q1549">
        <v>122000</v>
      </c>
      <c r="R1549">
        <v>1</v>
      </c>
      <c r="S1549">
        <v>19</v>
      </c>
      <c r="T1549">
        <v>0</v>
      </c>
      <c r="U1549">
        <f t="shared" si="97"/>
        <v>11.931635799828413</v>
      </c>
      <c r="V1549">
        <f t="shared" si="98"/>
        <v>9.1049798563183568</v>
      </c>
      <c r="W1549">
        <v>0</v>
      </c>
      <c r="X1549">
        <v>0</v>
      </c>
      <c r="Y1549">
        <v>0</v>
      </c>
      <c r="Z1549">
        <f>'Résultat (Ln)'!F$30+'Résultat (Ln)'!F$31*Données!S1549+'Résultat (Ln)'!F$32*Données!T1549+'Résultat (Ln)'!F$33*Données!U1549+'Résultat (Ln)'!F$34*Données!V1549+'Résultat (Ln)'!F$35*Données!W1549+'Résultat (Ln)'!F$36*Données!X1549+'Résultat (Ln)'!F$37*Données!Y1549</f>
        <v>127763.58921527531</v>
      </c>
      <c r="AA1549">
        <f t="shared" si="99"/>
        <v>-5763.5892152753077</v>
      </c>
    </row>
    <row r="1550" spans="1:27" x14ac:dyDescent="0.25">
      <c r="A1550">
        <v>460000</v>
      </c>
      <c r="B1550">
        <v>1</v>
      </c>
      <c r="C1550">
        <v>29</v>
      </c>
      <c r="D1550">
        <v>0</v>
      </c>
      <c r="E1550">
        <v>535000</v>
      </c>
      <c r="F1550">
        <v>10000</v>
      </c>
      <c r="G1550">
        <v>1</v>
      </c>
      <c r="H1550">
        <v>0</v>
      </c>
      <c r="I1550">
        <v>1</v>
      </c>
      <c r="J1550">
        <v>23</v>
      </c>
      <c r="K1550">
        <v>0</v>
      </c>
      <c r="L1550">
        <f>Résultats!G$32+Résultats!G$33*Données!C1550+Résultats!G$34*Données!D1550+Résultats!G$35*Données!E1550+Résultats!G$36*Données!F1550+Résultats!G$37*Données!G1550+Résultats!G$38*Données!H1550+Résultats!G$39*Données!I1550</f>
        <v>316012.99472572689</v>
      </c>
      <c r="M1550">
        <f t="shared" si="96"/>
        <v>143987.00527427311</v>
      </c>
      <c r="Q1550">
        <v>106000</v>
      </c>
      <c r="R1550">
        <v>1</v>
      </c>
      <c r="S1550">
        <v>24</v>
      </c>
      <c r="T1550">
        <v>0</v>
      </c>
      <c r="U1550">
        <f t="shared" si="97"/>
        <v>11.67419361256635</v>
      </c>
      <c r="V1550">
        <f t="shared" si="98"/>
        <v>8.1687698236752695</v>
      </c>
      <c r="W1550">
        <v>0</v>
      </c>
      <c r="X1550">
        <v>0</v>
      </c>
      <c r="Y1550">
        <v>0</v>
      </c>
      <c r="Z1550">
        <f>'Résultat (Ln)'!F$30+'Résultat (Ln)'!F$31*Données!S1550+'Résultat (Ln)'!F$32*Données!T1550+'Résultat (Ln)'!F$33*Données!U1550+'Résultat (Ln)'!F$34*Données!V1550+'Résultat (Ln)'!F$35*Données!W1550+'Résultat (Ln)'!F$36*Données!X1550+'Résultat (Ln)'!F$37*Données!Y1550</f>
        <v>80020.380316795345</v>
      </c>
      <c r="AA1550">
        <f t="shared" si="99"/>
        <v>25979.619683204655</v>
      </c>
    </row>
    <row r="1551" spans="1:27" x14ac:dyDescent="0.25">
      <c r="A1551">
        <v>110000</v>
      </c>
      <c r="B1551">
        <v>1</v>
      </c>
      <c r="C1551">
        <v>31.10000038146973</v>
      </c>
      <c r="D1551">
        <v>0</v>
      </c>
      <c r="E1551">
        <v>137000</v>
      </c>
      <c r="F1551">
        <v>3691</v>
      </c>
      <c r="G1551">
        <v>0</v>
      </c>
      <c r="H1551">
        <v>0</v>
      </c>
      <c r="I1551">
        <v>0</v>
      </c>
      <c r="J1551">
        <v>30.5</v>
      </c>
      <c r="K1551">
        <v>1</v>
      </c>
      <c r="L1551">
        <f>Résultats!G$32+Résultats!G$33*Données!C1551+Résultats!G$34*Données!D1551+Résultats!G$35*Données!E1551+Résultats!G$36*Données!F1551+Résultats!G$37*Données!G1551+Résultats!G$38*Données!H1551+Résultats!G$39*Données!I1551</f>
        <v>103410.2261997834</v>
      </c>
      <c r="M1551">
        <f t="shared" si="96"/>
        <v>6589.7738002166006</v>
      </c>
      <c r="Q1551">
        <v>460000</v>
      </c>
      <c r="R1551">
        <v>1</v>
      </c>
      <c r="S1551">
        <v>29</v>
      </c>
      <c r="T1551">
        <v>0</v>
      </c>
      <c r="U1551">
        <f t="shared" si="97"/>
        <v>13.190022025878143</v>
      </c>
      <c r="V1551">
        <f t="shared" si="98"/>
        <v>9.2103403719761836</v>
      </c>
      <c r="W1551">
        <v>1</v>
      </c>
      <c r="X1551">
        <v>0</v>
      </c>
      <c r="Y1551">
        <v>1</v>
      </c>
      <c r="Z1551">
        <f>'Résultat (Ln)'!F$30+'Résultat (Ln)'!F$31*Données!S1551+'Résultat (Ln)'!F$32*Données!T1551+'Résultat (Ln)'!F$33*Données!U1551+'Résultat (Ln)'!F$34*Données!V1551+'Résultat (Ln)'!F$35*Données!W1551+'Résultat (Ln)'!F$36*Données!X1551+'Résultat (Ln)'!F$37*Données!Y1551</f>
        <v>296433.30413090962</v>
      </c>
      <c r="AA1551">
        <f t="shared" si="99"/>
        <v>163566.69586909038</v>
      </c>
    </row>
    <row r="1552" spans="1:27" x14ac:dyDescent="0.25">
      <c r="A1552">
        <v>297000</v>
      </c>
      <c r="B1552">
        <v>1</v>
      </c>
      <c r="C1552">
        <v>31.89999961853027</v>
      </c>
      <c r="D1552">
        <v>0</v>
      </c>
      <c r="E1552">
        <v>371000</v>
      </c>
      <c r="F1552">
        <v>8750</v>
      </c>
      <c r="G1552">
        <v>1</v>
      </c>
      <c r="H1552">
        <v>0</v>
      </c>
      <c r="I1552">
        <v>1</v>
      </c>
      <c r="J1552">
        <v>31.5</v>
      </c>
      <c r="K1552">
        <v>1</v>
      </c>
      <c r="L1552">
        <f>Résultats!G$32+Résultats!G$33*Données!C1552+Résultats!G$34*Données!D1552+Résultats!G$35*Données!E1552+Résultats!G$36*Données!F1552+Résultats!G$37*Données!G1552+Résultats!G$38*Données!H1552+Résultats!G$39*Données!I1552</f>
        <v>240341.5681174809</v>
      </c>
      <c r="M1552">
        <f t="shared" si="96"/>
        <v>56658.4318825191</v>
      </c>
      <c r="Q1552">
        <v>110000</v>
      </c>
      <c r="R1552">
        <v>1</v>
      </c>
      <c r="S1552">
        <v>31.10000038146973</v>
      </c>
      <c r="T1552">
        <v>0</v>
      </c>
      <c r="U1552">
        <f t="shared" si="97"/>
        <v>11.827736204810263</v>
      </c>
      <c r="V1552">
        <f t="shared" si="98"/>
        <v>8.2136527030299984</v>
      </c>
      <c r="W1552">
        <v>0</v>
      </c>
      <c r="X1552">
        <v>0</v>
      </c>
      <c r="Y1552">
        <v>0</v>
      </c>
      <c r="Z1552">
        <f>'Résultat (Ln)'!F$30+'Résultat (Ln)'!F$31*Données!S1552+'Résultat (Ln)'!F$32*Données!T1552+'Résultat (Ln)'!F$33*Données!U1552+'Résultat (Ln)'!F$34*Données!V1552+'Résultat (Ln)'!F$35*Données!W1552+'Résultat (Ln)'!F$36*Données!X1552+'Résultat (Ln)'!F$37*Données!Y1552</f>
        <v>106414.73274502135</v>
      </c>
      <c r="AA1552">
        <f t="shared" si="99"/>
        <v>3585.2672549786512</v>
      </c>
    </row>
    <row r="1553" spans="1:27" x14ac:dyDescent="0.25">
      <c r="A1553">
        <v>130000</v>
      </c>
      <c r="B1553">
        <v>1</v>
      </c>
      <c r="C1553">
        <v>31</v>
      </c>
      <c r="D1553">
        <v>0</v>
      </c>
      <c r="E1553">
        <v>169000</v>
      </c>
      <c r="F1553">
        <v>2750</v>
      </c>
      <c r="G1553">
        <v>0</v>
      </c>
      <c r="H1553">
        <v>0</v>
      </c>
      <c r="I1553">
        <v>0</v>
      </c>
      <c r="J1553">
        <v>28</v>
      </c>
      <c r="K1553">
        <v>1</v>
      </c>
      <c r="L1553">
        <f>Résultats!G$32+Résultats!G$33*Données!C1553+Résultats!G$34*Données!D1553+Résultats!G$35*Données!E1553+Résultats!G$36*Données!F1553+Résultats!G$37*Données!G1553+Résultats!G$38*Données!H1553+Résultats!G$39*Données!I1553</f>
        <v>116414.40541003627</v>
      </c>
      <c r="M1553">
        <f t="shared" si="96"/>
        <v>13585.59458996373</v>
      </c>
      <c r="Q1553">
        <v>297000</v>
      </c>
      <c r="R1553">
        <v>1</v>
      </c>
      <c r="S1553">
        <v>31.89999961853027</v>
      </c>
      <c r="T1553">
        <v>0</v>
      </c>
      <c r="U1553">
        <f t="shared" si="97"/>
        <v>12.823957341589573</v>
      </c>
      <c r="V1553">
        <f t="shared" si="98"/>
        <v>9.0768089793516609</v>
      </c>
      <c r="W1553">
        <v>1</v>
      </c>
      <c r="X1553">
        <v>0</v>
      </c>
      <c r="Y1553">
        <v>1</v>
      </c>
      <c r="Z1553">
        <f>'Résultat (Ln)'!F$30+'Résultat (Ln)'!F$31*Données!S1553+'Résultat (Ln)'!F$32*Données!T1553+'Résultat (Ln)'!F$33*Données!U1553+'Résultat (Ln)'!F$34*Données!V1553+'Résultat (Ln)'!F$35*Données!W1553+'Résultat (Ln)'!F$36*Données!X1553+'Résultat (Ln)'!F$37*Données!Y1553</f>
        <v>256991.71752830507</v>
      </c>
      <c r="AA1553">
        <f t="shared" si="99"/>
        <v>40008.282471694925</v>
      </c>
    </row>
    <row r="1554" spans="1:27" x14ac:dyDescent="0.25">
      <c r="A1554">
        <v>150000</v>
      </c>
      <c r="B1554">
        <v>1</v>
      </c>
      <c r="C1554">
        <v>31</v>
      </c>
      <c r="D1554">
        <v>0</v>
      </c>
      <c r="E1554">
        <v>158000</v>
      </c>
      <c r="F1554">
        <v>4304</v>
      </c>
      <c r="G1554">
        <v>1</v>
      </c>
      <c r="H1554">
        <v>0</v>
      </c>
      <c r="I1554">
        <v>0</v>
      </c>
      <c r="J1554">
        <v>29</v>
      </c>
      <c r="K1554">
        <v>1</v>
      </c>
      <c r="L1554">
        <f>Résultats!G$32+Résultats!G$33*Données!C1554+Résultats!G$34*Données!D1554+Résultats!G$35*Données!E1554+Résultats!G$36*Données!F1554+Résultats!G$37*Données!G1554+Résultats!G$38*Données!H1554+Résultats!G$39*Données!I1554</f>
        <v>121305.85950207064</v>
      </c>
      <c r="M1554">
        <f t="shared" si="96"/>
        <v>28694.140497929358</v>
      </c>
      <c r="Q1554">
        <v>130000</v>
      </c>
      <c r="R1554">
        <v>1</v>
      </c>
      <c r="S1554">
        <v>31</v>
      </c>
      <c r="T1554">
        <v>0</v>
      </c>
      <c r="U1554">
        <f t="shared" si="97"/>
        <v>12.037653993905211</v>
      </c>
      <c r="V1554">
        <f t="shared" si="98"/>
        <v>7.9193561906606167</v>
      </c>
      <c r="W1554">
        <v>0</v>
      </c>
      <c r="X1554">
        <v>0</v>
      </c>
      <c r="Y1554">
        <v>0</v>
      </c>
      <c r="Z1554">
        <f>'Résultat (Ln)'!F$30+'Résultat (Ln)'!F$31*Données!S1554+'Résultat (Ln)'!F$32*Données!T1554+'Résultat (Ln)'!F$33*Données!U1554+'Résultat (Ln)'!F$34*Données!V1554+'Résultat (Ln)'!F$35*Données!W1554+'Résultat (Ln)'!F$36*Données!X1554+'Résultat (Ln)'!F$37*Données!Y1554</f>
        <v>120541.00544693819</v>
      </c>
      <c r="AA1554">
        <f t="shared" si="99"/>
        <v>9458.9945530618133</v>
      </c>
    </row>
    <row r="1555" spans="1:27" x14ac:dyDescent="0.25">
      <c r="A1555">
        <v>82000</v>
      </c>
      <c r="B1555">
        <v>1</v>
      </c>
      <c r="C1555">
        <v>32</v>
      </c>
      <c r="D1555">
        <v>0</v>
      </c>
      <c r="E1555">
        <v>150000</v>
      </c>
      <c r="F1555">
        <v>7400</v>
      </c>
      <c r="G1555">
        <v>1</v>
      </c>
      <c r="H1555">
        <v>0</v>
      </c>
      <c r="I1555">
        <v>0</v>
      </c>
      <c r="J1555">
        <v>14</v>
      </c>
      <c r="K1555">
        <v>1</v>
      </c>
      <c r="L1555">
        <f>Résultats!G$32+Résultats!G$33*Données!C1555+Résultats!G$34*Données!D1555+Résultats!G$35*Données!E1555+Résultats!G$36*Données!F1555+Résultats!G$37*Données!G1555+Résultats!G$38*Données!H1555+Résultats!G$39*Données!I1555</f>
        <v>124718.29341618743</v>
      </c>
      <c r="M1555">
        <f t="shared" si="96"/>
        <v>-42718.293416187429</v>
      </c>
      <c r="Q1555">
        <v>150000</v>
      </c>
      <c r="R1555">
        <v>1</v>
      </c>
      <c r="S1555">
        <v>31</v>
      </c>
      <c r="T1555">
        <v>0</v>
      </c>
      <c r="U1555">
        <f t="shared" si="97"/>
        <v>11.970350312009105</v>
      </c>
      <c r="V1555">
        <f t="shared" si="98"/>
        <v>8.3673001018416198</v>
      </c>
      <c r="W1555">
        <v>1</v>
      </c>
      <c r="X1555">
        <v>0</v>
      </c>
      <c r="Y1555">
        <v>0</v>
      </c>
      <c r="Z1555">
        <f>'Résultat (Ln)'!F$30+'Résultat (Ln)'!F$31*Données!S1555+'Résultat (Ln)'!F$32*Données!T1555+'Résultat (Ln)'!F$33*Données!U1555+'Résultat (Ln)'!F$34*Données!V1555+'Résultat (Ln)'!F$35*Données!W1555+'Résultat (Ln)'!F$36*Données!X1555+'Résultat (Ln)'!F$37*Données!Y1555</f>
        <v>130403.32216563994</v>
      </c>
      <c r="AA1555">
        <f t="shared" si="99"/>
        <v>19596.67783436006</v>
      </c>
    </row>
    <row r="1556" spans="1:27" x14ac:dyDescent="0.25">
      <c r="A1556">
        <v>110000</v>
      </c>
      <c r="B1556">
        <v>1</v>
      </c>
      <c r="C1556">
        <v>21</v>
      </c>
      <c r="D1556">
        <v>0</v>
      </c>
      <c r="E1556">
        <v>173000</v>
      </c>
      <c r="F1556">
        <v>3750</v>
      </c>
      <c r="G1556">
        <v>1</v>
      </c>
      <c r="H1556">
        <v>0</v>
      </c>
      <c r="I1556">
        <v>0</v>
      </c>
      <c r="J1556">
        <v>17</v>
      </c>
      <c r="K1556">
        <v>1</v>
      </c>
      <c r="L1556">
        <f>Résultats!G$32+Résultats!G$33*Données!C1556+Résultats!G$34*Données!D1556+Résultats!G$35*Données!E1556+Résultats!G$36*Données!F1556+Résultats!G$37*Données!G1556+Résultats!G$38*Données!H1556+Résultats!G$39*Données!I1556</f>
        <v>115749.92054035388</v>
      </c>
      <c r="M1556">
        <f t="shared" si="96"/>
        <v>-5749.9205403538799</v>
      </c>
      <c r="Q1556">
        <v>82000</v>
      </c>
      <c r="R1556">
        <v>1</v>
      </c>
      <c r="S1556">
        <v>32</v>
      </c>
      <c r="T1556">
        <v>0</v>
      </c>
      <c r="U1556">
        <f t="shared" si="97"/>
        <v>11.918390573078392</v>
      </c>
      <c r="V1556">
        <f t="shared" si="98"/>
        <v>8.9092352791922611</v>
      </c>
      <c r="W1556">
        <v>1</v>
      </c>
      <c r="X1556">
        <v>0</v>
      </c>
      <c r="Y1556">
        <v>0</v>
      </c>
      <c r="Z1556">
        <f>'Résultat (Ln)'!F$30+'Résultat (Ln)'!F$31*Données!S1556+'Résultat (Ln)'!F$32*Données!T1556+'Résultat (Ln)'!F$33*Données!U1556+'Résultat (Ln)'!F$34*Données!V1556+'Résultat (Ln)'!F$35*Données!W1556+'Résultat (Ln)'!F$36*Données!X1556+'Résultat (Ln)'!F$37*Données!Y1556</f>
        <v>141254.51123083301</v>
      </c>
      <c r="AA1556">
        <f t="shared" si="99"/>
        <v>-59254.511230833014</v>
      </c>
    </row>
    <row r="1557" spans="1:27" x14ac:dyDescent="0.25">
      <c r="A1557">
        <v>183000</v>
      </c>
      <c r="B1557">
        <v>1</v>
      </c>
      <c r="C1557">
        <v>24.70000076293945</v>
      </c>
      <c r="D1557">
        <v>0</v>
      </c>
      <c r="E1557">
        <v>229000</v>
      </c>
      <c r="F1557">
        <v>4517</v>
      </c>
      <c r="G1557">
        <v>1</v>
      </c>
      <c r="H1557">
        <v>1</v>
      </c>
      <c r="I1557">
        <v>0</v>
      </c>
      <c r="J1557">
        <v>24.469999313354489</v>
      </c>
      <c r="K1557">
        <v>1</v>
      </c>
      <c r="L1557">
        <f>Résultats!G$32+Résultats!G$33*Données!C1557+Résultats!G$34*Données!D1557+Résultats!G$35*Données!E1557+Résultats!G$36*Données!F1557+Résultats!G$37*Données!G1557+Résultats!G$38*Données!H1557+Résultats!G$39*Données!I1557</f>
        <v>146010.39129547949</v>
      </c>
      <c r="M1557">
        <f t="shared" si="96"/>
        <v>36989.608704520506</v>
      </c>
      <c r="Q1557">
        <v>110000</v>
      </c>
      <c r="R1557">
        <v>1</v>
      </c>
      <c r="S1557">
        <v>21</v>
      </c>
      <c r="T1557">
        <v>0</v>
      </c>
      <c r="U1557">
        <f t="shared" si="97"/>
        <v>12.061046873479915</v>
      </c>
      <c r="V1557">
        <f t="shared" si="98"/>
        <v>8.2295111189644565</v>
      </c>
      <c r="W1557">
        <v>1</v>
      </c>
      <c r="X1557">
        <v>0</v>
      </c>
      <c r="Y1557">
        <v>0</v>
      </c>
      <c r="Z1557">
        <f>'Résultat (Ln)'!F$30+'Résultat (Ln)'!F$31*Données!S1557+'Résultat (Ln)'!F$32*Données!T1557+'Résultat (Ln)'!F$33*Données!U1557+'Résultat (Ln)'!F$34*Données!V1557+'Résultat (Ln)'!F$35*Données!W1557+'Résultat (Ln)'!F$36*Données!X1557+'Résultat (Ln)'!F$37*Données!Y1557</f>
        <v>124040.78047180343</v>
      </c>
      <c r="AA1557">
        <f t="shared" si="99"/>
        <v>-14040.780471803431</v>
      </c>
    </row>
    <row r="1558" spans="1:27" x14ac:dyDescent="0.25">
      <c r="A1558">
        <v>267000</v>
      </c>
      <c r="B1558">
        <v>1</v>
      </c>
      <c r="C1558">
        <v>32</v>
      </c>
      <c r="D1558">
        <v>0</v>
      </c>
      <c r="E1558">
        <v>275000</v>
      </c>
      <c r="F1558">
        <v>5400</v>
      </c>
      <c r="G1558">
        <v>1</v>
      </c>
      <c r="H1558">
        <v>0</v>
      </c>
      <c r="I1558">
        <v>1</v>
      </c>
      <c r="J1558">
        <v>26</v>
      </c>
      <c r="K1558">
        <v>1</v>
      </c>
      <c r="L1558">
        <f>Résultats!G$32+Résultats!G$33*Données!C1558+Résultats!G$34*Données!D1558+Résultats!G$35*Données!E1558+Résultats!G$36*Données!F1558+Résultats!G$37*Données!G1558+Résultats!G$38*Données!H1558+Résultats!G$39*Données!I1558</f>
        <v>189137.33412572212</v>
      </c>
      <c r="M1558">
        <f t="shared" si="96"/>
        <v>77862.665874277882</v>
      </c>
      <c r="Q1558">
        <v>183000</v>
      </c>
      <c r="R1558">
        <v>1</v>
      </c>
      <c r="S1558">
        <v>24.70000076293945</v>
      </c>
      <c r="T1558">
        <v>0</v>
      </c>
      <c r="U1558">
        <f t="shared" si="97"/>
        <v>12.341477282536376</v>
      </c>
      <c r="V1558">
        <f t="shared" si="98"/>
        <v>8.4156033356546036</v>
      </c>
      <c r="W1558">
        <v>1</v>
      </c>
      <c r="X1558">
        <v>1</v>
      </c>
      <c r="Y1558">
        <v>0</v>
      </c>
      <c r="Z1558">
        <f>'Résultat (Ln)'!F$30+'Résultat (Ln)'!F$31*Données!S1558+'Résultat (Ln)'!F$32*Données!T1558+'Résultat (Ln)'!F$33*Données!U1558+'Résultat (Ln)'!F$34*Données!V1558+'Résultat (Ln)'!F$35*Données!W1558+'Résultat (Ln)'!F$36*Données!X1558+'Résultat (Ln)'!F$37*Données!Y1558</f>
        <v>163664.79421635327</v>
      </c>
      <c r="AA1558">
        <f t="shared" si="99"/>
        <v>19335.205783646728</v>
      </c>
    </row>
    <row r="1559" spans="1:27" x14ac:dyDescent="0.25">
      <c r="A1559">
        <v>135000</v>
      </c>
      <c r="B1559">
        <v>1</v>
      </c>
      <c r="C1559">
        <v>29</v>
      </c>
      <c r="D1559">
        <v>0</v>
      </c>
      <c r="E1559">
        <v>151000</v>
      </c>
      <c r="F1559">
        <v>2214</v>
      </c>
      <c r="G1559">
        <v>1</v>
      </c>
      <c r="H1559">
        <v>0</v>
      </c>
      <c r="I1559">
        <v>1</v>
      </c>
      <c r="J1559">
        <v>19</v>
      </c>
      <c r="K1559">
        <v>1</v>
      </c>
      <c r="L1559">
        <f>Résultats!G$32+Résultats!G$33*Données!C1559+Résultats!G$34*Données!D1559+Résultats!G$35*Données!E1559+Résultats!G$36*Données!F1559+Résultats!G$37*Données!G1559+Résultats!G$38*Données!H1559+Résultats!G$39*Données!I1559</f>
        <v>121615.32712566598</v>
      </c>
      <c r="M1559">
        <f t="shared" si="96"/>
        <v>13384.672874334021</v>
      </c>
      <c r="Q1559">
        <v>267000</v>
      </c>
      <c r="R1559">
        <v>1</v>
      </c>
      <c r="S1559">
        <v>32</v>
      </c>
      <c r="T1559">
        <v>0</v>
      </c>
      <c r="U1559">
        <f t="shared" si="97"/>
        <v>12.524526376648708</v>
      </c>
      <c r="V1559">
        <f t="shared" si="98"/>
        <v>8.5941542325523663</v>
      </c>
      <c r="W1559">
        <v>1</v>
      </c>
      <c r="X1559">
        <v>0</v>
      </c>
      <c r="Y1559">
        <v>1</v>
      </c>
      <c r="Z1559">
        <f>'Résultat (Ln)'!F$30+'Résultat (Ln)'!F$31*Données!S1559+'Résultat (Ln)'!F$32*Données!T1559+'Résultat (Ln)'!F$33*Données!U1559+'Résultat (Ln)'!F$34*Données!V1559+'Résultat (Ln)'!F$35*Données!W1559+'Résultat (Ln)'!F$36*Données!X1559+'Résultat (Ln)'!F$37*Données!Y1559</f>
        <v>211479.81514784726</v>
      </c>
      <c r="AA1559">
        <f t="shared" si="99"/>
        <v>55520.184852152743</v>
      </c>
    </row>
    <row r="1560" spans="1:27" x14ac:dyDescent="0.25">
      <c r="A1560">
        <v>123000</v>
      </c>
      <c r="B1560">
        <v>1</v>
      </c>
      <c r="C1560">
        <v>36</v>
      </c>
      <c r="D1560">
        <v>0</v>
      </c>
      <c r="E1560">
        <v>154000</v>
      </c>
      <c r="F1560">
        <v>1833</v>
      </c>
      <c r="G1560">
        <v>1</v>
      </c>
      <c r="H1560">
        <v>1</v>
      </c>
      <c r="I1560">
        <v>1</v>
      </c>
      <c r="J1560">
        <v>28</v>
      </c>
      <c r="K1560">
        <v>1</v>
      </c>
      <c r="L1560">
        <f>Résultats!G$32+Résultats!G$33*Données!C1560+Résultats!G$34*Données!D1560+Résultats!G$35*Données!E1560+Résultats!G$36*Données!F1560+Résultats!G$37*Données!G1560+Résultats!G$38*Données!H1560+Résultats!G$39*Données!I1560</f>
        <v>128693.30611997766</v>
      </c>
      <c r="M1560">
        <f t="shared" si="96"/>
        <v>-5693.3061199776566</v>
      </c>
      <c r="Q1560">
        <v>135000</v>
      </c>
      <c r="R1560">
        <v>1</v>
      </c>
      <c r="S1560">
        <v>29</v>
      </c>
      <c r="T1560">
        <v>0</v>
      </c>
      <c r="U1560">
        <f t="shared" si="97"/>
        <v>11.925035115797062</v>
      </c>
      <c r="V1560">
        <f t="shared" si="98"/>
        <v>7.7025561132685825</v>
      </c>
      <c r="W1560">
        <v>1</v>
      </c>
      <c r="X1560">
        <v>0</v>
      </c>
      <c r="Y1560">
        <v>1</v>
      </c>
      <c r="Z1560">
        <f>'Résultat (Ln)'!F$30+'Résultat (Ln)'!F$31*Données!S1560+'Résultat (Ln)'!F$32*Données!T1560+'Résultat (Ln)'!F$33*Données!U1560+'Résultat (Ln)'!F$34*Données!V1560+'Résultat (Ln)'!F$35*Données!W1560+'Résultat (Ln)'!F$36*Données!X1560+'Résultat (Ln)'!F$37*Données!Y1560</f>
        <v>118545.31079957976</v>
      </c>
      <c r="AA1560">
        <f t="shared" si="99"/>
        <v>16454.689200420238</v>
      </c>
    </row>
    <row r="1561" spans="1:27" x14ac:dyDescent="0.25">
      <c r="A1561">
        <v>140000</v>
      </c>
      <c r="B1561">
        <v>1</v>
      </c>
      <c r="C1561">
        <v>30</v>
      </c>
      <c r="D1561">
        <v>0</v>
      </c>
      <c r="E1561">
        <v>176000</v>
      </c>
      <c r="F1561">
        <v>2157</v>
      </c>
      <c r="G1561">
        <v>1</v>
      </c>
      <c r="H1561">
        <v>0</v>
      </c>
      <c r="I1561">
        <v>0</v>
      </c>
      <c r="J1561">
        <v>29</v>
      </c>
      <c r="K1561">
        <v>1</v>
      </c>
      <c r="L1561">
        <f>Résultats!G$32+Résultats!G$33*Données!C1561+Résultats!G$34*Données!D1561+Résultats!G$35*Données!E1561+Résultats!G$36*Données!F1561+Résultats!G$37*Données!G1561+Résultats!G$38*Données!H1561+Résultats!G$39*Données!I1561</f>
        <v>124401.91848478233</v>
      </c>
      <c r="M1561">
        <f t="shared" si="96"/>
        <v>15598.081515217666</v>
      </c>
      <c r="Q1561">
        <v>123000</v>
      </c>
      <c r="R1561">
        <v>1</v>
      </c>
      <c r="S1561">
        <v>36</v>
      </c>
      <c r="T1561">
        <v>0</v>
      </c>
      <c r="U1561">
        <f t="shared" si="97"/>
        <v>11.944707881395766</v>
      </c>
      <c r="V1561">
        <f t="shared" si="98"/>
        <v>7.5137092478397047</v>
      </c>
      <c r="W1561">
        <v>1</v>
      </c>
      <c r="X1561">
        <v>1</v>
      </c>
      <c r="Y1561">
        <v>1</v>
      </c>
      <c r="Z1561">
        <f>'Résultat (Ln)'!F$30+'Résultat (Ln)'!F$31*Données!S1561+'Résultat (Ln)'!F$32*Données!T1561+'Résultat (Ln)'!F$33*Données!U1561+'Résultat (Ln)'!F$34*Données!V1561+'Résultat (Ln)'!F$35*Données!W1561+'Résultat (Ln)'!F$36*Données!X1561+'Résultat (Ln)'!F$37*Données!Y1561</f>
        <v>123734.53168985821</v>
      </c>
      <c r="AA1561">
        <f t="shared" si="99"/>
        <v>-734.53168985820957</v>
      </c>
    </row>
    <row r="1562" spans="1:27" x14ac:dyDescent="0.25">
      <c r="A1562">
        <v>225000</v>
      </c>
      <c r="B1562">
        <v>1</v>
      </c>
      <c r="C1562">
        <v>19</v>
      </c>
      <c r="D1562">
        <v>0</v>
      </c>
      <c r="E1562">
        <v>310000</v>
      </c>
      <c r="F1562">
        <v>17263</v>
      </c>
      <c r="G1562">
        <v>0</v>
      </c>
      <c r="H1562">
        <v>9</v>
      </c>
      <c r="I1562">
        <v>1</v>
      </c>
      <c r="J1562">
        <v>15</v>
      </c>
      <c r="K1562">
        <v>0</v>
      </c>
      <c r="L1562">
        <f>Résultats!G$32+Résultats!G$33*Données!C1562+Résultats!G$34*Données!D1562+Résultats!G$35*Données!E1562+Résultats!G$36*Données!F1562+Résultats!G$37*Données!G1562+Résultats!G$38*Données!H1562+Résultats!G$39*Données!I1562</f>
        <v>191891.84832704961</v>
      </c>
      <c r="M1562">
        <f t="shared" si="96"/>
        <v>33108.151672950393</v>
      </c>
      <c r="Q1562">
        <v>140000</v>
      </c>
      <c r="R1562">
        <v>1</v>
      </c>
      <c r="S1562">
        <v>30</v>
      </c>
      <c r="T1562">
        <v>0</v>
      </c>
      <c r="U1562">
        <f t="shared" si="97"/>
        <v>12.078239274020289</v>
      </c>
      <c r="V1562">
        <f t="shared" si="98"/>
        <v>7.6764736463891561</v>
      </c>
      <c r="W1562">
        <v>1</v>
      </c>
      <c r="X1562">
        <v>0</v>
      </c>
      <c r="Y1562">
        <v>0</v>
      </c>
      <c r="Z1562">
        <f>'Résultat (Ln)'!F$30+'Résultat (Ln)'!F$31*Données!S1562+'Résultat (Ln)'!F$32*Données!T1562+'Résultat (Ln)'!F$33*Données!U1562+'Résultat (Ln)'!F$34*Données!V1562+'Résultat (Ln)'!F$35*Données!W1562+'Résultat (Ln)'!F$36*Données!X1562+'Résultat (Ln)'!F$37*Données!Y1562</f>
        <v>121371.72389854897</v>
      </c>
      <c r="AA1562">
        <f t="shared" si="99"/>
        <v>18628.276101451032</v>
      </c>
    </row>
    <row r="1563" spans="1:27" x14ac:dyDescent="0.25">
      <c r="A1563">
        <v>146000</v>
      </c>
      <c r="B1563">
        <v>1</v>
      </c>
      <c r="C1563">
        <v>34</v>
      </c>
      <c r="D1563">
        <v>0</v>
      </c>
      <c r="E1563">
        <v>183000</v>
      </c>
      <c r="F1563">
        <v>3583</v>
      </c>
      <c r="G1563">
        <v>1</v>
      </c>
      <c r="H1563">
        <v>0</v>
      </c>
      <c r="I1563">
        <v>0</v>
      </c>
      <c r="J1563">
        <v>25</v>
      </c>
      <c r="K1563">
        <v>1</v>
      </c>
      <c r="L1563">
        <f>Résultats!G$32+Résultats!G$33*Données!C1563+Résultats!G$34*Données!D1563+Résultats!G$35*Données!E1563+Résultats!G$36*Données!F1563+Résultats!G$37*Données!G1563+Résultats!G$38*Données!H1563+Résultats!G$39*Données!I1563</f>
        <v>135028.5576655294</v>
      </c>
      <c r="M1563">
        <f t="shared" si="96"/>
        <v>10971.442334470601</v>
      </c>
      <c r="Q1563">
        <v>225000</v>
      </c>
      <c r="R1563">
        <v>1</v>
      </c>
      <c r="S1563">
        <v>19</v>
      </c>
      <c r="T1563">
        <v>0</v>
      </c>
      <c r="U1563">
        <f t="shared" si="97"/>
        <v>12.644327576461329</v>
      </c>
      <c r="V1563">
        <f t="shared" si="98"/>
        <v>9.7563207618165482</v>
      </c>
      <c r="W1563">
        <v>0</v>
      </c>
      <c r="X1563">
        <v>9</v>
      </c>
      <c r="Y1563">
        <v>1</v>
      </c>
      <c r="Z1563">
        <f>'Résultat (Ln)'!F$30+'Résultat (Ln)'!F$31*Données!S1563+'Résultat (Ln)'!F$32*Données!T1563+'Résultat (Ln)'!F$33*Données!U1563+'Résultat (Ln)'!F$34*Données!V1563+'Résultat (Ln)'!F$35*Données!W1563+'Résultat (Ln)'!F$36*Données!X1563+'Résultat (Ln)'!F$37*Données!Y1563</f>
        <v>234917.4392704232</v>
      </c>
      <c r="AA1563">
        <f t="shared" si="99"/>
        <v>-9917.4392704232014</v>
      </c>
    </row>
    <row r="1564" spans="1:27" x14ac:dyDescent="0.25">
      <c r="A1564">
        <v>106000</v>
      </c>
      <c r="B1564">
        <v>1</v>
      </c>
      <c r="C1564">
        <v>29</v>
      </c>
      <c r="D1564">
        <v>0</v>
      </c>
      <c r="E1564">
        <v>133000</v>
      </c>
      <c r="F1564">
        <v>1972</v>
      </c>
      <c r="G1564">
        <v>0</v>
      </c>
      <c r="H1564">
        <v>0</v>
      </c>
      <c r="I1564">
        <v>0</v>
      </c>
      <c r="J1564">
        <v>24</v>
      </c>
      <c r="K1564">
        <v>1</v>
      </c>
      <c r="L1564">
        <f>Résultats!G$32+Résultats!G$33*Données!C1564+Résultats!G$34*Données!D1564+Résultats!G$35*Données!E1564+Résultats!G$36*Données!F1564+Résultats!G$37*Données!G1564+Résultats!G$38*Données!H1564+Résultats!G$39*Données!I1564</f>
        <v>95799.14840902845</v>
      </c>
      <c r="M1564">
        <f t="shared" si="96"/>
        <v>10200.85159097155</v>
      </c>
      <c r="Q1564">
        <v>146000</v>
      </c>
      <c r="R1564">
        <v>1</v>
      </c>
      <c r="S1564">
        <v>34</v>
      </c>
      <c r="T1564">
        <v>0</v>
      </c>
      <c r="U1564">
        <f t="shared" si="97"/>
        <v>12.117241431823558</v>
      </c>
      <c r="V1564">
        <f t="shared" si="98"/>
        <v>8.1839557173049542</v>
      </c>
      <c r="W1564">
        <v>1</v>
      </c>
      <c r="X1564">
        <v>0</v>
      </c>
      <c r="Y1564">
        <v>0</v>
      </c>
      <c r="Z1564">
        <f>'Résultat (Ln)'!F$30+'Résultat (Ln)'!F$31*Données!S1564+'Résultat (Ln)'!F$32*Données!T1564+'Résultat (Ln)'!F$33*Données!U1564+'Résultat (Ln)'!F$34*Données!V1564+'Résultat (Ln)'!F$35*Données!W1564+'Résultat (Ln)'!F$36*Données!X1564+'Résultat (Ln)'!F$37*Données!Y1564</f>
        <v>144673.48322513368</v>
      </c>
      <c r="AA1564">
        <f t="shared" si="99"/>
        <v>1326.5167748663225</v>
      </c>
    </row>
    <row r="1565" spans="1:27" x14ac:dyDescent="0.25">
      <c r="A1565">
        <v>119000</v>
      </c>
      <c r="B1565">
        <v>1</v>
      </c>
      <c r="C1565">
        <v>27</v>
      </c>
      <c r="D1565">
        <v>1</v>
      </c>
      <c r="E1565">
        <v>164000</v>
      </c>
      <c r="F1565">
        <v>3597</v>
      </c>
      <c r="G1565">
        <v>1</v>
      </c>
      <c r="H1565">
        <v>0</v>
      </c>
      <c r="I1565">
        <v>0</v>
      </c>
      <c r="J1565">
        <v>22</v>
      </c>
      <c r="K1565">
        <v>1</v>
      </c>
      <c r="L1565">
        <f>Résultats!G$32+Résultats!G$33*Données!C1565+Résultats!G$34*Données!D1565+Résultats!G$35*Données!E1565+Résultats!G$36*Données!F1565+Résultats!G$37*Données!G1565+Résultats!G$38*Données!H1565+Résultats!G$39*Données!I1565</f>
        <v>122991.1306453366</v>
      </c>
      <c r="M1565">
        <f t="shared" si="96"/>
        <v>-3991.1306453365978</v>
      </c>
      <c r="Q1565">
        <v>106000</v>
      </c>
      <c r="R1565">
        <v>1</v>
      </c>
      <c r="S1565">
        <v>29</v>
      </c>
      <c r="T1565">
        <v>0</v>
      </c>
      <c r="U1565">
        <f t="shared" si="97"/>
        <v>11.798104407203891</v>
      </c>
      <c r="V1565">
        <f t="shared" si="98"/>
        <v>7.5868035351625807</v>
      </c>
      <c r="W1565">
        <v>0</v>
      </c>
      <c r="X1565">
        <v>0</v>
      </c>
      <c r="Y1565">
        <v>0</v>
      </c>
      <c r="Z1565">
        <f>'Résultat (Ln)'!F$30+'Résultat (Ln)'!F$31*Données!S1565+'Résultat (Ln)'!F$32*Données!T1565+'Résultat (Ln)'!F$33*Données!U1565+'Résultat (Ln)'!F$34*Données!V1565+'Résultat (Ln)'!F$35*Données!W1565+'Résultat (Ln)'!F$36*Données!X1565+'Résultat (Ln)'!F$37*Données!Y1565</f>
        <v>83091.566984762409</v>
      </c>
      <c r="AA1565">
        <f t="shared" si="99"/>
        <v>22908.433015237591</v>
      </c>
    </row>
    <row r="1566" spans="1:27" x14ac:dyDescent="0.25">
      <c r="A1566">
        <v>105000</v>
      </c>
      <c r="B1566">
        <v>1</v>
      </c>
      <c r="C1566">
        <v>36</v>
      </c>
      <c r="D1566">
        <v>0</v>
      </c>
      <c r="E1566">
        <v>131500</v>
      </c>
      <c r="F1566">
        <v>3326</v>
      </c>
      <c r="G1566">
        <v>1</v>
      </c>
      <c r="H1566">
        <v>0</v>
      </c>
      <c r="I1566">
        <v>0</v>
      </c>
      <c r="J1566">
        <v>24</v>
      </c>
      <c r="K1566">
        <v>0</v>
      </c>
      <c r="L1566">
        <f>Résultats!G$32+Résultats!G$33*Données!C1566+Résultats!G$34*Données!D1566+Résultats!G$35*Données!E1566+Résultats!G$36*Données!F1566+Résultats!G$37*Données!G1566+Résultats!G$38*Données!H1566+Résultats!G$39*Données!I1566</f>
        <v>112779.79373412569</v>
      </c>
      <c r="M1566">
        <f t="shared" si="96"/>
        <v>-7779.7937341256911</v>
      </c>
      <c r="Q1566">
        <v>119000</v>
      </c>
      <c r="R1566">
        <v>1</v>
      </c>
      <c r="S1566">
        <v>27</v>
      </c>
      <c r="T1566">
        <v>1</v>
      </c>
      <c r="U1566">
        <f t="shared" si="97"/>
        <v>12.007621706806335</v>
      </c>
      <c r="V1566">
        <f t="shared" si="98"/>
        <v>8.1878554436956232</v>
      </c>
      <c r="W1566">
        <v>1</v>
      </c>
      <c r="X1566">
        <v>0</v>
      </c>
      <c r="Y1566">
        <v>0</v>
      </c>
      <c r="Z1566">
        <f>'Résultat (Ln)'!F$30+'Résultat (Ln)'!F$31*Données!S1566+'Résultat (Ln)'!F$32*Données!T1566+'Résultat (Ln)'!F$33*Données!U1566+'Résultat (Ln)'!F$34*Données!V1566+'Résultat (Ln)'!F$35*Données!W1566+'Résultat (Ln)'!F$36*Données!X1566+'Résultat (Ln)'!F$37*Données!Y1566</f>
        <v>128826.63084355449</v>
      </c>
      <c r="AA1566">
        <f t="shared" si="99"/>
        <v>-9826.6308435544925</v>
      </c>
    </row>
    <row r="1567" spans="1:27" x14ac:dyDescent="0.25">
      <c r="A1567">
        <v>107000</v>
      </c>
      <c r="B1567">
        <v>1</v>
      </c>
      <c r="C1567">
        <v>28</v>
      </c>
      <c r="D1567">
        <v>0</v>
      </c>
      <c r="E1567">
        <v>134000</v>
      </c>
      <c r="F1567">
        <v>2600</v>
      </c>
      <c r="G1567">
        <v>1</v>
      </c>
      <c r="H1567">
        <v>0</v>
      </c>
      <c r="I1567">
        <v>1</v>
      </c>
      <c r="J1567">
        <v>26</v>
      </c>
      <c r="K1567">
        <v>1</v>
      </c>
      <c r="L1567">
        <f>Résultats!G$32+Résultats!G$33*Données!C1567+Résultats!G$34*Données!D1567+Résultats!G$35*Données!E1567+Résultats!G$36*Données!F1567+Résultats!G$37*Données!G1567+Résultats!G$38*Données!H1567+Résultats!G$39*Données!I1567</f>
        <v>113276.43710229546</v>
      </c>
      <c r="M1567">
        <f t="shared" si="96"/>
        <v>-6276.4371022954583</v>
      </c>
      <c r="Q1567">
        <v>105000</v>
      </c>
      <c r="R1567">
        <v>1</v>
      </c>
      <c r="S1567">
        <v>36</v>
      </c>
      <c r="T1567">
        <v>0</v>
      </c>
      <c r="U1567">
        <f t="shared" si="97"/>
        <v>11.786762130599957</v>
      </c>
      <c r="V1567">
        <f t="shared" si="98"/>
        <v>8.1095256597528724</v>
      </c>
      <c r="W1567">
        <v>1</v>
      </c>
      <c r="X1567">
        <v>0</v>
      </c>
      <c r="Y1567">
        <v>0</v>
      </c>
      <c r="Z1567">
        <f>'Résultat (Ln)'!F$30+'Résultat (Ln)'!F$31*Données!S1567+'Résultat (Ln)'!F$32*Données!T1567+'Résultat (Ln)'!F$33*Données!U1567+'Résultat (Ln)'!F$34*Données!V1567+'Résultat (Ln)'!F$35*Données!W1567+'Résultat (Ln)'!F$36*Données!X1567+'Résultat (Ln)'!F$37*Données!Y1567</f>
        <v>109604.1993114823</v>
      </c>
      <c r="AA1567">
        <f t="shared" si="99"/>
        <v>-4604.1993114822981</v>
      </c>
    </row>
    <row r="1568" spans="1:27" x14ac:dyDescent="0.25">
      <c r="A1568">
        <v>111000</v>
      </c>
      <c r="B1568">
        <v>1</v>
      </c>
      <c r="C1568">
        <v>29</v>
      </c>
      <c r="D1568">
        <v>0</v>
      </c>
      <c r="E1568">
        <v>281000</v>
      </c>
      <c r="F1568">
        <v>4625</v>
      </c>
      <c r="G1568">
        <v>1</v>
      </c>
      <c r="H1568">
        <v>0</v>
      </c>
      <c r="I1568">
        <v>0</v>
      </c>
      <c r="J1568">
        <v>23</v>
      </c>
      <c r="K1568">
        <v>1</v>
      </c>
      <c r="L1568">
        <f>Résultats!G$32+Résultats!G$33*Données!C1568+Résultats!G$34*Données!D1568+Résultats!G$35*Données!E1568+Résultats!G$36*Données!F1568+Résultats!G$37*Données!G1568+Résultats!G$38*Données!H1568+Résultats!G$39*Données!I1568</f>
        <v>177065.80053497507</v>
      </c>
      <c r="M1568">
        <f t="shared" si="96"/>
        <v>-66065.800534975075</v>
      </c>
      <c r="Q1568">
        <v>107000</v>
      </c>
      <c r="R1568">
        <v>1</v>
      </c>
      <c r="S1568">
        <v>28</v>
      </c>
      <c r="T1568">
        <v>0</v>
      </c>
      <c r="U1568">
        <f t="shared" si="97"/>
        <v>11.805595078933049</v>
      </c>
      <c r="V1568">
        <f t="shared" si="98"/>
        <v>7.8632667240095735</v>
      </c>
      <c r="W1568">
        <v>1</v>
      </c>
      <c r="X1568">
        <v>0</v>
      </c>
      <c r="Y1568">
        <v>1</v>
      </c>
      <c r="Z1568">
        <f>'Résultat (Ln)'!F$30+'Résultat (Ln)'!F$31*Données!S1568+'Résultat (Ln)'!F$32*Données!T1568+'Résultat (Ln)'!F$33*Données!U1568+'Résultat (Ln)'!F$34*Données!V1568+'Résultat (Ln)'!F$35*Données!W1568+'Résultat (Ln)'!F$36*Données!X1568+'Résultat (Ln)'!F$37*Données!Y1568</f>
        <v>109027.08393188602</v>
      </c>
      <c r="AA1568">
        <f t="shared" si="99"/>
        <v>-2027.0839318860235</v>
      </c>
    </row>
    <row r="1569" spans="1:27" x14ac:dyDescent="0.25">
      <c r="A1569">
        <v>128000</v>
      </c>
      <c r="B1569">
        <v>1</v>
      </c>
      <c r="C1569">
        <v>31.60000038146973</v>
      </c>
      <c r="D1569">
        <v>0</v>
      </c>
      <c r="E1569">
        <v>171000</v>
      </c>
      <c r="F1569">
        <v>7500</v>
      </c>
      <c r="G1569">
        <v>1</v>
      </c>
      <c r="H1569">
        <v>0</v>
      </c>
      <c r="I1569">
        <v>1</v>
      </c>
      <c r="J1569">
        <v>16.909999847412109</v>
      </c>
      <c r="K1569">
        <v>1</v>
      </c>
      <c r="L1569">
        <f>Résultats!G$32+Résultats!G$33*Données!C1569+Résultats!G$34*Données!D1569+Résultats!G$35*Données!E1569+Résultats!G$36*Données!F1569+Résultats!G$37*Données!G1569+Résultats!G$38*Données!H1569+Résultats!G$39*Données!I1569</f>
        <v>144184.07993839271</v>
      </c>
      <c r="M1569">
        <f t="shared" si="96"/>
        <v>-16184.079938392708</v>
      </c>
      <c r="Q1569">
        <v>111000</v>
      </c>
      <c r="R1569">
        <v>1</v>
      </c>
      <c r="S1569">
        <v>29</v>
      </c>
      <c r="T1569">
        <v>0</v>
      </c>
      <c r="U1569">
        <f t="shared" si="97"/>
        <v>12.546109948315882</v>
      </c>
      <c r="V1569">
        <f t="shared" si="98"/>
        <v>8.4392316499465263</v>
      </c>
      <c r="W1569">
        <v>1</v>
      </c>
      <c r="X1569">
        <v>0</v>
      </c>
      <c r="Y1569">
        <v>0</v>
      </c>
      <c r="Z1569">
        <f>'Résultat (Ln)'!F$30+'Résultat (Ln)'!F$31*Données!S1569+'Résultat (Ln)'!F$32*Données!T1569+'Résultat (Ln)'!F$33*Données!U1569+'Résultat (Ln)'!F$34*Données!V1569+'Résultat (Ln)'!F$35*Données!W1569+'Résultat (Ln)'!F$36*Données!X1569+'Résultat (Ln)'!F$37*Données!Y1569</f>
        <v>191695.49784398318</v>
      </c>
      <c r="AA1569">
        <f t="shared" si="99"/>
        <v>-80695.497843983176</v>
      </c>
    </row>
    <row r="1570" spans="1:27" x14ac:dyDescent="0.25">
      <c r="A1570">
        <v>106000</v>
      </c>
      <c r="B1570">
        <v>1</v>
      </c>
      <c r="C1570">
        <v>36.5</v>
      </c>
      <c r="D1570">
        <v>1</v>
      </c>
      <c r="E1570">
        <v>132000</v>
      </c>
      <c r="F1570">
        <v>1765</v>
      </c>
      <c r="G1570">
        <v>1</v>
      </c>
      <c r="H1570">
        <v>0</v>
      </c>
      <c r="I1570">
        <v>0</v>
      </c>
      <c r="J1570">
        <v>28</v>
      </c>
      <c r="K1570">
        <v>1</v>
      </c>
      <c r="L1570">
        <f>Résultats!G$32+Résultats!G$33*Données!C1570+Résultats!G$34*Données!D1570+Résultats!G$35*Données!E1570+Résultats!G$36*Données!F1570+Résultats!G$37*Données!G1570+Résultats!G$38*Données!H1570+Résultats!G$39*Données!I1570</f>
        <v>115410.96819536656</v>
      </c>
      <c r="M1570">
        <f t="shared" si="96"/>
        <v>-9410.9681953665568</v>
      </c>
      <c r="Q1570">
        <v>128000</v>
      </c>
      <c r="R1570">
        <v>1</v>
      </c>
      <c r="S1570">
        <v>31.60000038146973</v>
      </c>
      <c r="T1570">
        <v>0</v>
      </c>
      <c r="U1570">
        <f t="shared" si="97"/>
        <v>12.049418835484797</v>
      </c>
      <c r="V1570">
        <f t="shared" si="98"/>
        <v>8.9226582995244019</v>
      </c>
      <c r="W1570">
        <v>1</v>
      </c>
      <c r="X1570">
        <v>0</v>
      </c>
      <c r="Y1570">
        <v>1</v>
      </c>
      <c r="Z1570">
        <f>'Résultat (Ln)'!F$30+'Résultat (Ln)'!F$31*Données!S1570+'Résultat (Ln)'!F$32*Données!T1570+'Résultat (Ln)'!F$33*Données!U1570+'Résultat (Ln)'!F$34*Données!V1570+'Résultat (Ln)'!F$35*Données!W1570+'Résultat (Ln)'!F$36*Données!X1570+'Résultat (Ln)'!F$37*Données!Y1570</f>
        <v>169274.73427917695</v>
      </c>
      <c r="AA1570">
        <f t="shared" si="99"/>
        <v>-41274.734279176948</v>
      </c>
    </row>
    <row r="1571" spans="1:27" x14ac:dyDescent="0.25">
      <c r="A1571">
        <v>104000</v>
      </c>
      <c r="B1571">
        <v>1</v>
      </c>
      <c r="C1571">
        <v>32.099998474121087</v>
      </c>
      <c r="D1571">
        <v>0</v>
      </c>
      <c r="E1571">
        <v>130000</v>
      </c>
      <c r="F1571">
        <v>3500</v>
      </c>
      <c r="G1571">
        <v>1</v>
      </c>
      <c r="H1571">
        <v>1</v>
      </c>
      <c r="I1571">
        <v>0</v>
      </c>
      <c r="J1571">
        <v>24.70000076293945</v>
      </c>
      <c r="K1571">
        <v>1</v>
      </c>
      <c r="L1571">
        <f>Résultats!G$32+Résultats!G$33*Données!C1571+Résultats!G$34*Données!D1571+Résultats!G$35*Données!E1571+Résultats!G$36*Données!F1571+Résultats!G$37*Données!G1571+Résultats!G$38*Données!H1571+Résultats!G$39*Données!I1571</f>
        <v>106311.44612228981</v>
      </c>
      <c r="M1571">
        <f t="shared" si="96"/>
        <v>-2311.4461222898099</v>
      </c>
      <c r="Q1571">
        <v>106000</v>
      </c>
      <c r="R1571">
        <v>1</v>
      </c>
      <c r="S1571">
        <v>36.5</v>
      </c>
      <c r="T1571">
        <v>1</v>
      </c>
      <c r="U1571">
        <f t="shared" si="97"/>
        <v>11.790557201568507</v>
      </c>
      <c r="V1571">
        <f t="shared" si="98"/>
        <v>7.475905969367397</v>
      </c>
      <c r="W1571">
        <v>1</v>
      </c>
      <c r="X1571">
        <v>0</v>
      </c>
      <c r="Y1571">
        <v>0</v>
      </c>
      <c r="Z1571">
        <f>'Résultat (Ln)'!F$30+'Résultat (Ln)'!F$31*Données!S1571+'Résultat (Ln)'!F$32*Données!T1571+'Résultat (Ln)'!F$33*Données!U1571+'Résultat (Ln)'!F$34*Données!V1571+'Résultat (Ln)'!F$35*Données!W1571+'Résultat (Ln)'!F$36*Données!X1571+'Résultat (Ln)'!F$37*Données!Y1571</f>
        <v>97200.479972049492</v>
      </c>
      <c r="AA1571">
        <f t="shared" si="99"/>
        <v>8799.5200279505079</v>
      </c>
    </row>
    <row r="1572" spans="1:27" x14ac:dyDescent="0.25">
      <c r="A1572">
        <v>141000</v>
      </c>
      <c r="B1572">
        <v>1</v>
      </c>
      <c r="C1572">
        <v>44.200000762939453</v>
      </c>
      <c r="D1572">
        <v>0</v>
      </c>
      <c r="E1572">
        <v>157000</v>
      </c>
      <c r="F1572">
        <v>4983</v>
      </c>
      <c r="G1572">
        <v>0</v>
      </c>
      <c r="H1572">
        <v>0</v>
      </c>
      <c r="I1572">
        <v>0</v>
      </c>
      <c r="J1572">
        <v>27.129999160766602</v>
      </c>
      <c r="K1572">
        <v>1</v>
      </c>
      <c r="L1572">
        <f>Résultats!G$32+Résultats!G$33*Données!C1572+Résultats!G$34*Données!D1572+Résultats!G$35*Données!E1572+Résultats!G$36*Données!F1572+Résultats!G$37*Données!G1572+Résultats!G$38*Données!H1572+Résultats!G$39*Données!I1572</f>
        <v>130300.4952544176</v>
      </c>
      <c r="M1572">
        <f t="shared" si="96"/>
        <v>10699.504745582395</v>
      </c>
      <c r="Q1572">
        <v>104000</v>
      </c>
      <c r="R1572">
        <v>1</v>
      </c>
      <c r="S1572">
        <v>32.099998474121087</v>
      </c>
      <c r="T1572">
        <v>0</v>
      </c>
      <c r="U1572">
        <f t="shared" si="97"/>
        <v>11.77528972943772</v>
      </c>
      <c r="V1572">
        <f t="shared" si="98"/>
        <v>8.1605182474775049</v>
      </c>
      <c r="W1572">
        <v>1</v>
      </c>
      <c r="X1572">
        <v>1</v>
      </c>
      <c r="Y1572">
        <v>0</v>
      </c>
      <c r="Z1572">
        <f>'Résultat (Ln)'!F$30+'Résultat (Ln)'!F$31*Données!S1572+'Résultat (Ln)'!F$32*Données!T1572+'Résultat (Ln)'!F$33*Données!U1572+'Résultat (Ln)'!F$34*Données!V1572+'Résultat (Ln)'!F$35*Données!W1572+'Résultat (Ln)'!F$36*Données!X1572+'Résultat (Ln)'!F$37*Données!Y1572</f>
        <v>104861.03560665654</v>
      </c>
      <c r="AA1572">
        <f t="shared" si="99"/>
        <v>-861.03560665654368</v>
      </c>
    </row>
    <row r="1573" spans="1:27" x14ac:dyDescent="0.25">
      <c r="A1573">
        <v>149000</v>
      </c>
      <c r="B1573">
        <v>1</v>
      </c>
      <c r="C1573">
        <v>24</v>
      </c>
      <c r="D1573">
        <v>0</v>
      </c>
      <c r="E1573">
        <v>319000</v>
      </c>
      <c r="F1573">
        <v>8333</v>
      </c>
      <c r="G1573">
        <v>1</v>
      </c>
      <c r="H1573">
        <v>0</v>
      </c>
      <c r="I1573">
        <v>0</v>
      </c>
      <c r="J1573">
        <v>12</v>
      </c>
      <c r="K1573">
        <v>1</v>
      </c>
      <c r="L1573">
        <f>Résultats!G$32+Résultats!G$33*Données!C1573+Résultats!G$34*Données!D1573+Résultats!G$35*Données!E1573+Résultats!G$36*Données!F1573+Résultats!G$37*Données!G1573+Résultats!G$38*Données!H1573+Résultats!G$39*Données!I1573</f>
        <v>196251.98840116855</v>
      </c>
      <c r="M1573">
        <f t="shared" si="96"/>
        <v>-47251.98840116855</v>
      </c>
      <c r="Q1573">
        <v>141000</v>
      </c>
      <c r="R1573">
        <v>1</v>
      </c>
      <c r="S1573">
        <v>44.200000762939453</v>
      </c>
      <c r="T1573">
        <v>0</v>
      </c>
      <c r="U1573">
        <f t="shared" si="97"/>
        <v>11.964001084330445</v>
      </c>
      <c r="V1573">
        <f t="shared" si="98"/>
        <v>8.513787398281405</v>
      </c>
      <c r="W1573">
        <v>0</v>
      </c>
      <c r="X1573">
        <v>0</v>
      </c>
      <c r="Y1573">
        <v>0</v>
      </c>
      <c r="Z1573">
        <f>'Résultat (Ln)'!F$30+'Résultat (Ln)'!F$31*Données!S1573+'Résultat (Ln)'!F$32*Données!T1573+'Résultat (Ln)'!F$33*Données!U1573+'Résultat (Ln)'!F$34*Données!V1573+'Résultat (Ln)'!F$35*Données!W1573+'Résultat (Ln)'!F$36*Données!X1573+'Résultat (Ln)'!F$37*Données!Y1573</f>
        <v>145447.97635041657</v>
      </c>
      <c r="AA1573">
        <f t="shared" si="99"/>
        <v>-4447.9763504165749</v>
      </c>
    </row>
    <row r="1574" spans="1:27" x14ac:dyDescent="0.25">
      <c r="A1574">
        <v>105000</v>
      </c>
      <c r="B1574">
        <v>1</v>
      </c>
      <c r="C1574">
        <v>32</v>
      </c>
      <c r="D1574">
        <v>0</v>
      </c>
      <c r="E1574">
        <v>144000</v>
      </c>
      <c r="F1574">
        <v>2133</v>
      </c>
      <c r="G1574">
        <v>0</v>
      </c>
      <c r="H1574">
        <v>0</v>
      </c>
      <c r="I1574">
        <v>0</v>
      </c>
      <c r="J1574">
        <v>32</v>
      </c>
      <c r="K1574">
        <v>1</v>
      </c>
      <c r="L1574">
        <f>Résultats!G$32+Résultats!G$33*Données!C1574+Résultats!G$34*Données!D1574+Résultats!G$35*Données!E1574+Résultats!G$36*Données!F1574+Résultats!G$37*Données!G1574+Résultats!G$38*Données!H1574+Résultats!G$39*Données!I1574</f>
        <v>104693.62926766716</v>
      </c>
      <c r="M1574">
        <f t="shared" si="96"/>
        <v>306.37073233284173</v>
      </c>
      <c r="Q1574">
        <v>149000</v>
      </c>
      <c r="R1574">
        <v>1</v>
      </c>
      <c r="S1574">
        <v>24</v>
      </c>
      <c r="T1574">
        <v>0</v>
      </c>
      <c r="U1574">
        <f t="shared" si="97"/>
        <v>12.672946381766982</v>
      </c>
      <c r="V1574">
        <f t="shared" si="98"/>
        <v>9.0279788143822071</v>
      </c>
      <c r="W1574">
        <v>1</v>
      </c>
      <c r="X1574">
        <v>0</v>
      </c>
      <c r="Y1574">
        <v>0</v>
      </c>
      <c r="Z1574">
        <f>'Résultat (Ln)'!F$30+'Résultat (Ln)'!F$31*Données!S1574+'Résultat (Ln)'!F$32*Données!T1574+'Résultat (Ln)'!F$33*Données!U1574+'Résultat (Ln)'!F$34*Données!V1574+'Résultat (Ln)'!F$35*Données!W1574+'Résultat (Ln)'!F$36*Données!X1574+'Résultat (Ln)'!F$37*Données!Y1574</f>
        <v>215693.47735298201</v>
      </c>
      <c r="AA1574">
        <f t="shared" si="99"/>
        <v>-66693.477352982009</v>
      </c>
    </row>
    <row r="1575" spans="1:27" x14ac:dyDescent="0.25">
      <c r="A1575">
        <v>100000</v>
      </c>
      <c r="B1575">
        <v>1</v>
      </c>
      <c r="C1575">
        <v>38</v>
      </c>
      <c r="D1575">
        <v>0</v>
      </c>
      <c r="E1575">
        <v>204000</v>
      </c>
      <c r="F1575">
        <v>4545</v>
      </c>
      <c r="G1575">
        <v>1</v>
      </c>
      <c r="H1575">
        <v>0</v>
      </c>
      <c r="I1575">
        <v>0</v>
      </c>
      <c r="J1575">
        <v>25</v>
      </c>
      <c r="K1575">
        <v>1</v>
      </c>
      <c r="L1575">
        <f>Résultats!G$32+Résultats!G$33*Données!C1575+Résultats!G$34*Données!D1575+Résultats!G$35*Données!E1575+Résultats!G$36*Données!F1575+Résultats!G$37*Données!G1575+Résultats!G$38*Données!H1575+Résultats!G$39*Données!I1575</f>
        <v>151293.40926998243</v>
      </c>
      <c r="M1575">
        <f t="shared" si="96"/>
        <v>-51293.409269982425</v>
      </c>
      <c r="Q1575">
        <v>105000</v>
      </c>
      <c r="R1575">
        <v>1</v>
      </c>
      <c r="S1575">
        <v>32</v>
      </c>
      <c r="T1575">
        <v>0</v>
      </c>
      <c r="U1575">
        <f t="shared" si="97"/>
        <v>11.877568578558138</v>
      </c>
      <c r="V1575">
        <f t="shared" si="98"/>
        <v>7.6652847184713506</v>
      </c>
      <c r="W1575">
        <v>0</v>
      </c>
      <c r="X1575">
        <v>0</v>
      </c>
      <c r="Y1575">
        <v>0</v>
      </c>
      <c r="Z1575">
        <f>'Résultat (Ln)'!F$30+'Résultat (Ln)'!F$31*Données!S1575+'Résultat (Ln)'!F$32*Données!T1575+'Résultat (Ln)'!F$33*Données!U1575+'Résultat (Ln)'!F$34*Données!V1575+'Résultat (Ln)'!F$35*Données!W1575+'Résultat (Ln)'!F$36*Données!X1575+'Résultat (Ln)'!F$37*Données!Y1575</f>
        <v>97476.963761389052</v>
      </c>
      <c r="AA1575">
        <f t="shared" si="99"/>
        <v>7523.0362386109482</v>
      </c>
    </row>
    <row r="1576" spans="1:27" x14ac:dyDescent="0.25">
      <c r="A1576">
        <v>118000</v>
      </c>
      <c r="B1576">
        <v>1</v>
      </c>
      <c r="C1576">
        <v>40</v>
      </c>
      <c r="D1576">
        <v>0</v>
      </c>
      <c r="E1576">
        <v>125000</v>
      </c>
      <c r="F1576">
        <v>3088</v>
      </c>
      <c r="G1576">
        <v>0</v>
      </c>
      <c r="H1576">
        <v>0</v>
      </c>
      <c r="I1576">
        <v>1</v>
      </c>
      <c r="J1576">
        <v>22</v>
      </c>
      <c r="K1576">
        <v>1</v>
      </c>
      <c r="L1576">
        <f>Résultats!G$32+Résultats!G$33*Données!C1576+Résultats!G$34*Données!D1576+Résultats!G$35*Données!E1576+Résultats!G$36*Données!F1576+Résultats!G$37*Données!G1576+Résultats!G$38*Données!H1576+Résultats!G$39*Données!I1576</f>
        <v>116786.92398709487</v>
      </c>
      <c r="M1576">
        <f t="shared" si="96"/>
        <v>1213.0760129051341</v>
      </c>
      <c r="Q1576">
        <v>100000</v>
      </c>
      <c r="R1576">
        <v>1</v>
      </c>
      <c r="S1576">
        <v>38</v>
      </c>
      <c r="T1576">
        <v>0</v>
      </c>
      <c r="U1576">
        <f t="shared" si="97"/>
        <v>12.225875272826354</v>
      </c>
      <c r="V1576">
        <f t="shared" si="98"/>
        <v>8.4217830066115784</v>
      </c>
      <c r="W1576">
        <v>1</v>
      </c>
      <c r="X1576">
        <v>0</v>
      </c>
      <c r="Y1576">
        <v>0</v>
      </c>
      <c r="Z1576">
        <f>'Résultat (Ln)'!F$30+'Résultat (Ln)'!F$31*Données!S1576+'Résultat (Ln)'!F$32*Données!T1576+'Résultat (Ln)'!F$33*Données!U1576+'Résultat (Ln)'!F$34*Données!V1576+'Résultat (Ln)'!F$35*Données!W1576+'Résultat (Ln)'!F$36*Données!X1576+'Résultat (Ln)'!F$37*Données!Y1576</f>
        <v>167876.76811605165</v>
      </c>
      <c r="AA1576">
        <f t="shared" si="99"/>
        <v>-67876.768116051651</v>
      </c>
    </row>
    <row r="1577" spans="1:27" x14ac:dyDescent="0.25">
      <c r="A1577">
        <v>119000</v>
      </c>
      <c r="B1577">
        <v>1</v>
      </c>
      <c r="C1577">
        <v>25</v>
      </c>
      <c r="D1577">
        <v>0</v>
      </c>
      <c r="E1577">
        <v>132000</v>
      </c>
      <c r="F1577">
        <v>4340</v>
      </c>
      <c r="G1577">
        <v>1</v>
      </c>
      <c r="H1577">
        <v>0</v>
      </c>
      <c r="I1577">
        <v>0</v>
      </c>
      <c r="J1577">
        <v>20</v>
      </c>
      <c r="K1577">
        <v>1</v>
      </c>
      <c r="L1577">
        <f>Résultats!G$32+Résultats!G$33*Données!C1577+Résultats!G$34*Données!D1577+Résultats!G$35*Données!E1577+Résultats!G$36*Données!F1577+Résultats!G$37*Données!G1577+Résultats!G$38*Données!H1577+Résultats!G$39*Données!I1577</f>
        <v>102342.81258704333</v>
      </c>
      <c r="M1577">
        <f t="shared" si="96"/>
        <v>16657.187412956671</v>
      </c>
      <c r="Q1577">
        <v>118000</v>
      </c>
      <c r="R1577">
        <v>1</v>
      </c>
      <c r="S1577">
        <v>40</v>
      </c>
      <c r="T1577">
        <v>0</v>
      </c>
      <c r="U1577">
        <f t="shared" si="97"/>
        <v>11.736069016284437</v>
      </c>
      <c r="V1577">
        <f t="shared" si="98"/>
        <v>8.0352789111446672</v>
      </c>
      <c r="W1577">
        <v>0</v>
      </c>
      <c r="X1577">
        <v>0</v>
      </c>
      <c r="Y1577">
        <v>1</v>
      </c>
      <c r="Z1577">
        <f>'Résultat (Ln)'!F$30+'Résultat (Ln)'!F$31*Données!S1577+'Résultat (Ln)'!F$32*Données!T1577+'Résultat (Ln)'!F$33*Données!U1577+'Résultat (Ln)'!F$34*Données!V1577+'Résultat (Ln)'!F$35*Données!W1577+'Résultat (Ln)'!F$36*Données!X1577+'Résultat (Ln)'!F$37*Données!Y1577</f>
        <v>116548.87721149685</v>
      </c>
      <c r="AA1577">
        <f t="shared" si="99"/>
        <v>1451.1227885031549</v>
      </c>
    </row>
    <row r="1578" spans="1:27" x14ac:dyDescent="0.25">
      <c r="A1578">
        <v>276000</v>
      </c>
      <c r="B1578">
        <v>1</v>
      </c>
      <c r="C1578">
        <v>28</v>
      </c>
      <c r="D1578">
        <v>0</v>
      </c>
      <c r="E1578">
        <v>345000</v>
      </c>
      <c r="F1578">
        <v>8300</v>
      </c>
      <c r="G1578">
        <v>1</v>
      </c>
      <c r="H1578">
        <v>0</v>
      </c>
      <c r="I1578">
        <v>0</v>
      </c>
      <c r="J1578">
        <v>24</v>
      </c>
      <c r="K1578">
        <v>1</v>
      </c>
      <c r="L1578">
        <f>Résultats!G$32+Résultats!G$33*Données!C1578+Résultats!G$34*Données!D1578+Résultats!G$35*Données!E1578+Résultats!G$36*Données!F1578+Résultats!G$37*Données!G1578+Résultats!G$38*Données!H1578+Résultats!G$39*Données!I1578</f>
        <v>212923.50792005763</v>
      </c>
      <c r="M1578">
        <f t="shared" si="96"/>
        <v>63076.492079942371</v>
      </c>
      <c r="Q1578">
        <v>119000</v>
      </c>
      <c r="R1578">
        <v>1</v>
      </c>
      <c r="S1578">
        <v>25</v>
      </c>
      <c r="T1578">
        <v>0</v>
      </c>
      <c r="U1578">
        <f t="shared" si="97"/>
        <v>11.790557201568507</v>
      </c>
      <c r="V1578">
        <f t="shared" si="98"/>
        <v>8.375629627094451</v>
      </c>
      <c r="W1578">
        <v>1</v>
      </c>
      <c r="X1578">
        <v>0</v>
      </c>
      <c r="Y1578">
        <v>0</v>
      </c>
      <c r="Z1578">
        <f>'Résultat (Ln)'!F$30+'Résultat (Ln)'!F$31*Données!S1578+'Résultat (Ln)'!F$32*Données!T1578+'Résultat (Ln)'!F$33*Données!U1578+'Résultat (Ln)'!F$34*Données!V1578+'Résultat (Ln)'!F$35*Données!W1578+'Résultat (Ln)'!F$36*Données!X1578+'Résultat (Ln)'!F$37*Données!Y1578</f>
        <v>104031.66018235222</v>
      </c>
      <c r="AA1578">
        <f t="shared" si="99"/>
        <v>14968.339817647779</v>
      </c>
    </row>
    <row r="1579" spans="1:27" x14ac:dyDescent="0.25">
      <c r="A1579">
        <v>170000</v>
      </c>
      <c r="B1579">
        <v>1</v>
      </c>
      <c r="C1579">
        <v>35</v>
      </c>
      <c r="D1579">
        <v>0</v>
      </c>
      <c r="E1579">
        <v>215000</v>
      </c>
      <c r="F1579">
        <v>3667</v>
      </c>
      <c r="G1579">
        <v>1</v>
      </c>
      <c r="H1579">
        <v>0</v>
      </c>
      <c r="I1579">
        <v>0</v>
      </c>
      <c r="J1579">
        <v>31</v>
      </c>
      <c r="K1579">
        <v>1</v>
      </c>
      <c r="L1579">
        <f>Résultats!G$32+Résultats!G$33*Données!C1579+Résultats!G$34*Données!D1579+Résultats!G$35*Données!E1579+Résultats!G$36*Données!F1579+Résultats!G$37*Données!G1579+Résultats!G$38*Données!H1579+Résultats!G$39*Données!I1579</f>
        <v>151282.50678089444</v>
      </c>
      <c r="M1579">
        <f t="shared" si="96"/>
        <v>18717.493219105556</v>
      </c>
      <c r="Q1579">
        <v>276000</v>
      </c>
      <c r="R1579">
        <v>1</v>
      </c>
      <c r="S1579">
        <v>28</v>
      </c>
      <c r="T1579">
        <v>0</v>
      </c>
      <c r="U1579">
        <f t="shared" si="97"/>
        <v>12.751299696013497</v>
      </c>
      <c r="V1579">
        <f t="shared" si="98"/>
        <v>9.0240107937846901</v>
      </c>
      <c r="W1579">
        <v>1</v>
      </c>
      <c r="X1579">
        <v>0</v>
      </c>
      <c r="Y1579">
        <v>0</v>
      </c>
      <c r="Z1579">
        <f>'Résultat (Ln)'!F$30+'Résultat (Ln)'!F$31*Données!S1579+'Résultat (Ln)'!F$32*Données!T1579+'Résultat (Ln)'!F$33*Données!U1579+'Résultat (Ln)'!F$34*Données!V1579+'Résultat (Ln)'!F$35*Données!W1579+'Résultat (Ln)'!F$36*Données!X1579+'Résultat (Ln)'!F$37*Données!Y1579</f>
        <v>228869.48284616793</v>
      </c>
      <c r="AA1579">
        <f t="shared" si="99"/>
        <v>47130.517153832072</v>
      </c>
    </row>
    <row r="1580" spans="1:27" x14ac:dyDescent="0.25">
      <c r="A1580">
        <v>95000</v>
      </c>
      <c r="B1580">
        <v>1</v>
      </c>
      <c r="C1580">
        <v>21</v>
      </c>
      <c r="D1580">
        <v>0</v>
      </c>
      <c r="E1580">
        <v>135000</v>
      </c>
      <c r="F1580">
        <v>2895</v>
      </c>
      <c r="G1580">
        <v>1</v>
      </c>
      <c r="H1580">
        <v>0</v>
      </c>
      <c r="I1580">
        <v>1</v>
      </c>
      <c r="J1580">
        <v>18</v>
      </c>
      <c r="K1580">
        <v>1</v>
      </c>
      <c r="L1580">
        <f>Résultats!G$32+Résultats!G$33*Données!C1580+Résultats!G$34*Données!D1580+Résultats!G$35*Données!E1580+Résultats!G$36*Données!F1580+Résultats!G$37*Données!G1580+Résultats!G$38*Données!H1580+Résultats!G$39*Données!I1580</f>
        <v>106274.34499004191</v>
      </c>
      <c r="M1580">
        <f t="shared" si="96"/>
        <v>-11274.344990041907</v>
      </c>
      <c r="Q1580">
        <v>170000</v>
      </c>
      <c r="R1580">
        <v>1</v>
      </c>
      <c r="S1580">
        <v>35</v>
      </c>
      <c r="T1580">
        <v>0</v>
      </c>
      <c r="U1580">
        <f t="shared" si="97"/>
        <v>12.2783933071098</v>
      </c>
      <c r="V1580">
        <f t="shared" si="98"/>
        <v>8.2071291680713259</v>
      </c>
      <c r="W1580">
        <v>1</v>
      </c>
      <c r="X1580">
        <v>0</v>
      </c>
      <c r="Y1580">
        <v>0</v>
      </c>
      <c r="Z1580">
        <f>'Résultat (Ln)'!F$30+'Résultat (Ln)'!F$31*Données!S1580+'Résultat (Ln)'!F$32*Données!T1580+'Résultat (Ln)'!F$33*Données!U1580+'Résultat (Ln)'!F$34*Données!V1580+'Résultat (Ln)'!F$35*Données!W1580+'Résultat (Ln)'!F$36*Données!X1580+'Résultat (Ln)'!F$37*Données!Y1580</f>
        <v>163820.20854104354</v>
      </c>
      <c r="AA1580">
        <f t="shared" si="99"/>
        <v>6179.7914589564607</v>
      </c>
    </row>
    <row r="1581" spans="1:27" x14ac:dyDescent="0.25">
      <c r="A1581">
        <v>125000</v>
      </c>
      <c r="B1581">
        <v>1</v>
      </c>
      <c r="C1581">
        <v>31</v>
      </c>
      <c r="D1581">
        <v>0</v>
      </c>
      <c r="E1581">
        <v>156000</v>
      </c>
      <c r="F1581">
        <v>2902</v>
      </c>
      <c r="G1581">
        <v>1</v>
      </c>
      <c r="H1581">
        <v>1</v>
      </c>
      <c r="I1581">
        <v>0</v>
      </c>
      <c r="J1581">
        <v>27</v>
      </c>
      <c r="K1581">
        <v>1</v>
      </c>
      <c r="L1581">
        <f>Résultats!G$32+Résultats!G$33*Données!C1581+Résultats!G$34*Données!D1581+Résultats!G$35*Données!E1581+Résultats!G$36*Données!F1581+Résultats!G$37*Données!G1581+Résultats!G$38*Données!H1581+Résultats!G$39*Données!I1581</f>
        <v>116029.89859875836</v>
      </c>
      <c r="M1581">
        <f t="shared" si="96"/>
        <v>8970.1014012416417</v>
      </c>
      <c r="Q1581">
        <v>95000</v>
      </c>
      <c r="R1581">
        <v>1</v>
      </c>
      <c r="S1581">
        <v>21</v>
      </c>
      <c r="T1581">
        <v>0</v>
      </c>
      <c r="U1581">
        <f t="shared" si="97"/>
        <v>11.813030057420567</v>
      </c>
      <c r="V1581">
        <f t="shared" si="98"/>
        <v>7.9707403900070952</v>
      </c>
      <c r="W1581">
        <v>1</v>
      </c>
      <c r="X1581">
        <v>0</v>
      </c>
      <c r="Y1581">
        <v>1</v>
      </c>
      <c r="Z1581">
        <f>'Résultat (Ln)'!F$30+'Résultat (Ln)'!F$31*Données!S1581+'Résultat (Ln)'!F$32*Données!T1581+'Résultat (Ln)'!F$33*Données!U1581+'Résultat (Ln)'!F$34*Données!V1581+'Résultat (Ln)'!F$35*Données!W1581+'Résultat (Ln)'!F$36*Données!X1581+'Résultat (Ln)'!F$37*Données!Y1581</f>
        <v>104283.97805241249</v>
      </c>
      <c r="AA1581">
        <f t="shared" si="99"/>
        <v>-9283.9780524124944</v>
      </c>
    </row>
    <row r="1582" spans="1:27" x14ac:dyDescent="0.25">
      <c r="A1582">
        <v>209000</v>
      </c>
      <c r="B1582">
        <v>1</v>
      </c>
      <c r="C1582">
        <v>37.799999237060547</v>
      </c>
      <c r="D1582">
        <v>0</v>
      </c>
      <c r="E1582">
        <v>220000</v>
      </c>
      <c r="F1582">
        <v>6283</v>
      </c>
      <c r="G1582">
        <v>0</v>
      </c>
      <c r="H1582">
        <v>0</v>
      </c>
      <c r="I1582">
        <v>0</v>
      </c>
      <c r="J1582">
        <v>24.79999923706055</v>
      </c>
      <c r="K1582">
        <v>1</v>
      </c>
      <c r="L1582">
        <f>Résultats!G$32+Résultats!G$33*Données!C1582+Résultats!G$34*Données!D1582+Résultats!G$35*Données!E1582+Résultats!G$36*Données!F1582+Résultats!G$37*Données!G1582+Résultats!G$38*Données!H1582+Résultats!G$39*Données!I1582</f>
        <v>154886.18257718984</v>
      </c>
      <c r="M1582">
        <f t="shared" si="96"/>
        <v>54113.817422810156</v>
      </c>
      <c r="Q1582">
        <v>125000</v>
      </c>
      <c r="R1582">
        <v>1</v>
      </c>
      <c r="S1582">
        <v>31</v>
      </c>
      <c r="T1582">
        <v>0</v>
      </c>
      <c r="U1582">
        <f t="shared" si="97"/>
        <v>11.957611286231675</v>
      </c>
      <c r="V1582">
        <f t="shared" si="98"/>
        <v>7.9731554334441332</v>
      </c>
      <c r="W1582">
        <v>1</v>
      </c>
      <c r="X1582">
        <v>1</v>
      </c>
      <c r="Y1582">
        <v>0</v>
      </c>
      <c r="Z1582">
        <f>'Résultat (Ln)'!F$30+'Résultat (Ln)'!F$31*Données!S1582+'Résultat (Ln)'!F$32*Données!T1582+'Résultat (Ln)'!F$33*Données!U1582+'Résultat (Ln)'!F$34*Données!V1582+'Résultat (Ln)'!F$35*Données!W1582+'Résultat (Ln)'!F$36*Données!X1582+'Résultat (Ln)'!F$37*Données!Y1582</f>
        <v>117806.11627395463</v>
      </c>
      <c r="AA1582">
        <f t="shared" si="99"/>
        <v>7193.8837260453729</v>
      </c>
    </row>
    <row r="1583" spans="1:27" x14ac:dyDescent="0.25">
      <c r="A1583">
        <v>113000</v>
      </c>
      <c r="B1583">
        <v>1</v>
      </c>
      <c r="C1583">
        <v>38.400001525878913</v>
      </c>
      <c r="D1583">
        <v>0</v>
      </c>
      <c r="E1583">
        <v>159000</v>
      </c>
      <c r="F1583">
        <v>645</v>
      </c>
      <c r="G1583">
        <v>0</v>
      </c>
      <c r="H1583">
        <v>6</v>
      </c>
      <c r="I1583">
        <v>1</v>
      </c>
      <c r="J1583">
        <v>23.35000038146973</v>
      </c>
      <c r="K1583">
        <v>0</v>
      </c>
      <c r="L1583">
        <f>Résultats!G$32+Résultats!G$33*Données!C1583+Résultats!G$34*Données!D1583+Résultats!G$35*Données!E1583+Résultats!G$36*Données!F1583+Résultats!G$37*Données!G1583+Résultats!G$38*Données!H1583+Résultats!G$39*Données!I1583</f>
        <v>116339.7908585018</v>
      </c>
      <c r="M1583">
        <f t="shared" si="96"/>
        <v>-3339.7908585018013</v>
      </c>
      <c r="Q1583">
        <v>209000</v>
      </c>
      <c r="R1583">
        <v>1</v>
      </c>
      <c r="S1583">
        <v>37.799999237060547</v>
      </c>
      <c r="T1583">
        <v>0</v>
      </c>
      <c r="U1583">
        <f t="shared" si="97"/>
        <v>12.301382825334498</v>
      </c>
      <c r="V1583">
        <f t="shared" si="98"/>
        <v>8.7456028524029463</v>
      </c>
      <c r="W1583">
        <v>0</v>
      </c>
      <c r="X1583">
        <v>0</v>
      </c>
      <c r="Y1583">
        <v>0</v>
      </c>
      <c r="Z1583">
        <f>'Résultat (Ln)'!F$30+'Résultat (Ln)'!F$31*Données!S1583+'Résultat (Ln)'!F$32*Données!T1583+'Résultat (Ln)'!F$33*Données!U1583+'Résultat (Ln)'!F$34*Données!V1583+'Résultat (Ln)'!F$35*Données!W1583+'Résultat (Ln)'!F$36*Données!X1583+'Résultat (Ln)'!F$37*Données!Y1583</f>
        <v>180294.18731028642</v>
      </c>
      <c r="AA1583">
        <f t="shared" si="99"/>
        <v>28705.812689713581</v>
      </c>
    </row>
    <row r="1584" spans="1:27" x14ac:dyDescent="0.25">
      <c r="A1584">
        <v>145000</v>
      </c>
      <c r="B1584">
        <v>1</v>
      </c>
      <c r="C1584">
        <v>26</v>
      </c>
      <c r="D1584">
        <v>0</v>
      </c>
      <c r="E1584">
        <v>270000</v>
      </c>
      <c r="F1584">
        <v>3166</v>
      </c>
      <c r="G1584">
        <v>1</v>
      </c>
      <c r="H1584">
        <v>0</v>
      </c>
      <c r="I1584">
        <v>0</v>
      </c>
      <c r="J1584">
        <v>25</v>
      </c>
      <c r="K1584">
        <v>1</v>
      </c>
      <c r="L1584">
        <f>Résultats!G$32+Résultats!G$33*Données!C1584+Résultats!G$34*Données!D1584+Résultats!G$35*Données!E1584+Résultats!G$36*Données!F1584+Résultats!G$37*Données!G1584+Résultats!G$38*Données!H1584+Résultats!G$39*Données!I1584</f>
        <v>165656.07167558529</v>
      </c>
      <c r="M1584">
        <f t="shared" si="96"/>
        <v>-20656.071675585292</v>
      </c>
      <c r="Q1584">
        <v>113000</v>
      </c>
      <c r="R1584">
        <v>1</v>
      </c>
      <c r="S1584">
        <v>38.400001525878913</v>
      </c>
      <c r="T1584">
        <v>0</v>
      </c>
      <c r="U1584">
        <f t="shared" si="97"/>
        <v>11.976659481202368</v>
      </c>
      <c r="V1584">
        <f t="shared" si="98"/>
        <v>6.4692503167957724</v>
      </c>
      <c r="W1584">
        <v>0</v>
      </c>
      <c r="X1584">
        <v>6</v>
      </c>
      <c r="Y1584">
        <v>1</v>
      </c>
      <c r="Z1584">
        <f>'Résultat (Ln)'!F$30+'Résultat (Ln)'!F$31*Données!S1584+'Résultat (Ln)'!F$32*Données!T1584+'Résultat (Ln)'!F$33*Données!U1584+'Résultat (Ln)'!F$34*Données!V1584+'Résultat (Ln)'!F$35*Données!W1584+'Résultat (Ln)'!F$36*Données!X1584+'Résultat (Ln)'!F$37*Données!Y1584</f>
        <v>95398.096638683477</v>
      </c>
      <c r="AA1584">
        <f t="shared" si="99"/>
        <v>17601.903361316523</v>
      </c>
    </row>
    <row r="1585" spans="1:27" x14ac:dyDescent="0.25">
      <c r="A1585">
        <v>90000</v>
      </c>
      <c r="B1585">
        <v>1</v>
      </c>
      <c r="C1585">
        <v>27</v>
      </c>
      <c r="D1585">
        <v>0</v>
      </c>
      <c r="E1585">
        <v>120000</v>
      </c>
      <c r="F1585">
        <v>3271</v>
      </c>
      <c r="G1585">
        <v>0</v>
      </c>
      <c r="H1585">
        <v>0</v>
      </c>
      <c r="I1585">
        <v>1</v>
      </c>
      <c r="J1585">
        <v>26</v>
      </c>
      <c r="K1585">
        <v>1</v>
      </c>
      <c r="L1585">
        <f>Résultats!G$32+Résultats!G$33*Données!C1585+Résultats!G$34*Données!D1585+Résultats!G$35*Données!E1585+Résultats!G$36*Données!F1585+Résultats!G$37*Données!G1585+Résultats!G$38*Données!H1585+Résultats!G$39*Données!I1585</f>
        <v>99874.05780313455</v>
      </c>
      <c r="M1585">
        <f t="shared" si="96"/>
        <v>-9874.0578031345503</v>
      </c>
      <c r="Q1585">
        <v>145000</v>
      </c>
      <c r="R1585">
        <v>1</v>
      </c>
      <c r="S1585">
        <v>26</v>
      </c>
      <c r="T1585">
        <v>0</v>
      </c>
      <c r="U1585">
        <f t="shared" si="97"/>
        <v>12.506177237980511</v>
      </c>
      <c r="V1585">
        <f t="shared" si="98"/>
        <v>8.0602242404409576</v>
      </c>
      <c r="W1585">
        <v>1</v>
      </c>
      <c r="X1585">
        <v>0</v>
      </c>
      <c r="Y1585">
        <v>0</v>
      </c>
      <c r="Z1585">
        <f>'Résultat (Ln)'!F$30+'Résultat (Ln)'!F$31*Données!S1585+'Résultat (Ln)'!F$32*Données!T1585+'Résultat (Ln)'!F$33*Données!U1585+'Résultat (Ln)'!F$34*Données!V1585+'Résultat (Ln)'!F$35*Données!W1585+'Résultat (Ln)'!F$36*Données!X1585+'Résultat (Ln)'!F$37*Données!Y1585</f>
        <v>173119.20212572848</v>
      </c>
      <c r="AA1585">
        <f t="shared" si="99"/>
        <v>-28119.20212572848</v>
      </c>
    </row>
    <row r="1586" spans="1:27" x14ac:dyDescent="0.25">
      <c r="A1586">
        <v>100000</v>
      </c>
      <c r="B1586">
        <v>1</v>
      </c>
      <c r="C1586">
        <v>33</v>
      </c>
      <c r="D1586">
        <v>0</v>
      </c>
      <c r="E1586">
        <v>114750</v>
      </c>
      <c r="F1586">
        <v>3159</v>
      </c>
      <c r="G1586">
        <v>0</v>
      </c>
      <c r="H1586">
        <v>0</v>
      </c>
      <c r="I1586">
        <v>0</v>
      </c>
      <c r="J1586">
        <v>31</v>
      </c>
      <c r="K1586">
        <v>0</v>
      </c>
      <c r="L1586">
        <f>Résultats!G$32+Résultats!G$33*Données!C1586+Résultats!G$34*Données!D1586+Résultats!G$35*Données!E1586+Résultats!G$36*Données!F1586+Résultats!G$37*Données!G1586+Résultats!G$38*Données!H1586+Résultats!G$39*Données!I1586</f>
        <v>94172.086375376239</v>
      </c>
      <c r="M1586">
        <f t="shared" si="96"/>
        <v>5827.9136246237613</v>
      </c>
      <c r="Q1586">
        <v>90000</v>
      </c>
      <c r="R1586">
        <v>1</v>
      </c>
      <c r="S1586">
        <v>27</v>
      </c>
      <c r="T1586">
        <v>0</v>
      </c>
      <c r="U1586">
        <f t="shared" si="97"/>
        <v>11.695247021764184</v>
      </c>
      <c r="V1586">
        <f t="shared" si="98"/>
        <v>8.0928510275383836</v>
      </c>
      <c r="W1586">
        <v>0</v>
      </c>
      <c r="X1586">
        <v>0</v>
      </c>
      <c r="Y1586">
        <v>1</v>
      </c>
      <c r="Z1586">
        <f>'Résultat (Ln)'!F$30+'Résultat (Ln)'!F$31*Données!S1586+'Résultat (Ln)'!F$32*Données!T1586+'Résultat (Ln)'!F$33*Données!U1586+'Résultat (Ln)'!F$34*Données!V1586+'Résultat (Ln)'!F$35*Données!W1586+'Résultat (Ln)'!F$36*Données!X1586+'Résultat (Ln)'!F$37*Données!Y1586</f>
        <v>97901.063436620374</v>
      </c>
      <c r="AA1586">
        <f t="shared" si="99"/>
        <v>-7901.063436620374</v>
      </c>
    </row>
    <row r="1587" spans="1:27" x14ac:dyDescent="0.25">
      <c r="A1587">
        <v>170000</v>
      </c>
      <c r="B1587">
        <v>1</v>
      </c>
      <c r="C1587">
        <v>39.599998474121087</v>
      </c>
      <c r="D1587">
        <v>0</v>
      </c>
      <c r="E1587">
        <v>212000</v>
      </c>
      <c r="F1587">
        <v>2959</v>
      </c>
      <c r="G1587">
        <v>1</v>
      </c>
      <c r="H1587">
        <v>0</v>
      </c>
      <c r="I1587">
        <v>0</v>
      </c>
      <c r="J1587">
        <v>27.29999923706055</v>
      </c>
      <c r="K1587">
        <v>1</v>
      </c>
      <c r="L1587">
        <f>Résultats!G$32+Résultats!G$33*Données!C1587+Résultats!G$34*Données!D1587+Résultats!G$35*Données!E1587+Résultats!G$36*Données!F1587+Résultats!G$37*Données!G1587+Résultats!G$38*Données!H1587+Résultats!G$39*Données!I1587</f>
        <v>153793.57551113112</v>
      </c>
      <c r="M1587">
        <f t="shared" si="96"/>
        <v>16206.424488868885</v>
      </c>
      <c r="Q1587">
        <v>100000</v>
      </c>
      <c r="R1587">
        <v>1</v>
      </c>
      <c r="S1587">
        <v>33</v>
      </c>
      <c r="T1587">
        <v>0</v>
      </c>
      <c r="U1587">
        <f t="shared" si="97"/>
        <v>11.650511127922792</v>
      </c>
      <c r="V1587">
        <f t="shared" si="98"/>
        <v>8.0580108008020854</v>
      </c>
      <c r="W1587">
        <v>0</v>
      </c>
      <c r="X1587">
        <v>0</v>
      </c>
      <c r="Y1587">
        <v>0</v>
      </c>
      <c r="Z1587">
        <f>'Résultat (Ln)'!F$30+'Résultat (Ln)'!F$31*Données!S1587+'Résultat (Ln)'!F$32*Données!T1587+'Résultat (Ln)'!F$33*Données!U1587+'Résultat (Ln)'!F$34*Données!V1587+'Résultat (Ln)'!F$35*Données!W1587+'Résultat (Ln)'!F$36*Données!X1587+'Résultat (Ln)'!F$37*Données!Y1587</f>
        <v>85373.767071973882</v>
      </c>
      <c r="AA1587">
        <f t="shared" si="99"/>
        <v>14626.232928026118</v>
      </c>
    </row>
    <row r="1588" spans="1:27" x14ac:dyDescent="0.25">
      <c r="A1588">
        <v>118000</v>
      </c>
      <c r="B1588">
        <v>1</v>
      </c>
      <c r="C1588">
        <v>34</v>
      </c>
      <c r="D1588">
        <v>0</v>
      </c>
      <c r="E1588">
        <v>135000</v>
      </c>
      <c r="F1588">
        <v>4583</v>
      </c>
      <c r="G1588">
        <v>1</v>
      </c>
      <c r="H1588">
        <v>0</v>
      </c>
      <c r="I1588">
        <v>0</v>
      </c>
      <c r="J1588">
        <v>26</v>
      </c>
      <c r="K1588">
        <v>1</v>
      </c>
      <c r="L1588">
        <f>Résultats!G$32+Résultats!G$33*Données!C1588+Résultats!G$34*Données!D1588+Résultats!G$35*Données!E1588+Résultats!G$36*Données!F1588+Résultats!G$37*Données!G1588+Résultats!G$38*Données!H1588+Résultats!G$39*Données!I1588</f>
        <v>114552.58813499945</v>
      </c>
      <c r="M1588">
        <f t="shared" si="96"/>
        <v>3447.4118650005548</v>
      </c>
      <c r="Q1588">
        <v>170000</v>
      </c>
      <c r="R1588">
        <v>1</v>
      </c>
      <c r="S1588">
        <v>39.599998474121087</v>
      </c>
      <c r="T1588">
        <v>0</v>
      </c>
      <c r="U1588">
        <f t="shared" si="97"/>
        <v>12.26434155365415</v>
      </c>
      <c r="V1588">
        <f t="shared" si="98"/>
        <v>7.9926066524002097</v>
      </c>
      <c r="W1588">
        <v>1</v>
      </c>
      <c r="X1588">
        <v>0</v>
      </c>
      <c r="Y1588">
        <v>0</v>
      </c>
      <c r="Z1588">
        <f>'Résultat (Ln)'!F$30+'Résultat (Ln)'!F$31*Données!S1588+'Résultat (Ln)'!F$32*Données!T1588+'Résultat (Ln)'!F$33*Données!U1588+'Résultat (Ln)'!F$34*Données!V1588+'Résultat (Ln)'!F$35*Données!W1588+'Résultat (Ln)'!F$36*Données!X1588+'Résultat (Ln)'!F$37*Données!Y1588</f>
        <v>161918.85542241615</v>
      </c>
      <c r="AA1588">
        <f t="shared" si="99"/>
        <v>8081.1445775838511</v>
      </c>
    </row>
    <row r="1589" spans="1:27" x14ac:dyDescent="0.25">
      <c r="A1589">
        <v>88000</v>
      </c>
      <c r="B1589">
        <v>1</v>
      </c>
      <c r="C1589">
        <v>22.10000038146973</v>
      </c>
      <c r="D1589">
        <v>0</v>
      </c>
      <c r="E1589">
        <v>110000</v>
      </c>
      <c r="F1589">
        <v>2241</v>
      </c>
      <c r="G1589">
        <v>1</v>
      </c>
      <c r="H1589">
        <v>0</v>
      </c>
      <c r="I1589">
        <v>1</v>
      </c>
      <c r="J1589">
        <v>22.10000038146973</v>
      </c>
      <c r="K1589">
        <v>0</v>
      </c>
      <c r="L1589">
        <f>Résultats!G$32+Résultats!G$33*Données!C1589+Résultats!G$34*Données!D1589+Résultats!G$35*Données!E1589+Résultats!G$36*Données!F1589+Résultats!G$37*Données!G1589+Résultats!G$38*Données!H1589+Résultats!G$39*Données!I1589</f>
        <v>94596.738191234588</v>
      </c>
      <c r="M1589">
        <f t="shared" si="96"/>
        <v>-6596.7381912345882</v>
      </c>
      <c r="Q1589">
        <v>118000</v>
      </c>
      <c r="R1589">
        <v>1</v>
      </c>
      <c r="S1589">
        <v>34</v>
      </c>
      <c r="T1589">
        <v>0</v>
      </c>
      <c r="U1589">
        <f t="shared" si="97"/>
        <v>11.813030057420567</v>
      </c>
      <c r="V1589">
        <f t="shared" si="98"/>
        <v>8.4301090845091249</v>
      </c>
      <c r="W1589">
        <v>1</v>
      </c>
      <c r="X1589">
        <v>0</v>
      </c>
      <c r="Y1589">
        <v>0</v>
      </c>
      <c r="Z1589">
        <f>'Résultat (Ln)'!F$30+'Résultat (Ln)'!F$31*Données!S1589+'Résultat (Ln)'!F$32*Données!T1589+'Résultat (Ln)'!F$33*Données!U1589+'Résultat (Ln)'!F$34*Données!V1589+'Résultat (Ln)'!F$35*Données!W1589+'Résultat (Ln)'!F$36*Données!X1589+'Résultat (Ln)'!F$37*Données!Y1589</f>
        <v>118966.93899819349</v>
      </c>
      <c r="AA1589">
        <f t="shared" si="99"/>
        <v>-966.93899819349463</v>
      </c>
    </row>
    <row r="1590" spans="1:27" x14ac:dyDescent="0.25">
      <c r="A1590">
        <v>128000</v>
      </c>
      <c r="B1590">
        <v>1</v>
      </c>
      <c r="C1590">
        <v>30</v>
      </c>
      <c r="D1590">
        <v>0</v>
      </c>
      <c r="E1590">
        <v>135000</v>
      </c>
      <c r="F1590">
        <v>1792</v>
      </c>
      <c r="G1590">
        <v>1</v>
      </c>
      <c r="H1590">
        <v>0</v>
      </c>
      <c r="I1590">
        <v>0</v>
      </c>
      <c r="J1590">
        <v>26.5</v>
      </c>
      <c r="K1590">
        <v>1</v>
      </c>
      <c r="L1590">
        <f>Résultats!G$32+Résultats!G$33*Données!C1590+Résultats!G$34*Données!D1590+Résultats!G$35*Données!E1590+Résultats!G$36*Données!F1590+Résultats!G$37*Données!G1590+Résultats!G$38*Données!H1590+Résultats!G$39*Données!I1590</f>
        <v>104549.54208070402</v>
      </c>
      <c r="M1590">
        <f t="shared" si="96"/>
        <v>23450.457919295979</v>
      </c>
      <c r="Q1590">
        <v>88000</v>
      </c>
      <c r="R1590">
        <v>1</v>
      </c>
      <c r="S1590">
        <v>22.10000038146973</v>
      </c>
      <c r="T1590">
        <v>0</v>
      </c>
      <c r="U1590">
        <f t="shared" si="97"/>
        <v>11.608235644774552</v>
      </c>
      <c r="V1590">
        <f t="shared" si="98"/>
        <v>7.7146774738009274</v>
      </c>
      <c r="W1590">
        <v>1</v>
      </c>
      <c r="X1590">
        <v>0</v>
      </c>
      <c r="Y1590">
        <v>1</v>
      </c>
      <c r="Z1590">
        <f>'Résultat (Ln)'!F$30+'Résultat (Ln)'!F$31*Données!S1590+'Résultat (Ln)'!F$32*Données!T1590+'Résultat (Ln)'!F$33*Données!U1590+'Résultat (Ln)'!F$34*Données!V1590+'Résultat (Ln)'!F$35*Données!W1590+'Résultat (Ln)'!F$36*Données!X1590+'Résultat (Ln)'!F$37*Données!Y1590</f>
        <v>76493.683015434101</v>
      </c>
      <c r="AA1590">
        <f t="shared" si="99"/>
        <v>11506.316984565899</v>
      </c>
    </row>
    <row r="1591" spans="1:27" x14ac:dyDescent="0.25">
      <c r="A1591">
        <v>800000</v>
      </c>
      <c r="B1591">
        <v>1</v>
      </c>
      <c r="C1591">
        <v>24.5</v>
      </c>
      <c r="D1591">
        <v>0</v>
      </c>
      <c r="E1591">
        <v>1200000</v>
      </c>
      <c r="F1591">
        <v>35631</v>
      </c>
      <c r="G1591">
        <v>1</v>
      </c>
      <c r="H1591">
        <v>0</v>
      </c>
      <c r="I1591">
        <v>1</v>
      </c>
      <c r="J1591">
        <v>21.29999923706055</v>
      </c>
      <c r="K1591">
        <v>1</v>
      </c>
      <c r="L1591">
        <f>Résultats!G$32+Résultats!G$33*Données!C1591+Résultats!G$34*Données!D1591+Résultats!G$35*Données!E1591+Résultats!G$36*Données!F1591+Résultats!G$37*Données!G1591+Résultats!G$38*Données!H1591+Résultats!G$39*Données!I1591</f>
        <v>671035.32965867687</v>
      </c>
      <c r="M1591">
        <f t="shared" si="96"/>
        <v>128964.67034132313</v>
      </c>
      <c r="Q1591">
        <v>128000</v>
      </c>
      <c r="R1591">
        <v>1</v>
      </c>
      <c r="S1591">
        <v>30</v>
      </c>
      <c r="T1591">
        <v>0</v>
      </c>
      <c r="U1591">
        <f t="shared" si="97"/>
        <v>11.813030057420567</v>
      </c>
      <c r="V1591">
        <f t="shared" si="98"/>
        <v>7.4910875935348757</v>
      </c>
      <c r="W1591">
        <v>1</v>
      </c>
      <c r="X1591">
        <v>0</v>
      </c>
      <c r="Y1591">
        <v>0</v>
      </c>
      <c r="Z1591">
        <f>'Résultat (Ln)'!F$30+'Résultat (Ln)'!F$31*Données!S1591+'Résultat (Ln)'!F$32*Données!T1591+'Résultat (Ln)'!F$33*Données!U1591+'Résultat (Ln)'!F$34*Données!V1591+'Résultat (Ln)'!F$35*Données!W1591+'Résultat (Ln)'!F$36*Données!X1591+'Résultat (Ln)'!F$37*Données!Y1591</f>
        <v>87743.172872061099</v>
      </c>
      <c r="AA1591">
        <f t="shared" si="99"/>
        <v>40256.827127938901</v>
      </c>
    </row>
    <row r="1592" spans="1:27" x14ac:dyDescent="0.25">
      <c r="A1592">
        <v>84000</v>
      </c>
      <c r="B1592">
        <v>1</v>
      </c>
      <c r="C1592">
        <v>32.200000762939453</v>
      </c>
      <c r="D1592">
        <v>0</v>
      </c>
      <c r="E1592">
        <v>93000</v>
      </c>
      <c r="F1592">
        <v>2666</v>
      </c>
      <c r="G1592">
        <v>1</v>
      </c>
      <c r="H1592">
        <v>0</v>
      </c>
      <c r="I1592">
        <v>1</v>
      </c>
      <c r="J1592">
        <v>31.530000686645511</v>
      </c>
      <c r="K1592">
        <v>0</v>
      </c>
      <c r="L1592">
        <f>Résultats!G$32+Résultats!G$33*Données!C1592+Résultats!G$34*Données!D1592+Résultats!G$35*Données!E1592+Résultats!G$36*Données!F1592+Résultats!G$37*Données!G1592+Résultats!G$38*Données!H1592+Résultats!G$39*Données!I1592</f>
        <v>99083.663521518334</v>
      </c>
      <c r="M1592">
        <f t="shared" si="96"/>
        <v>-15083.663521518334</v>
      </c>
      <c r="Q1592">
        <v>800000</v>
      </c>
      <c r="R1592">
        <v>1</v>
      </c>
      <c r="S1592">
        <v>24.5</v>
      </c>
      <c r="T1592">
        <v>0</v>
      </c>
      <c r="U1592">
        <f t="shared" si="97"/>
        <v>13.997832114758229</v>
      </c>
      <c r="V1592">
        <f t="shared" si="98"/>
        <v>10.480971324442351</v>
      </c>
      <c r="W1592">
        <v>1</v>
      </c>
      <c r="X1592">
        <v>0</v>
      </c>
      <c r="Y1592">
        <v>1</v>
      </c>
      <c r="Z1592">
        <f>'Résultat (Ln)'!F$30+'Résultat (Ln)'!F$31*Données!S1592+'Résultat (Ln)'!F$32*Données!T1592+'Résultat (Ln)'!F$33*Données!U1592+'Résultat (Ln)'!F$34*Données!V1592+'Résultat (Ln)'!F$35*Données!W1592+'Résultat (Ln)'!F$36*Données!X1592+'Résultat (Ln)'!F$37*Données!Y1592</f>
        <v>413163.63230300474</v>
      </c>
      <c r="AA1592">
        <f t="shared" si="99"/>
        <v>386836.36769699526</v>
      </c>
    </row>
    <row r="1593" spans="1:27" x14ac:dyDescent="0.25">
      <c r="A1593">
        <v>187000</v>
      </c>
      <c r="B1593">
        <v>1</v>
      </c>
      <c r="C1593">
        <v>38</v>
      </c>
      <c r="D1593">
        <v>0</v>
      </c>
      <c r="E1593">
        <v>208000</v>
      </c>
      <c r="F1593">
        <v>3480</v>
      </c>
      <c r="G1593">
        <v>1</v>
      </c>
      <c r="H1593">
        <v>0</v>
      </c>
      <c r="I1593">
        <v>0</v>
      </c>
      <c r="J1593">
        <v>33</v>
      </c>
      <c r="K1593">
        <v>1</v>
      </c>
      <c r="L1593">
        <f>Résultats!G$32+Résultats!G$33*Données!C1593+Résultats!G$34*Données!D1593+Résultats!G$35*Données!E1593+Résultats!G$36*Données!F1593+Résultats!G$37*Données!G1593+Résultats!G$38*Données!H1593+Résultats!G$39*Données!I1593</f>
        <v>151097.47880014297</v>
      </c>
      <c r="M1593">
        <f t="shared" si="96"/>
        <v>35902.52119985703</v>
      </c>
      <c r="Q1593">
        <v>84000</v>
      </c>
      <c r="R1593">
        <v>1</v>
      </c>
      <c r="S1593">
        <v>32.200000762939453</v>
      </c>
      <c r="T1593">
        <v>0</v>
      </c>
      <c r="U1593">
        <f t="shared" si="97"/>
        <v>11.440354772135393</v>
      </c>
      <c r="V1593">
        <f t="shared" si="98"/>
        <v>7.8883345007386536</v>
      </c>
      <c r="W1593">
        <v>1</v>
      </c>
      <c r="X1593">
        <v>0</v>
      </c>
      <c r="Y1593">
        <v>1</v>
      </c>
      <c r="Z1593">
        <f>'Résultat (Ln)'!F$30+'Résultat (Ln)'!F$31*Données!S1593+'Résultat (Ln)'!F$32*Données!T1593+'Résultat (Ln)'!F$33*Données!U1593+'Résultat (Ln)'!F$34*Données!V1593+'Résultat (Ln)'!F$35*Données!W1593+'Résultat (Ln)'!F$36*Données!X1593+'Résultat (Ln)'!F$37*Données!Y1593</f>
        <v>75710.561055233091</v>
      </c>
      <c r="AA1593">
        <f t="shared" si="99"/>
        <v>8289.4389447669091</v>
      </c>
    </row>
    <row r="1594" spans="1:27" x14ac:dyDescent="0.25">
      <c r="A1594">
        <v>208000</v>
      </c>
      <c r="B1594">
        <v>1</v>
      </c>
      <c r="C1594">
        <v>31.70000076293945</v>
      </c>
      <c r="D1594">
        <v>0</v>
      </c>
      <c r="E1594">
        <v>260000</v>
      </c>
      <c r="F1594">
        <v>4865</v>
      </c>
      <c r="G1594">
        <v>1</v>
      </c>
      <c r="H1594">
        <v>0</v>
      </c>
      <c r="I1594">
        <v>1</v>
      </c>
      <c r="J1594">
        <v>29.14999961853027</v>
      </c>
      <c r="K1594">
        <v>1</v>
      </c>
      <c r="L1594">
        <f>Résultats!G$32+Résultats!G$33*Données!C1594+Résultats!G$34*Données!D1594+Résultats!G$35*Données!E1594+Résultats!G$36*Données!F1594+Résultats!G$37*Données!G1594+Résultats!G$38*Données!H1594+Résultats!G$39*Données!I1594</f>
        <v>180751.71861758406</v>
      </c>
      <c r="M1594">
        <f t="shared" si="96"/>
        <v>27248.281382415938</v>
      </c>
      <c r="Q1594">
        <v>187000</v>
      </c>
      <c r="R1594">
        <v>1</v>
      </c>
      <c r="S1594">
        <v>38</v>
      </c>
      <c r="T1594">
        <v>0</v>
      </c>
      <c r="U1594">
        <f t="shared" si="97"/>
        <v>12.245293358683455</v>
      </c>
      <c r="V1594">
        <f t="shared" si="98"/>
        <v>8.1547875727685195</v>
      </c>
      <c r="W1594">
        <v>1</v>
      </c>
      <c r="X1594">
        <v>0</v>
      </c>
      <c r="Y1594">
        <v>0</v>
      </c>
      <c r="Z1594">
        <f>'Résultat (Ln)'!F$30+'Résultat (Ln)'!F$31*Données!S1594+'Résultat (Ln)'!F$32*Données!T1594+'Résultat (Ln)'!F$33*Données!U1594+'Résultat (Ln)'!F$34*Données!V1594+'Résultat (Ln)'!F$35*Données!W1594+'Résultat (Ln)'!F$36*Données!X1594+'Résultat (Ln)'!F$37*Données!Y1594</f>
        <v>162470.20218951872</v>
      </c>
      <c r="AA1594">
        <f t="shared" si="99"/>
        <v>24529.797810481279</v>
      </c>
    </row>
    <row r="1595" spans="1:27" x14ac:dyDescent="0.25">
      <c r="A1595">
        <v>153000</v>
      </c>
      <c r="B1595">
        <v>1</v>
      </c>
      <c r="C1595">
        <v>30</v>
      </c>
      <c r="D1595">
        <v>0</v>
      </c>
      <c r="E1595">
        <v>171000</v>
      </c>
      <c r="F1595">
        <v>3130</v>
      </c>
      <c r="G1595">
        <v>0</v>
      </c>
      <c r="H1595">
        <v>0</v>
      </c>
      <c r="I1595">
        <v>0</v>
      </c>
      <c r="J1595">
        <v>30</v>
      </c>
      <c r="K1595">
        <v>1</v>
      </c>
      <c r="L1595">
        <f>Résultats!G$32+Résultats!G$33*Données!C1595+Résultats!G$34*Données!D1595+Résultats!G$35*Données!E1595+Résultats!G$36*Données!F1595+Résultats!G$37*Données!G1595+Résultats!G$38*Données!H1595+Résultats!G$39*Données!I1595</f>
        <v>116936.00076725098</v>
      </c>
      <c r="M1595">
        <f t="shared" si="96"/>
        <v>36063.999232749018</v>
      </c>
      <c r="Q1595">
        <v>208000</v>
      </c>
      <c r="R1595">
        <v>1</v>
      </c>
      <c r="S1595">
        <v>31.70000076293945</v>
      </c>
      <c r="T1595">
        <v>0</v>
      </c>
      <c r="U1595">
        <f t="shared" si="97"/>
        <v>12.468436909997665</v>
      </c>
      <c r="V1595">
        <f t="shared" si="98"/>
        <v>8.4898219946201046</v>
      </c>
      <c r="W1595">
        <v>1</v>
      </c>
      <c r="X1595">
        <v>0</v>
      </c>
      <c r="Y1595">
        <v>1</v>
      </c>
      <c r="Z1595">
        <f>'Résultat (Ln)'!F$30+'Résultat (Ln)'!F$31*Données!S1595+'Résultat (Ln)'!F$32*Données!T1595+'Résultat (Ln)'!F$33*Données!U1595+'Résultat (Ln)'!F$34*Données!V1595+'Résultat (Ln)'!F$35*Données!W1595+'Résultat (Ln)'!F$36*Données!X1595+'Résultat (Ln)'!F$37*Données!Y1595</f>
        <v>202174.58130723907</v>
      </c>
      <c r="AA1595">
        <f t="shared" si="99"/>
        <v>5825.4186927609262</v>
      </c>
    </row>
    <row r="1596" spans="1:27" x14ac:dyDescent="0.25">
      <c r="A1596">
        <v>152000</v>
      </c>
      <c r="B1596">
        <v>1</v>
      </c>
      <c r="C1596">
        <v>28</v>
      </c>
      <c r="D1596">
        <v>0</v>
      </c>
      <c r="E1596">
        <v>160000</v>
      </c>
      <c r="F1596">
        <v>7041</v>
      </c>
      <c r="G1596">
        <v>1</v>
      </c>
      <c r="H1596">
        <v>0</v>
      </c>
      <c r="I1596">
        <v>0</v>
      </c>
      <c r="J1596">
        <v>18</v>
      </c>
      <c r="K1596">
        <v>1</v>
      </c>
      <c r="L1596">
        <f>Résultats!G$32+Résultats!G$33*Données!C1596+Résultats!G$34*Données!D1596+Résultats!G$35*Données!E1596+Résultats!G$36*Données!F1596+Résultats!G$37*Données!G1596+Résultats!G$38*Données!H1596+Résultats!G$39*Données!I1596</f>
        <v>124097.47892213636</v>
      </c>
      <c r="M1596">
        <f t="shared" si="96"/>
        <v>27902.521077863639</v>
      </c>
      <c r="Q1596">
        <v>153000</v>
      </c>
      <c r="R1596">
        <v>1</v>
      </c>
      <c r="S1596">
        <v>30</v>
      </c>
      <c r="T1596">
        <v>0</v>
      </c>
      <c r="U1596">
        <f t="shared" si="97"/>
        <v>12.049418835484797</v>
      </c>
      <c r="V1596">
        <f t="shared" si="98"/>
        <v>8.0487882835341988</v>
      </c>
      <c r="W1596">
        <v>0</v>
      </c>
      <c r="X1596">
        <v>0</v>
      </c>
      <c r="Y1596">
        <v>0</v>
      </c>
      <c r="Z1596">
        <f>'Résultat (Ln)'!F$30+'Résultat (Ln)'!F$31*Données!S1596+'Résultat (Ln)'!F$32*Données!T1596+'Résultat (Ln)'!F$33*Données!U1596+'Résultat (Ln)'!F$34*Données!V1596+'Résultat (Ln)'!F$35*Données!W1596+'Résultat (Ln)'!F$36*Données!X1596+'Résultat (Ln)'!F$37*Données!Y1596</f>
        <v>124210.12900313502</v>
      </c>
      <c r="AA1596">
        <f t="shared" si="99"/>
        <v>28789.870996864978</v>
      </c>
    </row>
    <row r="1597" spans="1:27" x14ac:dyDescent="0.25">
      <c r="A1597">
        <v>138000</v>
      </c>
      <c r="B1597">
        <v>1</v>
      </c>
      <c r="C1597">
        <v>27</v>
      </c>
      <c r="D1597">
        <v>1</v>
      </c>
      <c r="E1597">
        <v>145000</v>
      </c>
      <c r="F1597">
        <v>4050</v>
      </c>
      <c r="G1597">
        <v>1</v>
      </c>
      <c r="H1597">
        <v>0</v>
      </c>
      <c r="I1597">
        <v>0</v>
      </c>
      <c r="J1597">
        <v>16</v>
      </c>
      <c r="K1597">
        <v>1</v>
      </c>
      <c r="L1597">
        <f>Résultats!G$32+Résultats!G$33*Données!C1597+Résultats!G$34*Données!D1597+Résultats!G$35*Données!E1597+Résultats!G$36*Données!F1597+Résultats!G$37*Données!G1597+Résultats!G$38*Données!H1597+Résultats!G$39*Données!I1597</f>
        <v>114996.83621724421</v>
      </c>
      <c r="M1597">
        <f t="shared" si="96"/>
        <v>23003.163782755786</v>
      </c>
      <c r="Q1597">
        <v>152000</v>
      </c>
      <c r="R1597">
        <v>1</v>
      </c>
      <c r="S1597">
        <v>28</v>
      </c>
      <c r="T1597">
        <v>0</v>
      </c>
      <c r="U1597">
        <f t="shared" si="97"/>
        <v>11.982929094215963</v>
      </c>
      <c r="V1597">
        <f t="shared" si="98"/>
        <v>8.8595054845191328</v>
      </c>
      <c r="W1597">
        <v>1</v>
      </c>
      <c r="X1597">
        <v>0</v>
      </c>
      <c r="Y1597">
        <v>0</v>
      </c>
      <c r="Z1597">
        <f>'Résultat (Ln)'!F$30+'Résultat (Ln)'!F$31*Données!S1597+'Résultat (Ln)'!F$32*Données!T1597+'Résultat (Ln)'!F$33*Données!U1597+'Résultat (Ln)'!F$34*Données!V1597+'Résultat (Ln)'!F$35*Données!W1597+'Résultat (Ln)'!F$36*Données!X1597+'Résultat (Ln)'!F$37*Données!Y1597</f>
        <v>141889.87915858452</v>
      </c>
      <c r="AA1597">
        <f t="shared" si="99"/>
        <v>10110.120841415483</v>
      </c>
    </row>
    <row r="1598" spans="1:27" x14ac:dyDescent="0.25">
      <c r="A1598">
        <v>124000</v>
      </c>
      <c r="B1598">
        <v>1</v>
      </c>
      <c r="C1598">
        <v>29</v>
      </c>
      <c r="D1598">
        <v>0</v>
      </c>
      <c r="E1598">
        <v>155000</v>
      </c>
      <c r="F1598">
        <v>3814</v>
      </c>
      <c r="G1598">
        <v>1</v>
      </c>
      <c r="H1598">
        <v>0</v>
      </c>
      <c r="I1598">
        <v>1</v>
      </c>
      <c r="J1598">
        <v>28</v>
      </c>
      <c r="K1598">
        <v>1</v>
      </c>
      <c r="L1598">
        <f>Résultats!G$32+Résultats!G$33*Données!C1598+Résultats!G$34*Données!D1598+Résultats!G$35*Données!E1598+Résultats!G$36*Données!F1598+Résultats!G$37*Données!G1598+Résultats!G$38*Données!H1598+Résultats!G$39*Données!I1598</f>
        <v>126583.59998556577</v>
      </c>
      <c r="M1598">
        <f t="shared" si="96"/>
        <v>-2583.5999855657719</v>
      </c>
      <c r="Q1598">
        <v>138000</v>
      </c>
      <c r="R1598">
        <v>1</v>
      </c>
      <c r="S1598">
        <v>27</v>
      </c>
      <c r="T1598">
        <v>1</v>
      </c>
      <c r="U1598">
        <f t="shared" si="97"/>
        <v>11.884489021402711</v>
      </c>
      <c r="V1598">
        <f t="shared" si="98"/>
        <v>8.3064721601005846</v>
      </c>
      <c r="W1598">
        <v>1</v>
      </c>
      <c r="X1598">
        <v>0</v>
      </c>
      <c r="Y1598">
        <v>0</v>
      </c>
      <c r="Z1598">
        <f>'Résultat (Ln)'!F$30+'Résultat (Ln)'!F$31*Données!S1598+'Résultat (Ln)'!F$32*Données!T1598+'Résultat (Ln)'!F$33*Données!U1598+'Résultat (Ln)'!F$34*Données!V1598+'Résultat (Ln)'!F$35*Données!W1598+'Résultat (Ln)'!F$36*Données!X1598+'Résultat (Ln)'!F$37*Données!Y1598</f>
        <v>118954.0527515037</v>
      </c>
      <c r="AA1598">
        <f t="shared" si="99"/>
        <v>19045.947248496304</v>
      </c>
    </row>
    <row r="1599" spans="1:27" x14ac:dyDescent="0.25">
      <c r="A1599">
        <v>130000</v>
      </c>
      <c r="B1599">
        <v>1</v>
      </c>
      <c r="C1599">
        <v>32</v>
      </c>
      <c r="D1599">
        <v>0</v>
      </c>
      <c r="E1599">
        <v>163000</v>
      </c>
      <c r="F1599">
        <v>2981</v>
      </c>
      <c r="G1599">
        <v>1</v>
      </c>
      <c r="H1599">
        <v>0</v>
      </c>
      <c r="I1599">
        <v>0</v>
      </c>
      <c r="J1599">
        <v>22</v>
      </c>
      <c r="K1599">
        <v>1</v>
      </c>
      <c r="L1599">
        <f>Résultats!G$32+Résultats!G$33*Données!C1599+Résultats!G$34*Données!D1599+Résultats!G$35*Données!E1599+Résultats!G$36*Données!F1599+Résultats!G$37*Données!G1599+Résultats!G$38*Données!H1599+Résultats!G$39*Données!I1599</f>
        <v>122225.60353965651</v>
      </c>
      <c r="M1599">
        <f t="shared" si="96"/>
        <v>7774.396460343487</v>
      </c>
      <c r="Q1599">
        <v>124000</v>
      </c>
      <c r="R1599">
        <v>1</v>
      </c>
      <c r="S1599">
        <v>29</v>
      </c>
      <c r="T1599">
        <v>0</v>
      </c>
      <c r="U1599">
        <f t="shared" si="97"/>
        <v>11.951180395901384</v>
      </c>
      <c r="V1599">
        <f t="shared" si="98"/>
        <v>8.2464337861603649</v>
      </c>
      <c r="W1599">
        <v>1</v>
      </c>
      <c r="X1599">
        <v>0</v>
      </c>
      <c r="Y1599">
        <v>1</v>
      </c>
      <c r="Z1599">
        <f>'Résultat (Ln)'!F$30+'Résultat (Ln)'!F$31*Données!S1599+'Résultat (Ln)'!F$32*Données!T1599+'Résultat (Ln)'!F$33*Données!U1599+'Résultat (Ln)'!F$34*Données!V1599+'Résultat (Ln)'!F$35*Données!W1599+'Résultat (Ln)'!F$36*Données!X1599+'Résultat (Ln)'!F$37*Données!Y1599</f>
        <v>136601.44947613718</v>
      </c>
      <c r="AA1599">
        <f t="shared" si="99"/>
        <v>-12601.449476137175</v>
      </c>
    </row>
    <row r="1600" spans="1:27" x14ac:dyDescent="0.25">
      <c r="A1600">
        <v>125000</v>
      </c>
      <c r="B1600">
        <v>1</v>
      </c>
      <c r="C1600">
        <v>21.70000076293945</v>
      </c>
      <c r="D1600">
        <v>0</v>
      </c>
      <c r="E1600">
        <v>166000</v>
      </c>
      <c r="F1600">
        <v>9250</v>
      </c>
      <c r="G1600">
        <v>1</v>
      </c>
      <c r="H1600">
        <v>0</v>
      </c>
      <c r="I1600">
        <v>0</v>
      </c>
      <c r="J1600">
        <v>9</v>
      </c>
      <c r="K1600">
        <v>0</v>
      </c>
      <c r="L1600">
        <f>Résultats!G$32+Résultats!G$33*Données!C1600+Résultats!G$34*Données!D1600+Résultats!G$35*Données!E1600+Résultats!G$36*Données!F1600+Résultats!G$37*Données!G1600+Résultats!G$38*Données!H1600+Résultats!G$39*Données!I1600</f>
        <v>123943.14831305092</v>
      </c>
      <c r="M1600">
        <f t="shared" si="96"/>
        <v>1056.851686949085</v>
      </c>
      <c r="Q1600">
        <v>130000</v>
      </c>
      <c r="R1600">
        <v>1</v>
      </c>
      <c r="S1600">
        <v>32</v>
      </c>
      <c r="T1600">
        <v>0</v>
      </c>
      <c r="U1600">
        <f t="shared" si="97"/>
        <v>12.0015054797889</v>
      </c>
      <c r="V1600">
        <f t="shared" si="98"/>
        <v>8.0000140936780717</v>
      </c>
      <c r="W1600">
        <v>1</v>
      </c>
      <c r="X1600">
        <v>0</v>
      </c>
      <c r="Y1600">
        <v>0</v>
      </c>
      <c r="Z1600">
        <f>'Résultat (Ln)'!F$30+'Résultat (Ln)'!F$31*Données!S1600+'Résultat (Ln)'!F$32*Données!T1600+'Résultat (Ln)'!F$33*Données!U1600+'Résultat (Ln)'!F$34*Données!V1600+'Résultat (Ln)'!F$35*Données!W1600+'Résultat (Ln)'!F$36*Données!X1600+'Résultat (Ln)'!F$37*Données!Y1600</f>
        <v>124664.23167757721</v>
      </c>
      <c r="AA1600">
        <f t="shared" si="99"/>
        <v>5335.7683224227949</v>
      </c>
    </row>
    <row r="1601" spans="1:27" x14ac:dyDescent="0.25">
      <c r="A1601">
        <v>243000</v>
      </c>
      <c r="B1601">
        <v>1</v>
      </c>
      <c r="C1601">
        <v>33.200000762939453</v>
      </c>
      <c r="D1601">
        <v>0</v>
      </c>
      <c r="E1601">
        <v>270000</v>
      </c>
      <c r="F1601">
        <v>3510</v>
      </c>
      <c r="G1601">
        <v>1</v>
      </c>
      <c r="H1601">
        <v>0</v>
      </c>
      <c r="I1601">
        <v>1</v>
      </c>
      <c r="J1601">
        <v>29.39999961853027</v>
      </c>
      <c r="K1601">
        <v>1</v>
      </c>
      <c r="L1601">
        <f>Résultats!G$32+Résultats!G$33*Données!C1601+Résultats!G$34*Données!D1601+Résultats!G$35*Données!E1601+Résultats!G$36*Données!F1601+Résultats!G$37*Données!G1601+Résultats!G$38*Données!H1601+Résultats!G$39*Données!I1601</f>
        <v>184518.55499238774</v>
      </c>
      <c r="M1601">
        <f t="shared" si="96"/>
        <v>58481.445007612259</v>
      </c>
      <c r="Q1601">
        <v>125000</v>
      </c>
      <c r="R1601">
        <v>1</v>
      </c>
      <c r="S1601">
        <v>21.70000076293945</v>
      </c>
      <c r="T1601">
        <v>0</v>
      </c>
      <c r="U1601">
        <f t="shared" si="97"/>
        <v>12.01974306733868</v>
      </c>
      <c r="V1601">
        <f t="shared" si="98"/>
        <v>9.1323788305064717</v>
      </c>
      <c r="W1601">
        <v>1</v>
      </c>
      <c r="X1601">
        <v>0</v>
      </c>
      <c r="Y1601">
        <v>0</v>
      </c>
      <c r="Z1601">
        <f>'Résultat (Ln)'!F$30+'Résultat (Ln)'!F$31*Données!S1601+'Résultat (Ln)'!F$32*Données!T1601+'Résultat (Ln)'!F$33*Données!U1601+'Résultat (Ln)'!F$34*Données!V1601+'Résultat (Ln)'!F$35*Données!W1601+'Résultat (Ln)'!F$36*Données!X1601+'Résultat (Ln)'!F$37*Données!Y1601</f>
        <v>145790.26602777967</v>
      </c>
      <c r="AA1601">
        <f t="shared" si="99"/>
        <v>-20790.266027779668</v>
      </c>
    </row>
    <row r="1602" spans="1:27" x14ac:dyDescent="0.25">
      <c r="A1602">
        <v>126000</v>
      </c>
      <c r="B1602">
        <v>1</v>
      </c>
      <c r="C1602">
        <v>36</v>
      </c>
      <c r="D1602">
        <v>0</v>
      </c>
      <c r="E1602">
        <v>147000</v>
      </c>
      <c r="F1602">
        <v>2170</v>
      </c>
      <c r="G1602">
        <v>1</v>
      </c>
      <c r="H1602">
        <v>0</v>
      </c>
      <c r="I1602">
        <v>0</v>
      </c>
      <c r="J1602">
        <v>26</v>
      </c>
      <c r="K1602">
        <v>1</v>
      </c>
      <c r="L1602">
        <f>Résultats!G$32+Résultats!G$33*Données!C1602+Résultats!G$34*Données!D1602+Résultats!G$35*Données!E1602+Résultats!G$36*Données!F1602+Résultats!G$37*Données!G1602+Résultats!G$38*Données!H1602+Résultats!G$39*Données!I1602</f>
        <v>117777.48720373756</v>
      </c>
      <c r="M1602">
        <f t="shared" si="96"/>
        <v>8222.5127962624392</v>
      </c>
      <c r="Q1602">
        <v>243000</v>
      </c>
      <c r="R1602">
        <v>1</v>
      </c>
      <c r="S1602">
        <v>33.200000762939453</v>
      </c>
      <c r="T1602">
        <v>0</v>
      </c>
      <c r="U1602">
        <f t="shared" si="97"/>
        <v>12.506177237980511</v>
      </c>
      <c r="V1602">
        <f t="shared" si="98"/>
        <v>8.1633713164599122</v>
      </c>
      <c r="W1602">
        <v>1</v>
      </c>
      <c r="X1602">
        <v>0</v>
      </c>
      <c r="Y1602">
        <v>1</v>
      </c>
      <c r="Z1602">
        <f>'Résultat (Ln)'!F$30+'Résultat (Ln)'!F$31*Données!S1602+'Résultat (Ln)'!F$32*Données!T1602+'Résultat (Ln)'!F$33*Données!U1602+'Résultat (Ln)'!F$34*Données!V1602+'Résultat (Ln)'!F$35*Données!W1602+'Résultat (Ln)'!F$36*Données!X1602+'Résultat (Ln)'!F$37*Données!Y1602</f>
        <v>198897.67048921145</v>
      </c>
      <c r="AA1602">
        <f t="shared" si="99"/>
        <v>44102.32951078855</v>
      </c>
    </row>
    <row r="1603" spans="1:27" x14ac:dyDescent="0.25">
      <c r="A1603">
        <v>480000</v>
      </c>
      <c r="B1603">
        <v>1</v>
      </c>
      <c r="C1603">
        <v>29</v>
      </c>
      <c r="D1603">
        <v>0</v>
      </c>
      <c r="E1603">
        <v>440000</v>
      </c>
      <c r="F1603">
        <v>20833</v>
      </c>
      <c r="G1603">
        <v>1</v>
      </c>
      <c r="H1603">
        <v>0</v>
      </c>
      <c r="I1603">
        <v>1</v>
      </c>
      <c r="J1603">
        <v>15</v>
      </c>
      <c r="K1603">
        <v>1</v>
      </c>
      <c r="L1603">
        <f>Résultats!G$32+Résultats!G$33*Données!C1603+Résultats!G$34*Données!D1603+Résultats!G$35*Données!E1603+Résultats!G$36*Données!F1603+Résultats!G$37*Données!G1603+Résultats!G$38*Données!H1603+Résultats!G$39*Données!I1603</f>
        <v>292644.48473506077</v>
      </c>
      <c r="M1603">
        <f t="shared" ref="M1603:M1666" si="100">A1603-L1603</f>
        <v>187355.51526493923</v>
      </c>
      <c r="Q1603">
        <v>126000</v>
      </c>
      <c r="R1603">
        <v>1</v>
      </c>
      <c r="S1603">
        <v>36</v>
      </c>
      <c r="T1603">
        <v>0</v>
      </c>
      <c r="U1603">
        <f t="shared" si="97"/>
        <v>11.898187865760873</v>
      </c>
      <c r="V1603">
        <f t="shared" si="98"/>
        <v>7.6824824465345056</v>
      </c>
      <c r="W1603">
        <v>1</v>
      </c>
      <c r="X1603">
        <v>0</v>
      </c>
      <c r="Y1603">
        <v>0</v>
      </c>
      <c r="Z1603">
        <f>'Résultat (Ln)'!F$30+'Résultat (Ln)'!F$31*Données!S1603+'Résultat (Ln)'!F$32*Données!T1603+'Résultat (Ln)'!F$33*Données!U1603+'Résultat (Ln)'!F$34*Données!V1603+'Résultat (Ln)'!F$35*Données!W1603+'Résultat (Ln)'!F$36*Données!X1603+'Résultat (Ln)'!F$37*Données!Y1603</f>
        <v>109571.7785924512</v>
      </c>
      <c r="AA1603">
        <f t="shared" si="99"/>
        <v>16428.221407548801</v>
      </c>
    </row>
    <row r="1604" spans="1:27" x14ac:dyDescent="0.25">
      <c r="A1604">
        <v>96000</v>
      </c>
      <c r="B1604">
        <v>1</v>
      </c>
      <c r="C1604">
        <v>32</v>
      </c>
      <c r="D1604">
        <v>0</v>
      </c>
      <c r="E1604">
        <v>120000</v>
      </c>
      <c r="F1604">
        <v>3583</v>
      </c>
      <c r="G1604">
        <v>0</v>
      </c>
      <c r="H1604">
        <v>0</v>
      </c>
      <c r="I1604">
        <v>0</v>
      </c>
      <c r="J1604">
        <v>31</v>
      </c>
      <c r="K1604">
        <v>0</v>
      </c>
      <c r="L1604">
        <f>Résultats!G$32+Résultats!G$33*Données!C1604+Résultats!G$34*Données!D1604+Résultats!G$35*Données!E1604+Résultats!G$36*Données!F1604+Résultats!G$37*Données!G1604+Résultats!G$38*Données!H1604+Résultats!G$39*Données!I1604</f>
        <v>96296.542499870207</v>
      </c>
      <c r="M1604">
        <f t="shared" si="100"/>
        <v>-296.54249987020739</v>
      </c>
      <c r="Q1604">
        <v>480000</v>
      </c>
      <c r="R1604">
        <v>1</v>
      </c>
      <c r="S1604">
        <v>29</v>
      </c>
      <c r="T1604">
        <v>0</v>
      </c>
      <c r="U1604">
        <f t="shared" ref="U1604:U1667" si="101">LN(E1603)</f>
        <v>12.994530005894443</v>
      </c>
      <c r="V1604">
        <f t="shared" ref="V1604:V1667" si="102">LN(F1603)</f>
        <v>9.9442935469283817</v>
      </c>
      <c r="W1604">
        <v>1</v>
      </c>
      <c r="X1604">
        <v>0</v>
      </c>
      <c r="Y1604">
        <v>1</v>
      </c>
      <c r="Z1604">
        <f>'Résultat (Ln)'!F$30+'Résultat (Ln)'!F$31*Données!S1604+'Résultat (Ln)'!F$32*Données!T1604+'Résultat (Ln)'!F$33*Données!U1604+'Résultat (Ln)'!F$34*Données!V1604+'Résultat (Ln)'!F$35*Données!W1604+'Résultat (Ln)'!F$36*Données!X1604+'Résultat (Ln)'!F$37*Données!Y1604</f>
        <v>296061.72505459253</v>
      </c>
      <c r="AA1604">
        <f t="shared" ref="AA1604:AA1667" si="103">Q1604-Z1604</f>
        <v>183938.27494540747</v>
      </c>
    </row>
    <row r="1605" spans="1:27" x14ac:dyDescent="0.25">
      <c r="A1605">
        <v>188000</v>
      </c>
      <c r="B1605">
        <v>1</v>
      </c>
      <c r="C1605">
        <v>36</v>
      </c>
      <c r="D1605">
        <v>0</v>
      </c>
      <c r="E1605">
        <v>209000</v>
      </c>
      <c r="F1605">
        <v>2479</v>
      </c>
      <c r="G1605">
        <v>1</v>
      </c>
      <c r="H1605">
        <v>0</v>
      </c>
      <c r="I1605">
        <v>1</v>
      </c>
      <c r="J1605">
        <v>30</v>
      </c>
      <c r="K1605">
        <v>1</v>
      </c>
      <c r="L1605">
        <f>Résultats!G$32+Résultats!G$33*Données!C1605+Résultats!G$34*Données!D1605+Résultats!G$35*Données!E1605+Résultats!G$36*Données!F1605+Résultats!G$37*Données!G1605+Résultats!G$38*Données!H1605+Résultats!G$39*Données!I1605</f>
        <v>157252.82301442738</v>
      </c>
      <c r="M1605">
        <f t="shared" si="100"/>
        <v>30747.176985572616</v>
      </c>
      <c r="Q1605">
        <v>96000</v>
      </c>
      <c r="R1605">
        <v>1</v>
      </c>
      <c r="S1605">
        <v>32</v>
      </c>
      <c r="T1605">
        <v>0</v>
      </c>
      <c r="U1605">
        <f t="shared" si="101"/>
        <v>11.695247021764184</v>
      </c>
      <c r="V1605">
        <f t="shared" si="102"/>
        <v>8.1839557173049542</v>
      </c>
      <c r="W1605">
        <v>0</v>
      </c>
      <c r="X1605">
        <v>0</v>
      </c>
      <c r="Y1605">
        <v>0</v>
      </c>
      <c r="Z1605">
        <f>'Résultat (Ln)'!F$30+'Résultat (Ln)'!F$31*Données!S1605+'Résultat (Ln)'!F$32*Données!T1605+'Résultat (Ln)'!F$33*Données!U1605+'Résultat (Ln)'!F$34*Données!V1605+'Résultat (Ln)'!F$35*Données!W1605+'Résultat (Ln)'!F$36*Données!X1605+'Résultat (Ln)'!F$37*Données!Y1605</f>
        <v>92479.44062355606</v>
      </c>
      <c r="AA1605">
        <f t="shared" si="103"/>
        <v>3520.55937644394</v>
      </c>
    </row>
    <row r="1606" spans="1:27" x14ac:dyDescent="0.25">
      <c r="A1606">
        <v>130000</v>
      </c>
      <c r="B1606">
        <v>1</v>
      </c>
      <c r="C1606">
        <v>35</v>
      </c>
      <c r="D1606">
        <v>0</v>
      </c>
      <c r="E1606">
        <v>168000</v>
      </c>
      <c r="F1606">
        <v>6250</v>
      </c>
      <c r="G1606">
        <v>1</v>
      </c>
      <c r="H1606">
        <v>0</v>
      </c>
      <c r="I1606">
        <v>0</v>
      </c>
      <c r="J1606">
        <v>25</v>
      </c>
      <c r="K1606">
        <v>1</v>
      </c>
      <c r="L1606">
        <f>Résultats!G$32+Résultats!G$33*Données!C1606+Résultats!G$34*Données!D1606+Résultats!G$35*Données!E1606+Résultats!G$36*Données!F1606+Résultats!G$37*Données!G1606+Résultats!G$38*Données!H1606+Résultats!G$39*Données!I1606</f>
        <v>134341.00791902861</v>
      </c>
      <c r="M1606">
        <f t="shared" si="100"/>
        <v>-4341.0079190286051</v>
      </c>
      <c r="Q1606">
        <v>188000</v>
      </c>
      <c r="R1606">
        <v>1</v>
      </c>
      <c r="S1606">
        <v>36</v>
      </c>
      <c r="T1606">
        <v>0</v>
      </c>
      <c r="U1606">
        <f t="shared" si="101"/>
        <v>12.250089530946948</v>
      </c>
      <c r="V1606">
        <f t="shared" si="102"/>
        <v>7.8156105320351905</v>
      </c>
      <c r="W1606">
        <v>1</v>
      </c>
      <c r="X1606">
        <v>0</v>
      </c>
      <c r="Y1606">
        <v>1</v>
      </c>
      <c r="Z1606">
        <f>'Résultat (Ln)'!F$30+'Résultat (Ln)'!F$31*Données!S1606+'Résultat (Ln)'!F$32*Données!T1606+'Résultat (Ln)'!F$33*Données!U1606+'Résultat (Ln)'!F$34*Données!V1606+'Résultat (Ln)'!F$35*Données!W1606+'Résultat (Ln)'!F$36*Données!X1606+'Résultat (Ln)'!F$37*Données!Y1606</f>
        <v>165114.69053822046</v>
      </c>
      <c r="AA1606">
        <f t="shared" si="103"/>
        <v>22885.309461779543</v>
      </c>
    </row>
    <row r="1607" spans="1:27" x14ac:dyDescent="0.25">
      <c r="A1607">
        <v>80000</v>
      </c>
      <c r="B1607">
        <v>1</v>
      </c>
      <c r="C1607">
        <v>38.700000762939453</v>
      </c>
      <c r="D1607">
        <v>0</v>
      </c>
      <c r="E1607">
        <v>115599.99847412109</v>
      </c>
      <c r="F1607">
        <v>2272</v>
      </c>
      <c r="G1607">
        <v>0</v>
      </c>
      <c r="H1607">
        <v>0</v>
      </c>
      <c r="I1607">
        <v>0</v>
      </c>
      <c r="J1607">
        <v>21.39999961853027</v>
      </c>
      <c r="K1607">
        <v>1</v>
      </c>
      <c r="L1607">
        <f>Résultats!G$32+Résultats!G$33*Données!C1607+Résultats!G$34*Données!D1607+Résultats!G$35*Données!E1607+Résultats!G$36*Données!F1607+Résultats!G$37*Données!G1607+Résultats!G$38*Données!H1607+Résultats!G$39*Données!I1607</f>
        <v>99397.600585145425</v>
      </c>
      <c r="M1607">
        <f t="shared" si="100"/>
        <v>-19397.600585145425</v>
      </c>
      <c r="Q1607">
        <v>130000</v>
      </c>
      <c r="R1607">
        <v>1</v>
      </c>
      <c r="S1607">
        <v>35</v>
      </c>
      <c r="T1607">
        <v>0</v>
      </c>
      <c r="U1607">
        <f t="shared" si="101"/>
        <v>12.031719258385396</v>
      </c>
      <c r="V1607">
        <f t="shared" si="102"/>
        <v>8.740336742730447</v>
      </c>
      <c r="W1607">
        <v>1</v>
      </c>
      <c r="X1607">
        <v>0</v>
      </c>
      <c r="Y1607">
        <v>0</v>
      </c>
      <c r="Z1607">
        <f>'Résultat (Ln)'!F$30+'Résultat (Ln)'!F$31*Données!S1607+'Résultat (Ln)'!F$32*Données!T1607+'Résultat (Ln)'!F$33*Données!U1607+'Résultat (Ln)'!F$34*Données!V1607+'Résultat (Ln)'!F$35*Données!W1607+'Résultat (Ln)'!F$36*Données!X1607+'Résultat (Ln)'!F$37*Données!Y1607</f>
        <v>152332.0733770497</v>
      </c>
      <c r="AA1607">
        <f t="shared" si="103"/>
        <v>-22332.073377049703</v>
      </c>
    </row>
    <row r="1608" spans="1:27" x14ac:dyDescent="0.25">
      <c r="A1608">
        <v>116000</v>
      </c>
      <c r="B1608">
        <v>1</v>
      </c>
      <c r="C1608">
        <v>31</v>
      </c>
      <c r="D1608">
        <v>0</v>
      </c>
      <c r="E1608">
        <v>116000</v>
      </c>
      <c r="F1608">
        <v>4333</v>
      </c>
      <c r="G1608">
        <v>0</v>
      </c>
      <c r="H1608">
        <v>0</v>
      </c>
      <c r="I1608">
        <v>0</v>
      </c>
      <c r="J1608">
        <v>27</v>
      </c>
      <c r="K1608">
        <v>1</v>
      </c>
      <c r="L1608">
        <f>Résultats!G$32+Résultats!G$33*Données!C1608+Résultats!G$34*Données!D1608+Résultats!G$35*Données!E1608+Résultats!G$36*Données!F1608+Résultats!G$37*Données!G1608+Résultats!G$38*Données!H1608+Résultats!G$39*Données!I1608</f>
        <v>94733.399570378868</v>
      </c>
      <c r="M1608">
        <f t="shared" si="100"/>
        <v>21266.600429621132</v>
      </c>
      <c r="Q1608">
        <v>80000</v>
      </c>
      <c r="R1608">
        <v>1</v>
      </c>
      <c r="S1608">
        <v>38.700000762939453</v>
      </c>
      <c r="T1608">
        <v>0</v>
      </c>
      <c r="U1608">
        <f t="shared" si="101"/>
        <v>11.657891222020769</v>
      </c>
      <c r="V1608">
        <f t="shared" si="102"/>
        <v>7.7284157798410416</v>
      </c>
      <c r="W1608">
        <v>0</v>
      </c>
      <c r="X1608">
        <v>0</v>
      </c>
      <c r="Y1608">
        <v>0</v>
      </c>
      <c r="Z1608">
        <f>'Résultat (Ln)'!F$30+'Résultat (Ln)'!F$31*Données!S1608+'Résultat (Ln)'!F$32*Données!T1608+'Résultat (Ln)'!F$33*Données!U1608+'Résultat (Ln)'!F$34*Données!V1608+'Résultat (Ln)'!F$35*Données!W1608+'Résultat (Ln)'!F$36*Données!X1608+'Résultat (Ln)'!F$37*Données!Y1608</f>
        <v>83886.761204231239</v>
      </c>
      <c r="AA1608">
        <f t="shared" si="103"/>
        <v>-3886.7612042312394</v>
      </c>
    </row>
    <row r="1609" spans="1:27" x14ac:dyDescent="0.25">
      <c r="A1609">
        <v>83000</v>
      </c>
      <c r="B1609">
        <v>1</v>
      </c>
      <c r="C1609">
        <v>36</v>
      </c>
      <c r="D1609">
        <v>0</v>
      </c>
      <c r="E1609">
        <v>110000</v>
      </c>
      <c r="F1609">
        <v>3808</v>
      </c>
      <c r="G1609">
        <v>0</v>
      </c>
      <c r="H1609">
        <v>0</v>
      </c>
      <c r="I1609">
        <v>0</v>
      </c>
      <c r="J1609">
        <v>23</v>
      </c>
      <c r="K1609">
        <v>1</v>
      </c>
      <c r="L1609">
        <f>Résultats!G$32+Résultats!G$33*Données!C1609+Résultats!G$34*Données!D1609+Résultats!G$35*Données!E1609+Résultats!G$36*Données!F1609+Résultats!G$37*Données!G1609+Résultats!G$38*Données!H1609+Résultats!G$39*Données!I1609</f>
        <v>96657.693486910022</v>
      </c>
      <c r="M1609">
        <f t="shared" si="100"/>
        <v>-13657.693486910022</v>
      </c>
      <c r="Q1609">
        <v>116000</v>
      </c>
      <c r="R1609">
        <v>1</v>
      </c>
      <c r="S1609">
        <v>31</v>
      </c>
      <c r="T1609">
        <v>0</v>
      </c>
      <c r="U1609">
        <f t="shared" si="101"/>
        <v>11.661345470088502</v>
      </c>
      <c r="V1609">
        <f t="shared" si="102"/>
        <v>8.3740154217399088</v>
      </c>
      <c r="W1609">
        <v>0</v>
      </c>
      <c r="X1609">
        <v>0</v>
      </c>
      <c r="Y1609">
        <v>0</v>
      </c>
      <c r="Z1609">
        <f>'Résultat (Ln)'!F$30+'Résultat (Ln)'!F$31*Données!S1609+'Résultat (Ln)'!F$32*Données!T1609+'Résultat (Ln)'!F$33*Données!U1609+'Résultat (Ln)'!F$34*Données!V1609+'Résultat (Ln)'!F$35*Données!W1609+'Résultat (Ln)'!F$36*Données!X1609+'Résultat (Ln)'!F$37*Données!Y1609</f>
        <v>92953.67872665904</v>
      </c>
      <c r="AA1609">
        <f t="shared" si="103"/>
        <v>23046.32127334096</v>
      </c>
    </row>
    <row r="1610" spans="1:27" x14ac:dyDescent="0.25">
      <c r="A1610">
        <v>122000</v>
      </c>
      <c r="B1610">
        <v>1</v>
      </c>
      <c r="C1610">
        <v>30</v>
      </c>
      <c r="D1610">
        <v>0</v>
      </c>
      <c r="E1610">
        <v>135000</v>
      </c>
      <c r="F1610">
        <v>1792</v>
      </c>
      <c r="G1610">
        <v>1</v>
      </c>
      <c r="H1610">
        <v>0</v>
      </c>
      <c r="I1610">
        <v>0</v>
      </c>
      <c r="J1610">
        <v>26.5</v>
      </c>
      <c r="K1610">
        <v>1</v>
      </c>
      <c r="L1610">
        <f>Résultats!G$32+Résultats!G$33*Données!C1610+Résultats!G$34*Données!D1610+Résultats!G$35*Données!E1610+Résultats!G$36*Données!F1610+Résultats!G$37*Données!G1610+Résultats!G$38*Données!H1610+Résultats!G$39*Données!I1610</f>
        <v>104549.54208070402</v>
      </c>
      <c r="M1610">
        <f t="shared" si="100"/>
        <v>17450.457919295979</v>
      </c>
      <c r="Q1610">
        <v>83000</v>
      </c>
      <c r="R1610">
        <v>1</v>
      </c>
      <c r="S1610">
        <v>36</v>
      </c>
      <c r="T1610">
        <v>0</v>
      </c>
      <c r="U1610">
        <f t="shared" si="101"/>
        <v>11.608235644774552</v>
      </c>
      <c r="V1610">
        <f t="shared" si="102"/>
        <v>8.2448593959112557</v>
      </c>
      <c r="W1610">
        <v>0</v>
      </c>
      <c r="X1610">
        <v>0</v>
      </c>
      <c r="Y1610">
        <v>0</v>
      </c>
      <c r="Z1610">
        <f>'Résultat (Ln)'!F$30+'Résultat (Ln)'!F$31*Données!S1610+'Résultat (Ln)'!F$32*Données!T1610+'Résultat (Ln)'!F$33*Données!U1610+'Résultat (Ln)'!F$34*Données!V1610+'Résultat (Ln)'!F$35*Données!W1610+'Résultat (Ln)'!F$36*Données!X1610+'Résultat (Ln)'!F$37*Données!Y1610</f>
        <v>89748.462618863443</v>
      </c>
      <c r="AA1610">
        <f t="shared" si="103"/>
        <v>-6748.4626188634429</v>
      </c>
    </row>
    <row r="1611" spans="1:27" x14ac:dyDescent="0.25">
      <c r="A1611">
        <v>99000</v>
      </c>
      <c r="B1611">
        <v>1</v>
      </c>
      <c r="C1611">
        <v>36</v>
      </c>
      <c r="D1611">
        <v>0</v>
      </c>
      <c r="E1611">
        <v>110000</v>
      </c>
      <c r="F1611">
        <v>1829</v>
      </c>
      <c r="G1611">
        <v>0</v>
      </c>
      <c r="H1611">
        <v>1</v>
      </c>
      <c r="I1611">
        <v>0</v>
      </c>
      <c r="J1611">
        <v>20</v>
      </c>
      <c r="K1611">
        <v>1</v>
      </c>
      <c r="L1611">
        <f>Résultats!G$32+Résultats!G$33*Données!C1611+Résultats!G$34*Données!D1611+Résultats!G$35*Données!E1611+Résultats!G$36*Données!F1611+Résultats!G$37*Données!G1611+Résultats!G$38*Données!H1611+Résultats!G$39*Données!I1611</f>
        <v>91197.535810901885</v>
      </c>
      <c r="M1611">
        <f t="shared" si="100"/>
        <v>7802.4641890981147</v>
      </c>
      <c r="Q1611">
        <v>122000</v>
      </c>
      <c r="R1611">
        <v>1</v>
      </c>
      <c r="S1611">
        <v>30</v>
      </c>
      <c r="T1611">
        <v>0</v>
      </c>
      <c r="U1611">
        <f t="shared" si="101"/>
        <v>11.813030057420567</v>
      </c>
      <c r="V1611">
        <f t="shared" si="102"/>
        <v>7.4910875935348757</v>
      </c>
      <c r="W1611">
        <v>1</v>
      </c>
      <c r="X1611">
        <v>0</v>
      </c>
      <c r="Y1611">
        <v>0</v>
      </c>
      <c r="Z1611">
        <f>'Résultat (Ln)'!F$30+'Résultat (Ln)'!F$31*Données!S1611+'Résultat (Ln)'!F$32*Données!T1611+'Résultat (Ln)'!F$33*Données!U1611+'Résultat (Ln)'!F$34*Données!V1611+'Résultat (Ln)'!F$35*Données!W1611+'Résultat (Ln)'!F$36*Données!X1611+'Résultat (Ln)'!F$37*Données!Y1611</f>
        <v>87743.172872061099</v>
      </c>
      <c r="AA1611">
        <f t="shared" si="103"/>
        <v>34256.827127938901</v>
      </c>
    </row>
    <row r="1612" spans="1:27" x14ac:dyDescent="0.25">
      <c r="A1612">
        <v>185000</v>
      </c>
      <c r="B1612">
        <v>1</v>
      </c>
      <c r="C1612">
        <v>36.799999237060547</v>
      </c>
      <c r="D1612">
        <v>0</v>
      </c>
      <c r="E1612">
        <v>72400.001525878906</v>
      </c>
      <c r="F1612">
        <v>2766</v>
      </c>
      <c r="G1612">
        <v>1</v>
      </c>
      <c r="H1612">
        <v>0</v>
      </c>
      <c r="I1612">
        <v>0</v>
      </c>
      <c r="J1612">
        <v>26.60000038146973</v>
      </c>
      <c r="K1612">
        <v>0</v>
      </c>
      <c r="L1612">
        <f>Résultats!G$32+Résultats!G$33*Données!C1612+Résultats!G$34*Données!D1612+Résultats!G$35*Données!E1612+Résultats!G$36*Données!F1612+Résultats!G$37*Données!G1612+Résultats!G$38*Données!H1612+Résultats!G$39*Données!I1612</f>
        <v>85016.630770192947</v>
      </c>
      <c r="M1612">
        <f t="shared" si="100"/>
        <v>99983.369229807053</v>
      </c>
      <c r="Q1612">
        <v>99000</v>
      </c>
      <c r="R1612">
        <v>1</v>
      </c>
      <c r="S1612">
        <v>36</v>
      </c>
      <c r="T1612">
        <v>0</v>
      </c>
      <c r="U1612">
        <f t="shared" si="101"/>
        <v>11.608235644774552</v>
      </c>
      <c r="V1612">
        <f t="shared" si="102"/>
        <v>7.511524648390866</v>
      </c>
      <c r="W1612">
        <v>0</v>
      </c>
      <c r="X1612">
        <v>1</v>
      </c>
      <c r="Y1612">
        <v>0</v>
      </c>
      <c r="Z1612">
        <f>'Résultat (Ln)'!F$30+'Résultat (Ln)'!F$31*Données!S1612+'Résultat (Ln)'!F$32*Données!T1612+'Résultat (Ln)'!F$33*Données!U1612+'Résultat (Ln)'!F$34*Données!V1612+'Résultat (Ln)'!F$35*Données!W1612+'Résultat (Ln)'!F$36*Données!X1612+'Résultat (Ln)'!F$37*Données!Y1612</f>
        <v>69003.969103711701</v>
      </c>
      <c r="AA1612">
        <f t="shared" si="103"/>
        <v>29996.030896288299</v>
      </c>
    </row>
    <row r="1613" spans="1:27" x14ac:dyDescent="0.25">
      <c r="A1613">
        <v>40000</v>
      </c>
      <c r="B1613">
        <v>1</v>
      </c>
      <c r="C1613">
        <v>10.60000038146973</v>
      </c>
      <c r="D1613">
        <v>0</v>
      </c>
      <c r="E1613">
        <v>65000</v>
      </c>
      <c r="F1613">
        <v>13262</v>
      </c>
      <c r="G1613">
        <v>0</v>
      </c>
      <c r="H1613">
        <v>0</v>
      </c>
      <c r="I1613">
        <v>0</v>
      </c>
      <c r="J1613">
        <v>2.7999999523162842</v>
      </c>
      <c r="K1613">
        <v>0</v>
      </c>
      <c r="L1613">
        <f>Résultats!G$32+Résultats!G$33*Données!C1613+Résultats!G$34*Données!D1613+Résultats!G$35*Données!E1613+Résultats!G$36*Données!F1613+Résultats!G$37*Données!G1613+Résultats!G$38*Données!H1613+Résultats!G$39*Données!I1613</f>
        <v>64788.410961090194</v>
      </c>
      <c r="M1613">
        <f t="shared" si="100"/>
        <v>-24788.410961090194</v>
      </c>
      <c r="Q1613">
        <v>185000</v>
      </c>
      <c r="R1613">
        <v>1</v>
      </c>
      <c r="S1613">
        <v>36.799999237060547</v>
      </c>
      <c r="T1613">
        <v>0</v>
      </c>
      <c r="U1613">
        <f t="shared" si="101"/>
        <v>11.189961599449482</v>
      </c>
      <c r="V1613">
        <f t="shared" si="102"/>
        <v>7.9251575122247031</v>
      </c>
      <c r="W1613">
        <v>1</v>
      </c>
      <c r="X1613">
        <v>0</v>
      </c>
      <c r="Y1613">
        <v>0</v>
      </c>
      <c r="Z1613">
        <f>'Résultat (Ln)'!F$30+'Résultat (Ln)'!F$31*Données!S1613+'Résultat (Ln)'!F$32*Données!T1613+'Résultat (Ln)'!F$33*Données!U1613+'Résultat (Ln)'!F$34*Données!V1613+'Résultat (Ln)'!F$35*Données!W1613+'Résultat (Ln)'!F$36*Données!X1613+'Résultat (Ln)'!F$37*Données!Y1613</f>
        <v>41436.709317472145</v>
      </c>
      <c r="AA1613">
        <f t="shared" si="103"/>
        <v>143563.29068252785</v>
      </c>
    </row>
    <row r="1614" spans="1:27" x14ac:dyDescent="0.25">
      <c r="A1614">
        <v>117000</v>
      </c>
      <c r="B1614">
        <v>1</v>
      </c>
      <c r="C1614">
        <v>38</v>
      </c>
      <c r="D1614">
        <v>0</v>
      </c>
      <c r="E1614">
        <v>146000</v>
      </c>
      <c r="F1614">
        <v>3729</v>
      </c>
      <c r="G1614">
        <v>1</v>
      </c>
      <c r="H1614">
        <v>0</v>
      </c>
      <c r="I1614">
        <v>0</v>
      </c>
      <c r="J1614">
        <v>29</v>
      </c>
      <c r="K1614">
        <v>0</v>
      </c>
      <c r="L1614">
        <f>Résultats!G$32+Résultats!G$33*Données!C1614+Résultats!G$34*Données!D1614+Résultats!G$35*Données!E1614+Résultats!G$36*Données!F1614+Résultats!G$37*Données!G1614+Résultats!G$38*Données!H1614+Résultats!G$39*Données!I1614</f>
        <v>122628.88519651373</v>
      </c>
      <c r="M1614">
        <f t="shared" si="100"/>
        <v>-5628.8851965137292</v>
      </c>
      <c r="Q1614">
        <v>40000</v>
      </c>
      <c r="R1614">
        <v>1</v>
      </c>
      <c r="S1614">
        <v>10.60000038146973</v>
      </c>
      <c r="T1614">
        <v>0</v>
      </c>
      <c r="U1614">
        <f t="shared" si="101"/>
        <v>11.082142548877775</v>
      </c>
      <c r="V1614">
        <f t="shared" si="102"/>
        <v>9.4926580819288127</v>
      </c>
      <c r="W1614">
        <v>0</v>
      </c>
      <c r="X1614">
        <v>0</v>
      </c>
      <c r="Y1614">
        <v>0</v>
      </c>
      <c r="Z1614">
        <f>'Résultat (Ln)'!F$30+'Résultat (Ln)'!F$31*Données!S1614+'Résultat (Ln)'!F$32*Données!T1614+'Résultat (Ln)'!F$33*Données!U1614+'Résultat (Ln)'!F$34*Données!V1614+'Résultat (Ln)'!F$35*Données!W1614+'Résultat (Ln)'!F$36*Données!X1614+'Résultat (Ln)'!F$37*Données!Y1614</f>
        <v>37309.278579574544</v>
      </c>
      <c r="AA1614">
        <f t="shared" si="103"/>
        <v>2690.721420425456</v>
      </c>
    </row>
    <row r="1615" spans="1:27" x14ac:dyDescent="0.25">
      <c r="A1615">
        <v>160000</v>
      </c>
      <c r="B1615">
        <v>1</v>
      </c>
      <c r="C1615">
        <v>21.89999961853027</v>
      </c>
      <c r="D1615">
        <v>0</v>
      </c>
      <c r="E1615">
        <v>201000</v>
      </c>
      <c r="F1615">
        <v>8750</v>
      </c>
      <c r="G1615">
        <v>1</v>
      </c>
      <c r="H1615">
        <v>0</v>
      </c>
      <c r="I1615">
        <v>0</v>
      </c>
      <c r="J1615">
        <v>19.70000076293945</v>
      </c>
      <c r="K1615">
        <v>1</v>
      </c>
      <c r="L1615">
        <f>Résultats!G$32+Résultats!G$33*Données!C1615+Résultats!G$34*Données!D1615+Résultats!G$35*Données!E1615+Résultats!G$36*Données!F1615+Résultats!G$37*Données!G1615+Résultats!G$38*Données!H1615+Résultats!G$39*Données!I1615</f>
        <v>139547.35179498931</v>
      </c>
      <c r="M1615">
        <f t="shared" si="100"/>
        <v>20452.648205010686</v>
      </c>
      <c r="Q1615">
        <v>117000</v>
      </c>
      <c r="R1615">
        <v>1</v>
      </c>
      <c r="S1615">
        <v>38</v>
      </c>
      <c r="T1615">
        <v>0</v>
      </c>
      <c r="U1615">
        <f t="shared" si="101"/>
        <v>11.891361900690473</v>
      </c>
      <c r="V1615">
        <f t="shared" si="102"/>
        <v>8.2238953801788206</v>
      </c>
      <c r="W1615">
        <v>1</v>
      </c>
      <c r="X1615">
        <v>0</v>
      </c>
      <c r="Y1615">
        <v>0</v>
      </c>
      <c r="Z1615">
        <f>'Résultat (Ln)'!F$30+'Résultat (Ln)'!F$31*Données!S1615+'Résultat (Ln)'!F$32*Données!T1615+'Résultat (Ln)'!F$33*Données!U1615+'Résultat (Ln)'!F$34*Données!V1615+'Résultat (Ln)'!F$35*Données!W1615+'Résultat (Ln)'!F$36*Données!X1615+'Résultat (Ln)'!F$37*Données!Y1615</f>
        <v>126468.50234051114</v>
      </c>
      <c r="AA1615">
        <f t="shared" si="103"/>
        <v>-9468.5023405111424</v>
      </c>
    </row>
    <row r="1616" spans="1:27" x14ac:dyDescent="0.25">
      <c r="A1616">
        <v>100000</v>
      </c>
      <c r="B1616">
        <v>1</v>
      </c>
      <c r="C1616">
        <v>45</v>
      </c>
      <c r="D1616">
        <v>0</v>
      </c>
      <c r="E1616">
        <v>150000</v>
      </c>
      <c r="F1616">
        <v>3598</v>
      </c>
      <c r="G1616">
        <v>0</v>
      </c>
      <c r="H1616">
        <v>0</v>
      </c>
      <c r="I1616">
        <v>0</v>
      </c>
      <c r="J1616">
        <v>21</v>
      </c>
      <c r="K1616">
        <v>1</v>
      </c>
      <c r="L1616">
        <f>Résultats!G$32+Résultats!G$33*Données!C1616+Résultats!G$34*Données!D1616+Résultats!G$35*Données!E1616+Résultats!G$36*Données!F1616+Résultats!G$37*Données!G1616+Résultats!G$38*Données!H1616+Résultats!G$39*Données!I1616</f>
        <v>125266.92229906569</v>
      </c>
      <c r="M1616">
        <f t="shared" si="100"/>
        <v>-25266.922299065685</v>
      </c>
      <c r="Q1616">
        <v>160000</v>
      </c>
      <c r="R1616">
        <v>1</v>
      </c>
      <c r="S1616">
        <v>21.89999961853027</v>
      </c>
      <c r="T1616">
        <v>0</v>
      </c>
      <c r="U1616">
        <f t="shared" si="101"/>
        <v>12.211060187041213</v>
      </c>
      <c r="V1616">
        <f t="shared" si="102"/>
        <v>9.0768089793516609</v>
      </c>
      <c r="W1616">
        <v>1</v>
      </c>
      <c r="X1616">
        <v>0</v>
      </c>
      <c r="Y1616">
        <v>0</v>
      </c>
      <c r="Z1616">
        <f>'Résultat (Ln)'!F$30+'Résultat (Ln)'!F$31*Données!S1616+'Résultat (Ln)'!F$32*Données!T1616+'Résultat (Ln)'!F$33*Données!U1616+'Résultat (Ln)'!F$34*Données!V1616+'Résultat (Ln)'!F$35*Données!W1616+'Résultat (Ln)'!F$36*Données!X1616+'Résultat (Ln)'!F$37*Données!Y1616</f>
        <v>164984.51929345628</v>
      </c>
      <c r="AA1616">
        <f t="shared" si="103"/>
        <v>-4984.5192934562801</v>
      </c>
    </row>
    <row r="1617" spans="1:27" x14ac:dyDescent="0.25">
      <c r="A1617">
        <v>133000</v>
      </c>
      <c r="B1617">
        <v>1</v>
      </c>
      <c r="C1617">
        <v>19</v>
      </c>
      <c r="D1617">
        <v>0</v>
      </c>
      <c r="E1617">
        <v>179000</v>
      </c>
      <c r="F1617">
        <v>3300</v>
      </c>
      <c r="G1617">
        <v>1</v>
      </c>
      <c r="H1617">
        <v>0</v>
      </c>
      <c r="I1617">
        <v>0</v>
      </c>
      <c r="J1617">
        <v>18</v>
      </c>
      <c r="K1617">
        <v>1</v>
      </c>
      <c r="L1617">
        <f>Résultats!G$32+Résultats!G$33*Données!C1617+Résultats!G$34*Données!D1617+Résultats!G$35*Données!E1617+Résultats!G$36*Données!F1617+Résultats!G$37*Données!G1617+Résultats!G$38*Données!H1617+Résultats!G$39*Données!I1617</f>
        <v>115382.29507956402</v>
      </c>
      <c r="M1617">
        <f t="shared" si="100"/>
        <v>17617.704920435979</v>
      </c>
      <c r="Q1617">
        <v>100000</v>
      </c>
      <c r="R1617">
        <v>1</v>
      </c>
      <c r="S1617">
        <v>45</v>
      </c>
      <c r="T1617">
        <v>0</v>
      </c>
      <c r="U1617">
        <f t="shared" si="101"/>
        <v>11.918390573078392</v>
      </c>
      <c r="V1617">
        <f t="shared" si="102"/>
        <v>8.188133414510478</v>
      </c>
      <c r="W1617">
        <v>0</v>
      </c>
      <c r="X1617">
        <v>0</v>
      </c>
      <c r="Y1617">
        <v>0</v>
      </c>
      <c r="Z1617">
        <f>'Résultat (Ln)'!F$30+'Résultat (Ln)'!F$31*Données!S1617+'Résultat (Ln)'!F$32*Données!T1617+'Résultat (Ln)'!F$33*Données!U1617+'Résultat (Ln)'!F$34*Données!V1617+'Résultat (Ln)'!F$35*Données!W1617+'Résultat (Ln)'!F$36*Données!X1617+'Résultat (Ln)'!F$37*Données!Y1617</f>
        <v>132403.13942650691</v>
      </c>
      <c r="AA1617">
        <f t="shared" si="103"/>
        <v>-32403.13942650691</v>
      </c>
    </row>
    <row r="1618" spans="1:27" x14ac:dyDescent="0.25">
      <c r="A1618">
        <v>128000</v>
      </c>
      <c r="B1618">
        <v>1</v>
      </c>
      <c r="C1618">
        <v>32.700000762939453</v>
      </c>
      <c r="D1618">
        <v>0</v>
      </c>
      <c r="E1618">
        <v>171000</v>
      </c>
      <c r="F1618">
        <v>4120</v>
      </c>
      <c r="G1618">
        <v>1</v>
      </c>
      <c r="H1618">
        <v>0</v>
      </c>
      <c r="I1618">
        <v>0</v>
      </c>
      <c r="J1618">
        <v>28.39999961853027</v>
      </c>
      <c r="K1618">
        <v>1</v>
      </c>
      <c r="L1618">
        <f>Résultats!G$32+Résultats!G$33*Données!C1618+Résultats!G$34*Données!D1618+Résultats!G$35*Données!E1618+Résultats!G$36*Données!F1618+Résultats!G$37*Données!G1618+Résultats!G$38*Données!H1618+Résultats!G$39*Données!I1618</f>
        <v>128972.43964038172</v>
      </c>
      <c r="M1618">
        <f t="shared" si="100"/>
        <v>-972.43964038172271</v>
      </c>
      <c r="Q1618">
        <v>133000</v>
      </c>
      <c r="R1618">
        <v>1</v>
      </c>
      <c r="S1618">
        <v>19</v>
      </c>
      <c r="T1618">
        <v>0</v>
      </c>
      <c r="U1618">
        <f t="shared" si="101"/>
        <v>12.095141084822892</v>
      </c>
      <c r="V1618">
        <f t="shared" si="102"/>
        <v>8.1016777474545716</v>
      </c>
      <c r="W1618">
        <v>1</v>
      </c>
      <c r="X1618">
        <v>0</v>
      </c>
      <c r="Y1618">
        <v>0</v>
      </c>
      <c r="Z1618">
        <f>'Résultat (Ln)'!F$30+'Résultat (Ln)'!F$31*Données!S1618+'Résultat (Ln)'!F$32*Données!T1618+'Résultat (Ln)'!F$33*Données!U1618+'Résultat (Ln)'!F$34*Données!V1618+'Résultat (Ln)'!F$35*Données!W1618+'Résultat (Ln)'!F$36*Données!X1618+'Résultat (Ln)'!F$37*Données!Y1618</f>
        <v>121666.25856744747</v>
      </c>
      <c r="AA1618">
        <f t="shared" si="103"/>
        <v>11333.741432552531</v>
      </c>
    </row>
    <row r="1619" spans="1:27" x14ac:dyDescent="0.25">
      <c r="A1619">
        <v>250000</v>
      </c>
      <c r="B1619">
        <v>1</v>
      </c>
      <c r="C1619">
        <v>32.099998474121087</v>
      </c>
      <c r="D1619">
        <v>0</v>
      </c>
      <c r="E1619">
        <v>282000</v>
      </c>
      <c r="F1619">
        <v>6065</v>
      </c>
      <c r="G1619">
        <v>1</v>
      </c>
      <c r="H1619">
        <v>0</v>
      </c>
      <c r="I1619">
        <v>1</v>
      </c>
      <c r="J1619">
        <v>27.969999313354489</v>
      </c>
      <c r="K1619">
        <v>1</v>
      </c>
      <c r="L1619">
        <f>Résultats!G$32+Résultats!G$33*Données!C1619+Résultats!G$34*Données!D1619+Résultats!G$35*Données!E1619+Résultats!G$36*Données!F1619+Résultats!G$37*Données!G1619+Résultats!G$38*Données!H1619+Résultats!G$39*Données!I1619</f>
        <v>193809.50088983795</v>
      </c>
      <c r="M1619">
        <f t="shared" si="100"/>
        <v>56190.499110162054</v>
      </c>
      <c r="Q1619">
        <v>128000</v>
      </c>
      <c r="R1619">
        <v>1</v>
      </c>
      <c r="S1619">
        <v>32.700000762939453</v>
      </c>
      <c r="T1619">
        <v>0</v>
      </c>
      <c r="U1619">
        <f t="shared" si="101"/>
        <v>12.049418835484797</v>
      </c>
      <c r="V1619">
        <f t="shared" si="102"/>
        <v>8.3236084423435717</v>
      </c>
      <c r="W1619">
        <v>1</v>
      </c>
      <c r="X1619">
        <v>0</v>
      </c>
      <c r="Y1619">
        <v>0</v>
      </c>
      <c r="Z1619">
        <f>'Résultat (Ln)'!F$30+'Résultat (Ln)'!F$31*Données!S1619+'Résultat (Ln)'!F$32*Données!T1619+'Résultat (Ln)'!F$33*Données!U1619+'Résultat (Ln)'!F$34*Données!V1619+'Résultat (Ln)'!F$35*Données!W1619+'Résultat (Ln)'!F$36*Données!X1619+'Résultat (Ln)'!F$37*Données!Y1619</f>
        <v>139731.22067060284</v>
      </c>
      <c r="AA1619">
        <f t="shared" si="103"/>
        <v>-11731.220670602837</v>
      </c>
    </row>
    <row r="1620" spans="1:27" x14ac:dyDescent="0.25">
      <c r="A1620">
        <v>66000</v>
      </c>
      <c r="B1620">
        <v>1</v>
      </c>
      <c r="C1620">
        <v>21.89999961853027</v>
      </c>
      <c r="D1620">
        <v>0</v>
      </c>
      <c r="E1620">
        <v>82000</v>
      </c>
      <c r="F1620">
        <v>4205</v>
      </c>
      <c r="G1620">
        <v>0</v>
      </c>
      <c r="H1620">
        <v>0</v>
      </c>
      <c r="I1620">
        <v>0</v>
      </c>
      <c r="J1620">
        <v>21.39999961853027</v>
      </c>
      <c r="K1620">
        <v>1</v>
      </c>
      <c r="L1620">
        <f>Résultats!G$32+Résultats!G$33*Données!C1620+Résultats!G$34*Données!D1620+Résultats!G$35*Données!E1620+Résultats!G$36*Données!F1620+Résultats!G$37*Données!G1620+Résultats!G$38*Données!H1620+Résultats!G$39*Données!I1620</f>
        <v>68156.050764538682</v>
      </c>
      <c r="M1620">
        <f t="shared" si="100"/>
        <v>-2156.0507645386824</v>
      </c>
      <c r="Q1620">
        <v>250000</v>
      </c>
      <c r="R1620">
        <v>1</v>
      </c>
      <c r="S1620">
        <v>32.099998474121087</v>
      </c>
      <c r="T1620">
        <v>0</v>
      </c>
      <c r="U1620">
        <f t="shared" si="101"/>
        <v>12.549662349920251</v>
      </c>
      <c r="V1620">
        <f t="shared" si="102"/>
        <v>8.7102898213781508</v>
      </c>
      <c r="W1620">
        <v>1</v>
      </c>
      <c r="X1620">
        <v>0</v>
      </c>
      <c r="Y1620">
        <v>1</v>
      </c>
      <c r="Z1620">
        <f>'Résultat (Ln)'!F$30+'Résultat (Ln)'!F$31*Données!S1620+'Résultat (Ln)'!F$32*Données!T1620+'Résultat (Ln)'!F$33*Données!U1620+'Résultat (Ln)'!F$34*Données!V1620+'Résultat (Ln)'!F$35*Données!W1620+'Résultat (Ln)'!F$36*Données!X1620+'Résultat (Ln)'!F$37*Données!Y1620</f>
        <v>217553.59694218132</v>
      </c>
      <c r="AA1620">
        <f t="shared" si="103"/>
        <v>32446.403057818679</v>
      </c>
    </row>
    <row r="1621" spans="1:27" x14ac:dyDescent="0.25">
      <c r="A1621">
        <v>110000</v>
      </c>
      <c r="B1621">
        <v>1</v>
      </c>
      <c r="C1621">
        <v>38</v>
      </c>
      <c r="D1621">
        <v>0</v>
      </c>
      <c r="E1621">
        <v>142000</v>
      </c>
      <c r="F1621">
        <v>3189</v>
      </c>
      <c r="G1621">
        <v>1</v>
      </c>
      <c r="H1621">
        <v>0</v>
      </c>
      <c r="I1621">
        <v>0</v>
      </c>
      <c r="J1621">
        <v>30</v>
      </c>
      <c r="K1621">
        <v>1</v>
      </c>
      <c r="L1621">
        <f>Résultats!G$32+Résultats!G$33*Données!C1621+Résultats!G$34*Données!D1621+Résultats!G$35*Données!E1621+Résultats!G$36*Données!F1621+Résultats!G$37*Données!G1621+Résultats!G$38*Données!H1621+Résultats!G$39*Données!I1621</f>
        <v>119714.6669443151</v>
      </c>
      <c r="M1621">
        <f t="shared" si="100"/>
        <v>-9714.666944315104</v>
      </c>
      <c r="Q1621">
        <v>66000</v>
      </c>
      <c r="R1621">
        <v>1</v>
      </c>
      <c r="S1621">
        <v>21.89999961853027</v>
      </c>
      <c r="T1621">
        <v>0</v>
      </c>
      <c r="U1621">
        <f t="shared" si="101"/>
        <v>11.314474526246391</v>
      </c>
      <c r="V1621">
        <f t="shared" si="102"/>
        <v>8.3440295724070488</v>
      </c>
      <c r="W1621">
        <v>0</v>
      </c>
      <c r="X1621">
        <v>0</v>
      </c>
      <c r="Y1621">
        <v>0</v>
      </c>
      <c r="Z1621">
        <f>'Résultat (Ln)'!F$30+'Résultat (Ln)'!F$31*Données!S1621+'Résultat (Ln)'!F$32*Données!T1621+'Résultat (Ln)'!F$33*Données!U1621+'Résultat (Ln)'!F$34*Données!V1621+'Résultat (Ln)'!F$35*Données!W1621+'Résultat (Ln)'!F$36*Données!X1621+'Résultat (Ln)'!F$37*Données!Y1621</f>
        <v>43809.101229520369</v>
      </c>
      <c r="AA1621">
        <f t="shared" si="103"/>
        <v>22190.898770479631</v>
      </c>
    </row>
    <row r="1622" spans="1:27" x14ac:dyDescent="0.25">
      <c r="A1622">
        <v>148000</v>
      </c>
      <c r="B1622">
        <v>1</v>
      </c>
      <c r="C1622">
        <v>31</v>
      </c>
      <c r="D1622">
        <v>0</v>
      </c>
      <c r="E1622">
        <v>195000</v>
      </c>
      <c r="F1622">
        <v>3283</v>
      </c>
      <c r="G1622">
        <v>1</v>
      </c>
      <c r="H1622">
        <v>0</v>
      </c>
      <c r="I1622">
        <v>0</v>
      </c>
      <c r="J1622">
        <v>29</v>
      </c>
      <c r="K1622">
        <v>1</v>
      </c>
      <c r="L1622">
        <f>Résultats!G$32+Résultats!G$33*Données!C1622+Résultats!G$34*Données!D1622+Résultats!G$35*Données!E1622+Résultats!G$36*Données!F1622+Résultats!G$37*Données!G1622+Résultats!G$38*Données!H1622+Résultats!G$39*Données!I1622</f>
        <v>136604.64954252087</v>
      </c>
      <c r="M1622">
        <f t="shared" si="100"/>
        <v>11395.35045747913</v>
      </c>
      <c r="Q1622">
        <v>110000</v>
      </c>
      <c r="R1622">
        <v>1</v>
      </c>
      <c r="S1622">
        <v>38</v>
      </c>
      <c r="T1622">
        <v>0</v>
      </c>
      <c r="U1622">
        <f t="shared" si="101"/>
        <v>11.863582336583399</v>
      </c>
      <c r="V1622">
        <f t="shared" si="102"/>
        <v>8.0674626670100569</v>
      </c>
      <c r="W1622">
        <v>1</v>
      </c>
      <c r="X1622">
        <v>0</v>
      </c>
      <c r="Y1622">
        <v>0</v>
      </c>
      <c r="Z1622">
        <f>'Résultat (Ln)'!F$30+'Résultat (Ln)'!F$31*Données!S1622+'Résultat (Ln)'!F$32*Données!T1622+'Résultat (Ln)'!F$33*Données!U1622+'Résultat (Ln)'!F$34*Données!V1622+'Résultat (Ln)'!F$35*Données!W1622+'Résultat (Ln)'!F$36*Données!X1622+'Résultat (Ln)'!F$37*Données!Y1622</f>
        <v>119103.37675843797</v>
      </c>
      <c r="AA1622">
        <f t="shared" si="103"/>
        <v>-9103.3767584379675</v>
      </c>
    </row>
    <row r="1623" spans="1:27" x14ac:dyDescent="0.25">
      <c r="A1623">
        <v>75000</v>
      </c>
      <c r="B1623">
        <v>1</v>
      </c>
      <c r="C1623">
        <v>37</v>
      </c>
      <c r="D1623">
        <v>0</v>
      </c>
      <c r="E1623">
        <v>220000</v>
      </c>
      <c r="F1623">
        <v>7500</v>
      </c>
      <c r="G1623">
        <v>1</v>
      </c>
      <c r="H1623">
        <v>0</v>
      </c>
      <c r="I1623">
        <v>1</v>
      </c>
      <c r="J1623">
        <v>11</v>
      </c>
      <c r="K1623">
        <v>1</v>
      </c>
      <c r="L1623">
        <f>Résultats!G$32+Résultats!G$33*Données!C1623+Résultats!G$34*Données!D1623+Résultats!G$35*Données!E1623+Résultats!G$36*Données!F1623+Résultats!G$37*Données!G1623+Résultats!G$38*Données!H1623+Résultats!G$39*Données!I1623</f>
        <v>173267.60971240388</v>
      </c>
      <c r="M1623">
        <f t="shared" si="100"/>
        <v>-98267.609712403879</v>
      </c>
      <c r="Q1623">
        <v>148000</v>
      </c>
      <c r="R1623">
        <v>1</v>
      </c>
      <c r="S1623">
        <v>31</v>
      </c>
      <c r="T1623">
        <v>0</v>
      </c>
      <c r="U1623">
        <f t="shared" si="101"/>
        <v>12.180754837545884</v>
      </c>
      <c r="V1623">
        <f t="shared" si="102"/>
        <v>8.0965129175015935</v>
      </c>
      <c r="W1623">
        <v>1</v>
      </c>
      <c r="X1623">
        <v>0</v>
      </c>
      <c r="Y1623">
        <v>0</v>
      </c>
      <c r="Z1623">
        <f>'Résultat (Ln)'!F$30+'Résultat (Ln)'!F$31*Données!S1623+'Résultat (Ln)'!F$32*Données!T1623+'Résultat (Ln)'!F$33*Données!U1623+'Résultat (Ln)'!F$34*Données!V1623+'Résultat (Ln)'!F$35*Données!W1623+'Résultat (Ln)'!F$36*Données!X1623+'Résultat (Ln)'!F$37*Données!Y1623</f>
        <v>145363.3131639616</v>
      </c>
      <c r="AA1623">
        <f t="shared" si="103"/>
        <v>2636.686836038396</v>
      </c>
    </row>
    <row r="1624" spans="1:27" x14ac:dyDescent="0.25">
      <c r="A1624">
        <v>107000</v>
      </c>
      <c r="B1624">
        <v>1</v>
      </c>
      <c r="C1624">
        <v>36</v>
      </c>
      <c r="D1624">
        <v>0</v>
      </c>
      <c r="E1624">
        <v>134000</v>
      </c>
      <c r="F1624">
        <v>1257</v>
      </c>
      <c r="G1624">
        <v>1</v>
      </c>
      <c r="H1624">
        <v>1</v>
      </c>
      <c r="I1624">
        <v>0</v>
      </c>
      <c r="J1624">
        <v>24</v>
      </c>
      <c r="K1624">
        <v>1</v>
      </c>
      <c r="L1624">
        <f>Résultats!G$32+Résultats!G$33*Données!C1624+Résultats!G$34*Données!D1624+Résultats!G$35*Données!E1624+Résultats!G$36*Données!F1624+Résultats!G$37*Données!G1624+Résultats!G$38*Données!H1624+Résultats!G$39*Données!I1624</f>
        <v>108312.61836688107</v>
      </c>
      <c r="M1624">
        <f t="shared" si="100"/>
        <v>-1312.61836688107</v>
      </c>
      <c r="Q1624">
        <v>75000</v>
      </c>
      <c r="R1624">
        <v>1</v>
      </c>
      <c r="S1624">
        <v>37</v>
      </c>
      <c r="T1624">
        <v>0</v>
      </c>
      <c r="U1624">
        <f t="shared" si="101"/>
        <v>12.301382825334498</v>
      </c>
      <c r="V1624">
        <f t="shared" si="102"/>
        <v>8.9226582995244019</v>
      </c>
      <c r="W1624">
        <v>1</v>
      </c>
      <c r="X1624">
        <v>0</v>
      </c>
      <c r="Y1624">
        <v>1</v>
      </c>
      <c r="Z1624">
        <f>'Résultat (Ln)'!F$30+'Résultat (Ln)'!F$31*Données!S1624+'Résultat (Ln)'!F$32*Données!T1624+'Résultat (Ln)'!F$33*Données!U1624+'Résultat (Ln)'!F$34*Données!V1624+'Résultat (Ln)'!F$35*Données!W1624+'Résultat (Ln)'!F$36*Données!X1624+'Résultat (Ln)'!F$37*Données!Y1624</f>
        <v>202883.17764965401</v>
      </c>
      <c r="AA1624">
        <f t="shared" si="103"/>
        <v>-127883.17764965401</v>
      </c>
    </row>
    <row r="1625" spans="1:27" x14ac:dyDescent="0.25">
      <c r="A1625">
        <v>189000</v>
      </c>
      <c r="B1625">
        <v>1</v>
      </c>
      <c r="C1625">
        <v>34</v>
      </c>
      <c r="D1625">
        <v>1</v>
      </c>
      <c r="E1625">
        <v>210000</v>
      </c>
      <c r="F1625">
        <v>5449</v>
      </c>
      <c r="G1625">
        <v>1</v>
      </c>
      <c r="H1625">
        <v>0</v>
      </c>
      <c r="I1625">
        <v>1</v>
      </c>
      <c r="J1625">
        <v>33</v>
      </c>
      <c r="K1625">
        <v>1</v>
      </c>
      <c r="L1625">
        <f>Résultats!G$32+Résultats!G$33*Données!C1625+Résultats!G$34*Données!D1625+Résultats!G$35*Données!E1625+Résultats!G$36*Données!F1625+Résultats!G$37*Données!G1625+Résultats!G$38*Données!H1625+Résultats!G$39*Données!I1625</f>
        <v>166025.91271644985</v>
      </c>
      <c r="M1625">
        <f t="shared" si="100"/>
        <v>22974.08728355015</v>
      </c>
      <c r="Q1625">
        <v>107000</v>
      </c>
      <c r="R1625">
        <v>1</v>
      </c>
      <c r="S1625">
        <v>36</v>
      </c>
      <c r="T1625">
        <v>0</v>
      </c>
      <c r="U1625">
        <f t="shared" si="101"/>
        <v>11.805595078933049</v>
      </c>
      <c r="V1625">
        <f t="shared" si="102"/>
        <v>7.1364832085902474</v>
      </c>
      <c r="W1625">
        <v>1</v>
      </c>
      <c r="X1625">
        <v>1</v>
      </c>
      <c r="Y1625">
        <v>0</v>
      </c>
      <c r="Z1625">
        <f>'Résultat (Ln)'!F$30+'Résultat (Ln)'!F$31*Données!S1625+'Résultat (Ln)'!F$32*Données!T1625+'Résultat (Ln)'!F$33*Données!U1625+'Résultat (Ln)'!F$34*Données!V1625+'Résultat (Ln)'!F$35*Données!W1625+'Résultat (Ln)'!F$36*Données!X1625+'Résultat (Ln)'!F$37*Données!Y1625</f>
        <v>84155.721750944795</v>
      </c>
      <c r="AA1625">
        <f t="shared" si="103"/>
        <v>22844.278249055205</v>
      </c>
    </row>
    <row r="1626" spans="1:27" x14ac:dyDescent="0.25">
      <c r="A1626">
        <v>100000</v>
      </c>
      <c r="B1626">
        <v>1</v>
      </c>
      <c r="C1626">
        <v>33</v>
      </c>
      <c r="D1626">
        <v>0</v>
      </c>
      <c r="E1626">
        <v>152000</v>
      </c>
      <c r="F1626">
        <v>3794</v>
      </c>
      <c r="G1626">
        <v>0</v>
      </c>
      <c r="H1626">
        <v>0</v>
      </c>
      <c r="I1626">
        <v>0</v>
      </c>
      <c r="J1626">
        <v>33</v>
      </c>
      <c r="K1626">
        <v>0</v>
      </c>
      <c r="L1626">
        <f>Résultats!G$32+Résultats!G$33*Données!C1626+Résultats!G$34*Données!D1626+Résultats!G$35*Données!E1626+Résultats!G$36*Données!F1626+Résultats!G$37*Données!G1626+Résultats!G$38*Données!H1626+Résultats!G$39*Données!I1626</f>
        <v>112796.59061068627</v>
      </c>
      <c r="M1626">
        <f t="shared" si="100"/>
        <v>-12796.590610686268</v>
      </c>
      <c r="Q1626">
        <v>189000</v>
      </c>
      <c r="R1626">
        <v>1</v>
      </c>
      <c r="S1626">
        <v>34</v>
      </c>
      <c r="T1626">
        <v>1</v>
      </c>
      <c r="U1626">
        <f t="shared" si="101"/>
        <v>12.254862809699606</v>
      </c>
      <c r="V1626">
        <f t="shared" si="102"/>
        <v>8.603187384583098</v>
      </c>
      <c r="W1626">
        <v>1</v>
      </c>
      <c r="X1626">
        <v>0</v>
      </c>
      <c r="Y1626">
        <v>1</v>
      </c>
      <c r="Z1626">
        <f>'Résultat (Ln)'!F$30+'Résultat (Ln)'!F$31*Données!S1626+'Résultat (Ln)'!F$32*Données!T1626+'Résultat (Ln)'!F$33*Données!U1626+'Résultat (Ln)'!F$34*Données!V1626+'Résultat (Ln)'!F$35*Données!W1626+'Résultat (Ln)'!F$36*Données!X1626+'Résultat (Ln)'!F$37*Données!Y1626</f>
        <v>189619.31220110224</v>
      </c>
      <c r="AA1626">
        <f t="shared" si="103"/>
        <v>-619.31220110223512</v>
      </c>
    </row>
    <row r="1627" spans="1:27" x14ac:dyDescent="0.25">
      <c r="A1627">
        <v>70000</v>
      </c>
      <c r="B1627">
        <v>1</v>
      </c>
      <c r="C1627">
        <v>23</v>
      </c>
      <c r="D1627">
        <v>0</v>
      </c>
      <c r="E1627">
        <v>207000</v>
      </c>
      <c r="F1627">
        <v>2130</v>
      </c>
      <c r="G1627">
        <v>1</v>
      </c>
      <c r="H1627">
        <v>6</v>
      </c>
      <c r="I1627">
        <v>0</v>
      </c>
      <c r="J1627">
        <v>13</v>
      </c>
      <c r="K1627">
        <v>1</v>
      </c>
      <c r="L1627">
        <f>Résultats!G$32+Résultats!G$33*Données!C1627+Résultats!G$34*Données!D1627+Résultats!G$35*Données!E1627+Résultats!G$36*Données!F1627+Résultats!G$37*Données!G1627+Résultats!G$38*Données!H1627+Résultats!G$39*Données!I1627</f>
        <v>121032.79802586979</v>
      </c>
      <c r="M1627">
        <f t="shared" si="100"/>
        <v>-51032.798025869793</v>
      </c>
      <c r="Q1627">
        <v>100000</v>
      </c>
      <c r="R1627">
        <v>1</v>
      </c>
      <c r="S1627">
        <v>33</v>
      </c>
      <c r="T1627">
        <v>0</v>
      </c>
      <c r="U1627">
        <f t="shared" si="101"/>
        <v>11.931635799828413</v>
      </c>
      <c r="V1627">
        <f t="shared" si="102"/>
        <v>8.2411761504949599</v>
      </c>
      <c r="W1627">
        <v>0</v>
      </c>
      <c r="X1627">
        <v>0</v>
      </c>
      <c r="Y1627">
        <v>0</v>
      </c>
      <c r="Z1627">
        <f>'Résultat (Ln)'!F$30+'Résultat (Ln)'!F$31*Données!S1627+'Résultat (Ln)'!F$32*Données!T1627+'Résultat (Ln)'!F$33*Données!U1627+'Résultat (Ln)'!F$34*Données!V1627+'Résultat (Ln)'!F$35*Données!W1627+'Résultat (Ln)'!F$36*Données!X1627+'Résultat (Ln)'!F$37*Données!Y1627</f>
        <v>120646.10296338733</v>
      </c>
      <c r="AA1627">
        <f t="shared" si="103"/>
        <v>-20646.102963387326</v>
      </c>
    </row>
    <row r="1628" spans="1:27" x14ac:dyDescent="0.25">
      <c r="A1628">
        <v>90000</v>
      </c>
      <c r="B1628">
        <v>1</v>
      </c>
      <c r="C1628">
        <v>37.299999237060547</v>
      </c>
      <c r="D1628">
        <v>0</v>
      </c>
      <c r="E1628">
        <v>120000</v>
      </c>
      <c r="F1628">
        <v>2785</v>
      </c>
      <c r="G1628">
        <v>1</v>
      </c>
      <c r="H1628">
        <v>0</v>
      </c>
      <c r="I1628">
        <v>0</v>
      </c>
      <c r="J1628">
        <v>27.569999694824219</v>
      </c>
      <c r="K1628">
        <v>1</v>
      </c>
      <c r="L1628">
        <f>Résultats!G$32+Résultats!G$33*Données!C1628+Résultats!G$34*Données!D1628+Résultats!G$35*Données!E1628+Résultats!G$36*Données!F1628+Résultats!G$37*Données!G1628+Résultats!G$38*Données!H1628+Résultats!G$39*Données!I1628</f>
        <v>107854.75879600375</v>
      </c>
      <c r="M1628">
        <f t="shared" si="100"/>
        <v>-17854.758796003749</v>
      </c>
      <c r="Q1628">
        <v>70000</v>
      </c>
      <c r="R1628">
        <v>1</v>
      </c>
      <c r="S1628">
        <v>23</v>
      </c>
      <c r="T1628">
        <v>0</v>
      </c>
      <c r="U1628">
        <f t="shared" si="101"/>
        <v>12.240474072247506</v>
      </c>
      <c r="V1628">
        <f t="shared" si="102"/>
        <v>7.6638772587034705</v>
      </c>
      <c r="W1628">
        <v>1</v>
      </c>
      <c r="X1628">
        <v>6</v>
      </c>
      <c r="Y1628">
        <v>0</v>
      </c>
      <c r="Z1628">
        <f>'Résultat (Ln)'!F$30+'Résultat (Ln)'!F$31*Données!S1628+'Résultat (Ln)'!F$32*Données!T1628+'Résultat (Ln)'!F$33*Données!U1628+'Résultat (Ln)'!F$34*Données!V1628+'Résultat (Ln)'!F$35*Données!W1628+'Résultat (Ln)'!F$36*Données!X1628+'Résultat (Ln)'!F$37*Données!Y1628</f>
        <v>128789.77808039333</v>
      </c>
      <c r="AA1628">
        <f t="shared" si="103"/>
        <v>-58789.778080393327</v>
      </c>
    </row>
    <row r="1629" spans="1:27" x14ac:dyDescent="0.25">
      <c r="A1629">
        <v>128000</v>
      </c>
      <c r="B1629">
        <v>1</v>
      </c>
      <c r="C1629">
        <v>34</v>
      </c>
      <c r="D1629">
        <v>0</v>
      </c>
      <c r="E1629">
        <v>135000</v>
      </c>
      <c r="F1629">
        <v>3333</v>
      </c>
      <c r="G1629">
        <v>1</v>
      </c>
      <c r="H1629">
        <v>0</v>
      </c>
      <c r="I1629">
        <v>0</v>
      </c>
      <c r="J1629">
        <v>23</v>
      </c>
      <c r="K1629">
        <v>1</v>
      </c>
      <c r="L1629">
        <f>Résultats!G$32+Résultats!G$33*Données!C1629+Résultats!G$34*Données!D1629+Résultats!G$35*Données!E1629+Résultats!G$36*Données!F1629+Résultats!G$37*Données!G1629+Résultats!G$38*Données!H1629+Résultats!G$39*Données!I1629</f>
        <v>112130.35392780467</v>
      </c>
      <c r="M1629">
        <f t="shared" si="100"/>
        <v>15869.646072195334</v>
      </c>
      <c r="Q1629">
        <v>90000</v>
      </c>
      <c r="R1629">
        <v>1</v>
      </c>
      <c r="S1629">
        <v>37.299999237060547</v>
      </c>
      <c r="T1629">
        <v>0</v>
      </c>
      <c r="U1629">
        <f t="shared" si="101"/>
        <v>11.695247021764184</v>
      </c>
      <c r="V1629">
        <f t="shared" si="102"/>
        <v>7.9320031523613848</v>
      </c>
      <c r="W1629">
        <v>1</v>
      </c>
      <c r="X1629">
        <v>0</v>
      </c>
      <c r="Y1629">
        <v>0</v>
      </c>
      <c r="Z1629">
        <f>'Résultat (Ln)'!F$30+'Résultat (Ln)'!F$31*Données!S1629+'Résultat (Ln)'!F$32*Données!T1629+'Résultat (Ln)'!F$33*Données!U1629+'Résultat (Ln)'!F$34*Données!V1629+'Résultat (Ln)'!F$35*Données!W1629+'Résultat (Ln)'!F$36*Données!X1629+'Résultat (Ln)'!F$37*Données!Y1629</f>
        <v>96404.078240433169</v>
      </c>
      <c r="AA1629">
        <f t="shared" si="103"/>
        <v>-6404.0782404331694</v>
      </c>
    </row>
    <row r="1630" spans="1:27" x14ac:dyDescent="0.25">
      <c r="A1630">
        <v>125000</v>
      </c>
      <c r="B1630">
        <v>1</v>
      </c>
      <c r="C1630">
        <v>33.400001525878913</v>
      </c>
      <c r="D1630">
        <v>0</v>
      </c>
      <c r="E1630">
        <v>166000</v>
      </c>
      <c r="F1630">
        <v>6300</v>
      </c>
      <c r="G1630">
        <v>1</v>
      </c>
      <c r="H1630">
        <v>0</v>
      </c>
      <c r="I1630">
        <v>0</v>
      </c>
      <c r="J1630">
        <v>20.620000839233398</v>
      </c>
      <c r="K1630">
        <v>1</v>
      </c>
      <c r="L1630">
        <f>Résultats!G$32+Résultats!G$33*Données!C1630+Résultats!G$34*Données!D1630+Résultats!G$35*Données!E1630+Résultats!G$36*Données!F1630+Résultats!G$37*Données!G1630+Résultats!G$38*Données!H1630+Résultats!G$39*Données!I1630</f>
        <v>131666.11989611469</v>
      </c>
      <c r="M1630">
        <f t="shared" si="100"/>
        <v>-6666.1198961146874</v>
      </c>
      <c r="Q1630">
        <v>128000</v>
      </c>
      <c r="R1630">
        <v>1</v>
      </c>
      <c r="S1630">
        <v>34</v>
      </c>
      <c r="T1630">
        <v>0</v>
      </c>
      <c r="U1630">
        <f t="shared" si="101"/>
        <v>11.813030057420567</v>
      </c>
      <c r="V1630">
        <f t="shared" si="102"/>
        <v>8.1116280783077404</v>
      </c>
      <c r="W1630">
        <v>1</v>
      </c>
      <c r="X1630">
        <v>0</v>
      </c>
      <c r="Y1630">
        <v>0</v>
      </c>
      <c r="Z1630">
        <f>'Résultat (Ln)'!F$30+'Résultat (Ln)'!F$31*Données!S1630+'Résultat (Ln)'!F$32*Données!T1630+'Résultat (Ln)'!F$33*Données!U1630+'Résultat (Ln)'!F$34*Données!V1630+'Résultat (Ln)'!F$35*Données!W1630+'Résultat (Ln)'!F$36*Données!X1630+'Résultat (Ln)'!F$37*Données!Y1630</f>
        <v>110034.8866612276</v>
      </c>
      <c r="AA1630">
        <f t="shared" si="103"/>
        <v>17965.113338772397</v>
      </c>
    </row>
    <row r="1631" spans="1:27" x14ac:dyDescent="0.25">
      <c r="A1631">
        <v>311000</v>
      </c>
      <c r="B1631">
        <v>1</v>
      </c>
      <c r="C1631">
        <v>39</v>
      </c>
      <c r="D1631">
        <v>0</v>
      </c>
      <c r="E1631">
        <v>389000</v>
      </c>
      <c r="F1631">
        <v>5815</v>
      </c>
      <c r="G1631">
        <v>0</v>
      </c>
      <c r="H1631">
        <v>0</v>
      </c>
      <c r="I1631">
        <v>0</v>
      </c>
      <c r="J1631">
        <v>34</v>
      </c>
      <c r="K1631">
        <v>1</v>
      </c>
      <c r="L1631">
        <f>Résultats!G$32+Résultats!G$33*Données!C1631+Résultats!G$34*Données!D1631+Résultats!G$35*Données!E1631+Résultats!G$36*Données!F1631+Résultats!G$37*Données!G1631+Résultats!G$38*Données!H1631+Résultats!G$39*Données!I1631</f>
        <v>234272.80582699613</v>
      </c>
      <c r="M1631">
        <f t="shared" si="100"/>
        <v>76727.194173003867</v>
      </c>
      <c r="Q1631">
        <v>125000</v>
      </c>
      <c r="R1631">
        <v>1</v>
      </c>
      <c r="S1631">
        <v>33.400001525878913</v>
      </c>
      <c r="T1631">
        <v>0</v>
      </c>
      <c r="U1631">
        <f t="shared" si="101"/>
        <v>12.01974306733868</v>
      </c>
      <c r="V1631">
        <f t="shared" si="102"/>
        <v>8.7483049123796235</v>
      </c>
      <c r="W1631">
        <v>1</v>
      </c>
      <c r="X1631">
        <v>0</v>
      </c>
      <c r="Y1631">
        <v>0</v>
      </c>
      <c r="Z1631">
        <f>'Résultat (Ln)'!F$30+'Résultat (Ln)'!F$31*Données!S1631+'Résultat (Ln)'!F$32*Données!T1631+'Résultat (Ln)'!F$33*Données!U1631+'Résultat (Ln)'!F$34*Données!V1631+'Résultat (Ln)'!F$35*Données!W1631+'Résultat (Ln)'!F$36*Données!X1631+'Résultat (Ln)'!F$37*Données!Y1631</f>
        <v>149316.48874375946</v>
      </c>
      <c r="AA1631">
        <f t="shared" si="103"/>
        <v>-24316.488743759459</v>
      </c>
    </row>
    <row r="1632" spans="1:27" x14ac:dyDescent="0.25">
      <c r="A1632">
        <v>127000</v>
      </c>
      <c r="B1632">
        <v>1</v>
      </c>
      <c r="C1632">
        <v>27</v>
      </c>
      <c r="D1632">
        <v>0</v>
      </c>
      <c r="E1632">
        <v>141000</v>
      </c>
      <c r="F1632">
        <v>2483</v>
      </c>
      <c r="G1632">
        <v>1</v>
      </c>
      <c r="H1632">
        <v>1</v>
      </c>
      <c r="I1632">
        <v>0</v>
      </c>
      <c r="J1632">
        <v>22</v>
      </c>
      <c r="K1632">
        <v>1</v>
      </c>
      <c r="L1632">
        <f>Résultats!G$32+Résultats!G$33*Données!C1632+Résultats!G$34*Données!D1632+Résultats!G$35*Données!E1632+Résultats!G$36*Données!F1632+Résultats!G$37*Données!G1632+Résultats!G$38*Données!H1632+Résultats!G$39*Données!I1632</f>
        <v>103618.98514594644</v>
      </c>
      <c r="M1632">
        <f t="shared" si="100"/>
        <v>23381.014854053559</v>
      </c>
      <c r="Q1632">
        <v>311000</v>
      </c>
      <c r="R1632">
        <v>1</v>
      </c>
      <c r="S1632">
        <v>39</v>
      </c>
      <c r="T1632">
        <v>0</v>
      </c>
      <c r="U1632">
        <f t="shared" si="101"/>
        <v>12.871334622600584</v>
      </c>
      <c r="V1632">
        <f t="shared" si="102"/>
        <v>8.668196064952765</v>
      </c>
      <c r="W1632">
        <v>0</v>
      </c>
      <c r="X1632">
        <v>0</v>
      </c>
      <c r="Y1632">
        <v>0</v>
      </c>
      <c r="Z1632">
        <f>'Résultat (Ln)'!F$30+'Résultat (Ln)'!F$31*Données!S1632+'Résultat (Ln)'!F$32*Données!T1632+'Résultat (Ln)'!F$33*Données!U1632+'Résultat (Ln)'!F$34*Données!V1632+'Résultat (Ln)'!F$35*Données!W1632+'Résultat (Ln)'!F$36*Données!X1632+'Résultat (Ln)'!F$37*Données!Y1632</f>
        <v>240686.00839947051</v>
      </c>
      <c r="AA1632">
        <f t="shared" si="103"/>
        <v>70313.991600529494</v>
      </c>
    </row>
    <row r="1633" spans="1:27" x14ac:dyDescent="0.25">
      <c r="A1633">
        <v>177000</v>
      </c>
      <c r="B1633">
        <v>1</v>
      </c>
      <c r="C1633">
        <v>16</v>
      </c>
      <c r="D1633">
        <v>1</v>
      </c>
      <c r="E1633">
        <v>196000</v>
      </c>
      <c r="F1633">
        <v>14987</v>
      </c>
      <c r="G1633">
        <v>0</v>
      </c>
      <c r="H1633">
        <v>0</v>
      </c>
      <c r="I1633">
        <v>0</v>
      </c>
      <c r="J1633">
        <v>13</v>
      </c>
      <c r="K1633">
        <v>0</v>
      </c>
      <c r="L1633">
        <f>Résultats!G$32+Résultats!G$33*Données!C1633+Résultats!G$34*Données!D1633+Résultats!G$35*Données!E1633+Résultats!G$36*Données!F1633+Résultats!G$37*Données!G1633+Résultats!G$38*Données!H1633+Résultats!G$39*Données!I1633</f>
        <v>140353.04068747553</v>
      </c>
      <c r="M1633">
        <f t="shared" si="100"/>
        <v>36646.959312524472</v>
      </c>
      <c r="Q1633">
        <v>127000</v>
      </c>
      <c r="R1633">
        <v>1</v>
      </c>
      <c r="S1633">
        <v>27</v>
      </c>
      <c r="T1633">
        <v>0</v>
      </c>
      <c r="U1633">
        <f t="shared" si="101"/>
        <v>11.856515169360305</v>
      </c>
      <c r="V1633">
        <f t="shared" si="102"/>
        <v>7.8172227855081662</v>
      </c>
      <c r="W1633">
        <v>1</v>
      </c>
      <c r="X1633">
        <v>1</v>
      </c>
      <c r="Y1633">
        <v>0</v>
      </c>
      <c r="Z1633">
        <f>'Résultat (Ln)'!F$30+'Résultat (Ln)'!F$31*Données!S1633+'Résultat (Ln)'!F$32*Données!T1633+'Résultat (Ln)'!F$33*Données!U1633+'Résultat (Ln)'!F$34*Données!V1633+'Résultat (Ln)'!F$35*Données!W1633+'Résultat (Ln)'!F$36*Données!X1633+'Résultat (Ln)'!F$37*Données!Y1633</f>
        <v>97707.642140659998</v>
      </c>
      <c r="AA1633">
        <f t="shared" si="103"/>
        <v>29292.357859340002</v>
      </c>
    </row>
    <row r="1634" spans="1:27" x14ac:dyDescent="0.25">
      <c r="A1634">
        <v>144000</v>
      </c>
      <c r="B1634">
        <v>1</v>
      </c>
      <c r="C1634">
        <v>36.799999237060547</v>
      </c>
      <c r="D1634">
        <v>0</v>
      </c>
      <c r="E1634">
        <v>160000</v>
      </c>
      <c r="F1634">
        <v>2166</v>
      </c>
      <c r="G1634">
        <v>0</v>
      </c>
      <c r="H1634">
        <v>0</v>
      </c>
      <c r="I1634">
        <v>1</v>
      </c>
      <c r="J1634">
        <v>28.280000686645511</v>
      </c>
      <c r="K1634">
        <v>1</v>
      </c>
      <c r="L1634">
        <f>Résultats!G$32+Résultats!G$33*Données!C1634+Résultats!G$34*Données!D1634+Résultats!G$35*Données!E1634+Résultats!G$36*Données!F1634+Résultats!G$37*Données!G1634+Résultats!G$38*Données!H1634+Résultats!G$39*Données!I1634</f>
        <v>127667.902349867</v>
      </c>
      <c r="M1634">
        <f t="shared" si="100"/>
        <v>16332.097650133001</v>
      </c>
      <c r="Q1634">
        <v>177000</v>
      </c>
      <c r="R1634">
        <v>1</v>
      </c>
      <c r="S1634">
        <v>16</v>
      </c>
      <c r="T1634">
        <v>1</v>
      </c>
      <c r="U1634">
        <f t="shared" si="101"/>
        <v>12.185869938212655</v>
      </c>
      <c r="V1634">
        <f t="shared" si="102"/>
        <v>9.6149384376449962</v>
      </c>
      <c r="W1634">
        <v>0</v>
      </c>
      <c r="X1634">
        <v>0</v>
      </c>
      <c r="Y1634">
        <v>0</v>
      </c>
      <c r="Z1634">
        <f>'Résultat (Ln)'!F$30+'Résultat (Ln)'!F$31*Données!S1634+'Résultat (Ln)'!F$32*Données!T1634+'Résultat (Ln)'!F$33*Données!U1634+'Résultat (Ln)'!F$34*Données!V1634+'Résultat (Ln)'!F$35*Données!W1634+'Résultat (Ln)'!F$36*Données!X1634+'Résultat (Ln)'!F$37*Données!Y1634</f>
        <v>170001.24351349892</v>
      </c>
      <c r="AA1634">
        <f t="shared" si="103"/>
        <v>6998.7564865010791</v>
      </c>
    </row>
    <row r="1635" spans="1:27" x14ac:dyDescent="0.25">
      <c r="A1635">
        <v>40000</v>
      </c>
      <c r="B1635">
        <v>1</v>
      </c>
      <c r="C1635">
        <v>42.700000762939453</v>
      </c>
      <c r="D1635">
        <v>0</v>
      </c>
      <c r="E1635">
        <v>270000</v>
      </c>
      <c r="F1635">
        <v>5073</v>
      </c>
      <c r="G1635">
        <v>1</v>
      </c>
      <c r="H1635">
        <v>0</v>
      </c>
      <c r="I1635">
        <v>0</v>
      </c>
      <c r="J1635">
        <v>27.10000038146973</v>
      </c>
      <c r="K1635">
        <v>1</v>
      </c>
      <c r="L1635">
        <f>Résultats!G$32+Résultats!G$33*Données!C1635+Résultats!G$34*Données!D1635+Résultats!G$35*Données!E1635+Résultats!G$36*Données!F1635+Résultats!G$37*Données!G1635+Résultats!G$38*Données!H1635+Résultats!G$39*Données!I1635</f>
        <v>188534.22838971374</v>
      </c>
      <c r="M1635">
        <f t="shared" si="100"/>
        <v>-148534.22838971374</v>
      </c>
      <c r="Q1635">
        <v>144000</v>
      </c>
      <c r="R1635">
        <v>1</v>
      </c>
      <c r="S1635">
        <v>36.799999237060547</v>
      </c>
      <c r="T1635">
        <v>0</v>
      </c>
      <c r="U1635">
        <f t="shared" si="101"/>
        <v>11.982929094215963</v>
      </c>
      <c r="V1635">
        <f t="shared" si="102"/>
        <v>7.6806374275609359</v>
      </c>
      <c r="W1635">
        <v>0</v>
      </c>
      <c r="X1635">
        <v>0</v>
      </c>
      <c r="Y1635">
        <v>1</v>
      </c>
      <c r="Z1635">
        <f>'Résultat (Ln)'!F$30+'Résultat (Ln)'!F$31*Données!S1635+'Résultat (Ln)'!F$32*Données!T1635+'Résultat (Ln)'!F$33*Données!U1635+'Résultat (Ln)'!F$34*Données!V1635+'Résultat (Ln)'!F$35*Données!W1635+'Résultat (Ln)'!F$36*Données!X1635+'Résultat (Ln)'!F$37*Données!Y1635</f>
        <v>129154.44945315784</v>
      </c>
      <c r="AA1635">
        <f t="shared" si="103"/>
        <v>14845.550546842162</v>
      </c>
    </row>
    <row r="1636" spans="1:27" x14ac:dyDescent="0.25">
      <c r="A1636">
        <v>68000</v>
      </c>
      <c r="B1636">
        <v>1</v>
      </c>
      <c r="C1636">
        <v>29</v>
      </c>
      <c r="D1636">
        <v>0</v>
      </c>
      <c r="E1636">
        <v>85000</v>
      </c>
      <c r="F1636">
        <v>570</v>
      </c>
      <c r="G1636">
        <v>1</v>
      </c>
      <c r="H1636">
        <v>0</v>
      </c>
      <c r="I1636">
        <v>0</v>
      </c>
      <c r="J1636">
        <v>28.20000076293945</v>
      </c>
      <c r="K1636">
        <v>1</v>
      </c>
      <c r="L1636">
        <f>Résultats!G$32+Résultats!G$33*Données!C1636+Résultats!G$34*Données!D1636+Résultats!G$35*Données!E1636+Résultats!G$36*Données!F1636+Résultats!G$37*Données!G1636+Résultats!G$38*Données!H1636+Résultats!G$39*Données!I1636</f>
        <v>77685.232107001677</v>
      </c>
      <c r="M1636">
        <f t="shared" si="100"/>
        <v>-9685.2321070016769</v>
      </c>
      <c r="Q1636">
        <v>40000</v>
      </c>
      <c r="R1636">
        <v>1</v>
      </c>
      <c r="S1636">
        <v>42.700000762939453</v>
      </c>
      <c r="T1636">
        <v>0</v>
      </c>
      <c r="U1636">
        <f t="shared" si="101"/>
        <v>12.506177237980511</v>
      </c>
      <c r="V1636">
        <f t="shared" si="102"/>
        <v>8.5316876375666908</v>
      </c>
      <c r="W1636">
        <v>1</v>
      </c>
      <c r="X1636">
        <v>0</v>
      </c>
      <c r="Y1636">
        <v>0</v>
      </c>
      <c r="Z1636">
        <f>'Résultat (Ln)'!F$30+'Résultat (Ln)'!F$31*Données!S1636+'Résultat (Ln)'!F$32*Données!T1636+'Résultat (Ln)'!F$33*Données!U1636+'Résultat (Ln)'!F$34*Données!V1636+'Résultat (Ln)'!F$35*Données!W1636+'Résultat (Ln)'!F$36*Données!X1636+'Résultat (Ln)'!F$37*Données!Y1636</f>
        <v>206749.8520360658</v>
      </c>
      <c r="AA1636">
        <f t="shared" si="103"/>
        <v>-166749.8520360658</v>
      </c>
    </row>
    <row r="1637" spans="1:27" x14ac:dyDescent="0.25">
      <c r="A1637">
        <v>131000</v>
      </c>
      <c r="B1637">
        <v>1</v>
      </c>
      <c r="C1637">
        <v>34</v>
      </c>
      <c r="D1637">
        <v>0</v>
      </c>
      <c r="E1637">
        <v>142000</v>
      </c>
      <c r="F1637">
        <v>2860</v>
      </c>
      <c r="G1637">
        <v>1</v>
      </c>
      <c r="H1637">
        <v>0</v>
      </c>
      <c r="I1637">
        <v>0</v>
      </c>
      <c r="J1637">
        <v>24</v>
      </c>
      <c r="K1637">
        <v>0</v>
      </c>
      <c r="L1637">
        <f>Résultats!G$32+Résultats!G$33*Données!C1637+Résultats!G$34*Données!D1637+Résultats!G$35*Données!E1637+Résultats!G$36*Données!F1637+Résultats!G$37*Données!G1637+Résultats!G$38*Données!H1637+Résultats!G$39*Données!I1637</f>
        <v>114482.45338451049</v>
      </c>
      <c r="M1637">
        <f t="shared" si="100"/>
        <v>16517.546615489511</v>
      </c>
      <c r="Q1637">
        <v>68000</v>
      </c>
      <c r="R1637">
        <v>1</v>
      </c>
      <c r="S1637">
        <v>29</v>
      </c>
      <c r="T1637">
        <v>0</v>
      </c>
      <c r="U1637">
        <f t="shared" si="101"/>
        <v>11.350406535472453</v>
      </c>
      <c r="V1637">
        <f t="shared" si="102"/>
        <v>6.3456363608285962</v>
      </c>
      <c r="W1637">
        <v>1</v>
      </c>
      <c r="X1637">
        <v>0</v>
      </c>
      <c r="Y1637">
        <v>0</v>
      </c>
      <c r="Z1637">
        <f>'Résultat (Ln)'!F$30+'Résultat (Ln)'!F$31*Données!S1637+'Résultat (Ln)'!F$32*Données!T1637+'Résultat (Ln)'!F$33*Données!U1637+'Résultat (Ln)'!F$34*Données!V1637+'Résultat (Ln)'!F$35*Données!W1637+'Résultat (Ln)'!F$36*Données!X1637+'Résultat (Ln)'!F$37*Données!Y1637</f>
        <v>4804.8534131777333</v>
      </c>
      <c r="AA1637">
        <f t="shared" si="103"/>
        <v>63195.146586822266</v>
      </c>
    </row>
    <row r="1638" spans="1:27" x14ac:dyDescent="0.25">
      <c r="A1638">
        <v>150000</v>
      </c>
      <c r="B1638">
        <v>1</v>
      </c>
      <c r="C1638">
        <v>27</v>
      </c>
      <c r="D1638">
        <v>0</v>
      </c>
      <c r="E1638">
        <v>158000</v>
      </c>
      <c r="F1638">
        <v>3466</v>
      </c>
      <c r="G1638">
        <v>1</v>
      </c>
      <c r="H1638">
        <v>0</v>
      </c>
      <c r="I1638">
        <v>0</v>
      </c>
      <c r="J1638">
        <v>22</v>
      </c>
      <c r="K1638">
        <v>1</v>
      </c>
      <c r="L1638">
        <f>Résultats!G$32+Résultats!G$33*Données!C1638+Résultats!G$34*Données!D1638+Résultats!G$35*Données!E1638+Résultats!G$36*Données!F1638+Résultats!G$37*Données!G1638+Résultats!G$38*Données!H1638+Résultats!G$39*Données!I1638</f>
        <v>115087.31217309633</v>
      </c>
      <c r="M1638">
        <f t="shared" si="100"/>
        <v>34912.687826903668</v>
      </c>
      <c r="Q1638">
        <v>131000</v>
      </c>
      <c r="R1638">
        <v>1</v>
      </c>
      <c r="S1638">
        <v>34</v>
      </c>
      <c r="T1638">
        <v>0</v>
      </c>
      <c r="U1638">
        <f t="shared" si="101"/>
        <v>11.863582336583399</v>
      </c>
      <c r="V1638">
        <f t="shared" si="102"/>
        <v>7.9585769038138983</v>
      </c>
      <c r="W1638">
        <v>1</v>
      </c>
      <c r="X1638">
        <v>0</v>
      </c>
      <c r="Y1638">
        <v>0</v>
      </c>
      <c r="Z1638">
        <f>'Résultat (Ln)'!F$30+'Résultat (Ln)'!F$31*Données!S1638+'Résultat (Ln)'!F$32*Données!T1638+'Résultat (Ln)'!F$33*Données!U1638+'Résultat (Ln)'!F$34*Données!V1638+'Résultat (Ln)'!F$35*Données!W1638+'Résultat (Ln)'!F$36*Données!X1638+'Résultat (Ln)'!F$37*Données!Y1638</f>
        <v>111161.42531801561</v>
      </c>
      <c r="AA1638">
        <f t="shared" si="103"/>
        <v>19838.574681984392</v>
      </c>
    </row>
    <row r="1639" spans="1:27" x14ac:dyDescent="0.25">
      <c r="A1639">
        <v>87000</v>
      </c>
      <c r="B1639">
        <v>1</v>
      </c>
      <c r="C1639">
        <v>40</v>
      </c>
      <c r="D1639">
        <v>0</v>
      </c>
      <c r="E1639">
        <v>142000</v>
      </c>
      <c r="F1639">
        <v>4475</v>
      </c>
      <c r="G1639">
        <v>1</v>
      </c>
      <c r="H1639">
        <v>0</v>
      </c>
      <c r="I1639">
        <v>1</v>
      </c>
      <c r="J1639">
        <v>18</v>
      </c>
      <c r="K1639">
        <v>1</v>
      </c>
      <c r="L1639">
        <f>Résultats!G$32+Résultats!G$33*Données!C1639+Résultats!G$34*Données!D1639+Résultats!G$35*Données!E1639+Résultats!G$36*Données!F1639+Résultats!G$37*Données!G1639+Résultats!G$38*Données!H1639+Résultats!G$39*Données!I1639</f>
        <v>134429.45911188138</v>
      </c>
      <c r="M1639">
        <f t="shared" si="100"/>
        <v>-47429.459111881384</v>
      </c>
      <c r="Q1639">
        <v>150000</v>
      </c>
      <c r="R1639">
        <v>1</v>
      </c>
      <c r="S1639">
        <v>27</v>
      </c>
      <c r="T1639">
        <v>0</v>
      </c>
      <c r="U1639">
        <f t="shared" si="101"/>
        <v>11.970350312009105</v>
      </c>
      <c r="V1639">
        <f t="shared" si="102"/>
        <v>8.1507564702755513</v>
      </c>
      <c r="W1639">
        <v>1</v>
      </c>
      <c r="X1639">
        <v>0</v>
      </c>
      <c r="Y1639">
        <v>0</v>
      </c>
      <c r="Z1639">
        <f>'Résultat (Ln)'!F$30+'Résultat (Ln)'!F$31*Données!S1639+'Résultat (Ln)'!F$32*Données!T1639+'Résultat (Ln)'!F$33*Données!U1639+'Résultat (Ln)'!F$34*Données!V1639+'Résultat (Ln)'!F$35*Données!W1639+'Résultat (Ln)'!F$36*Données!X1639+'Résultat (Ln)'!F$37*Données!Y1639</f>
        <v>119442.02044673295</v>
      </c>
      <c r="AA1639">
        <f t="shared" si="103"/>
        <v>30557.979553267054</v>
      </c>
    </row>
    <row r="1640" spans="1:27" x14ac:dyDescent="0.25">
      <c r="A1640">
        <v>180000</v>
      </c>
      <c r="B1640">
        <v>1</v>
      </c>
      <c r="C1640">
        <v>28.29999923706055</v>
      </c>
      <c r="D1640">
        <v>0</v>
      </c>
      <c r="E1640">
        <v>240000</v>
      </c>
      <c r="F1640">
        <v>9583</v>
      </c>
      <c r="G1640">
        <v>0</v>
      </c>
      <c r="H1640">
        <v>0</v>
      </c>
      <c r="I1640">
        <v>1</v>
      </c>
      <c r="J1640">
        <v>15.10000038146973</v>
      </c>
      <c r="K1640">
        <v>1</v>
      </c>
      <c r="L1640">
        <f>Résultats!G$32+Résultats!G$33*Données!C1640+Résultats!G$34*Données!D1640+Résultats!G$35*Données!E1640+Résultats!G$36*Données!F1640+Résultats!G$37*Données!G1640+Résultats!G$38*Données!H1640+Résultats!G$39*Données!I1640</f>
        <v>169633.03451298678</v>
      </c>
      <c r="M1640">
        <f t="shared" si="100"/>
        <v>10366.965487013222</v>
      </c>
      <c r="Q1640">
        <v>87000</v>
      </c>
      <c r="R1640">
        <v>1</v>
      </c>
      <c r="S1640">
        <v>40</v>
      </c>
      <c r="T1640">
        <v>0</v>
      </c>
      <c r="U1640">
        <f t="shared" si="101"/>
        <v>11.863582336583399</v>
      </c>
      <c r="V1640">
        <f t="shared" si="102"/>
        <v>8.4062616307089559</v>
      </c>
      <c r="W1640">
        <v>1</v>
      </c>
      <c r="X1640">
        <v>0</v>
      </c>
      <c r="Y1640">
        <v>1</v>
      </c>
      <c r="Z1640">
        <f>'Résultat (Ln)'!F$30+'Résultat (Ln)'!F$31*Données!S1640+'Résultat (Ln)'!F$32*Données!T1640+'Résultat (Ln)'!F$33*Données!U1640+'Résultat (Ln)'!F$34*Données!V1640+'Résultat (Ln)'!F$35*Données!W1640+'Résultat (Ln)'!F$36*Données!X1640+'Résultat (Ln)'!F$37*Données!Y1640</f>
        <v>145136.27518249629</v>
      </c>
      <c r="AA1640">
        <f t="shared" si="103"/>
        <v>-58136.275182496291</v>
      </c>
    </row>
    <row r="1641" spans="1:27" x14ac:dyDescent="0.25">
      <c r="A1641">
        <v>252000</v>
      </c>
      <c r="B1641">
        <v>1</v>
      </c>
      <c r="C1641">
        <v>7</v>
      </c>
      <c r="D1641">
        <v>0</v>
      </c>
      <c r="E1641">
        <v>275000</v>
      </c>
      <c r="F1641">
        <v>33000</v>
      </c>
      <c r="G1641">
        <v>1</v>
      </c>
      <c r="H1641">
        <v>9</v>
      </c>
      <c r="I1641">
        <v>1</v>
      </c>
      <c r="J1641">
        <v>7</v>
      </c>
      <c r="K1641">
        <v>1</v>
      </c>
      <c r="L1641">
        <f>Résultats!G$32+Résultats!G$33*Données!C1641+Résultats!G$34*Données!D1641+Résultats!G$35*Données!E1641+Résultats!G$36*Données!F1641+Résultats!G$37*Données!G1641+Résultats!G$38*Données!H1641+Résultats!G$39*Données!I1641</f>
        <v>199276.01763004312</v>
      </c>
      <c r="M1641">
        <f t="shared" si="100"/>
        <v>52723.982369956881</v>
      </c>
      <c r="Q1641">
        <v>180000</v>
      </c>
      <c r="R1641">
        <v>1</v>
      </c>
      <c r="S1641">
        <v>28.29999923706055</v>
      </c>
      <c r="T1641">
        <v>0</v>
      </c>
      <c r="U1641">
        <f t="shared" si="101"/>
        <v>12.388394202324129</v>
      </c>
      <c r="V1641">
        <f t="shared" si="102"/>
        <v>9.167745974343763</v>
      </c>
      <c r="W1641">
        <v>0</v>
      </c>
      <c r="X1641">
        <v>0</v>
      </c>
      <c r="Y1641">
        <v>1</v>
      </c>
      <c r="Z1641">
        <f>'Résultat (Ln)'!F$30+'Résultat (Ln)'!F$31*Données!S1641+'Résultat (Ln)'!F$32*Données!T1641+'Résultat (Ln)'!F$33*Données!U1641+'Résultat (Ln)'!F$34*Données!V1641+'Résultat (Ln)'!F$35*Données!W1641+'Résultat (Ln)'!F$36*Données!X1641+'Résultat (Ln)'!F$37*Données!Y1641</f>
        <v>203938.30142387204</v>
      </c>
      <c r="AA1641">
        <f t="shared" si="103"/>
        <v>-23938.301423872035</v>
      </c>
    </row>
    <row r="1642" spans="1:27" x14ac:dyDescent="0.25">
      <c r="A1642">
        <v>59000</v>
      </c>
      <c r="B1642">
        <v>1</v>
      </c>
      <c r="C1642">
        <v>32.400001525878913</v>
      </c>
      <c r="D1642">
        <v>0</v>
      </c>
      <c r="E1642">
        <v>160000</v>
      </c>
      <c r="F1642">
        <v>3469</v>
      </c>
      <c r="G1642">
        <v>0</v>
      </c>
      <c r="H1642">
        <v>0</v>
      </c>
      <c r="I1642">
        <v>0</v>
      </c>
      <c r="J1642">
        <v>22.309999465942379</v>
      </c>
      <c r="K1642">
        <v>0</v>
      </c>
      <c r="L1642">
        <f>Résultats!G$32+Résultats!G$33*Données!C1642+Résultats!G$34*Données!D1642+Résultats!G$35*Données!E1642+Résultats!G$36*Données!F1642+Résultats!G$37*Données!G1642+Résultats!G$38*Données!H1642+Résultats!G$39*Données!I1642</f>
        <v>115213.23539145786</v>
      </c>
      <c r="M1642">
        <f t="shared" si="100"/>
        <v>-56213.235391457856</v>
      </c>
      <c r="Q1642">
        <v>252000</v>
      </c>
      <c r="R1642">
        <v>1</v>
      </c>
      <c r="S1642">
        <v>7</v>
      </c>
      <c r="T1642">
        <v>0</v>
      </c>
      <c r="U1642">
        <f t="shared" si="101"/>
        <v>12.524526376648708</v>
      </c>
      <c r="V1642">
        <f t="shared" si="102"/>
        <v>10.404262840448617</v>
      </c>
      <c r="W1642">
        <v>1</v>
      </c>
      <c r="X1642">
        <v>9</v>
      </c>
      <c r="Y1642">
        <v>1</v>
      </c>
      <c r="Z1642">
        <f>'Résultat (Ln)'!F$30+'Résultat (Ln)'!F$31*Données!S1642+'Résultat (Ln)'!F$32*Données!T1642+'Résultat (Ln)'!F$33*Données!U1642+'Résultat (Ln)'!F$34*Données!V1642+'Résultat (Ln)'!F$35*Données!W1642+'Résultat (Ln)'!F$36*Données!X1642+'Résultat (Ln)'!F$37*Données!Y1642</f>
        <v>230096.87036943718</v>
      </c>
      <c r="AA1642">
        <f t="shared" si="103"/>
        <v>21903.12963056282</v>
      </c>
    </row>
    <row r="1643" spans="1:27" x14ac:dyDescent="0.25">
      <c r="A1643">
        <v>92000</v>
      </c>
      <c r="B1643">
        <v>1</v>
      </c>
      <c r="C1643">
        <v>35</v>
      </c>
      <c r="D1643">
        <v>0</v>
      </c>
      <c r="E1643">
        <v>115000</v>
      </c>
      <c r="F1643">
        <v>4262</v>
      </c>
      <c r="G1643">
        <v>0</v>
      </c>
      <c r="H1643">
        <v>0</v>
      </c>
      <c r="I1643">
        <v>0</v>
      </c>
      <c r="J1643">
        <v>24</v>
      </c>
      <c r="K1643">
        <v>1</v>
      </c>
      <c r="L1643">
        <f>Résultats!G$32+Résultats!G$33*Données!C1643+Résultats!G$34*Données!D1643+Résultats!G$35*Données!E1643+Résultats!G$36*Données!F1643+Résultats!G$37*Données!G1643+Résultats!G$38*Données!H1643+Résultats!G$39*Données!I1643</f>
        <v>98723.54491520852</v>
      </c>
      <c r="M1643">
        <f t="shared" si="100"/>
        <v>-6723.5449152085203</v>
      </c>
      <c r="Q1643">
        <v>59000</v>
      </c>
      <c r="R1643">
        <v>1</v>
      </c>
      <c r="S1643">
        <v>32.400001525878913</v>
      </c>
      <c r="T1643">
        <v>0</v>
      </c>
      <c r="U1643">
        <f t="shared" si="101"/>
        <v>11.982929094215963</v>
      </c>
      <c r="V1643">
        <f t="shared" si="102"/>
        <v>8.1516216469697493</v>
      </c>
      <c r="W1643">
        <v>0</v>
      </c>
      <c r="X1643">
        <v>0</v>
      </c>
      <c r="Y1643">
        <v>0</v>
      </c>
      <c r="Z1643">
        <f>'Résultat (Ln)'!F$30+'Résultat (Ln)'!F$31*Données!S1643+'Résultat (Ln)'!F$32*Données!T1643+'Résultat (Ln)'!F$33*Données!U1643+'Résultat (Ln)'!F$34*Données!V1643+'Résultat (Ln)'!F$35*Données!W1643+'Résultat (Ln)'!F$36*Données!X1643+'Résultat (Ln)'!F$37*Données!Y1643</f>
        <v>122899.66693260486</v>
      </c>
      <c r="AA1643">
        <f t="shared" si="103"/>
        <v>-63899.666932604858</v>
      </c>
    </row>
    <row r="1644" spans="1:27" x14ac:dyDescent="0.25">
      <c r="A1644">
        <v>113000</v>
      </c>
      <c r="B1644">
        <v>1</v>
      </c>
      <c r="C1644">
        <v>28</v>
      </c>
      <c r="D1644">
        <v>0</v>
      </c>
      <c r="E1644">
        <v>234000</v>
      </c>
      <c r="F1644">
        <v>3666</v>
      </c>
      <c r="G1644">
        <v>1</v>
      </c>
      <c r="H1644">
        <v>0</v>
      </c>
      <c r="I1644">
        <v>0</v>
      </c>
      <c r="J1644">
        <v>27</v>
      </c>
      <c r="K1644">
        <v>1</v>
      </c>
      <c r="L1644">
        <f>Résultats!G$32+Résultats!G$33*Données!C1644+Résultats!G$34*Données!D1644+Résultats!G$35*Données!E1644+Résultats!G$36*Données!F1644+Résultats!G$37*Données!G1644+Résultats!G$38*Données!H1644+Résultats!G$39*Données!I1644</f>
        <v>152111.98844448433</v>
      </c>
      <c r="M1644">
        <f t="shared" si="100"/>
        <v>-39111.988444484334</v>
      </c>
      <c r="Q1644">
        <v>92000</v>
      </c>
      <c r="R1644">
        <v>1</v>
      </c>
      <c r="S1644">
        <v>35</v>
      </c>
      <c r="T1644">
        <v>0</v>
      </c>
      <c r="U1644">
        <f t="shared" si="101"/>
        <v>11.652687407345388</v>
      </c>
      <c r="V1644">
        <f t="shared" si="102"/>
        <v>8.3574938126585625</v>
      </c>
      <c r="W1644">
        <v>0</v>
      </c>
      <c r="X1644">
        <v>0</v>
      </c>
      <c r="Y1644">
        <v>0</v>
      </c>
      <c r="Z1644">
        <f>'Résultat (Ln)'!F$30+'Résultat (Ln)'!F$31*Données!S1644+'Résultat (Ln)'!F$32*Données!T1644+'Résultat (Ln)'!F$33*Données!U1644+'Résultat (Ln)'!F$34*Données!V1644+'Résultat (Ln)'!F$35*Données!W1644+'Résultat (Ln)'!F$36*Données!X1644+'Résultat (Ln)'!F$37*Données!Y1644</f>
        <v>96450.375038661616</v>
      </c>
      <c r="AA1644">
        <f t="shared" si="103"/>
        <v>-4450.3750386616157</v>
      </c>
    </row>
    <row r="1645" spans="1:27" x14ac:dyDescent="0.25">
      <c r="A1645">
        <v>138000</v>
      </c>
      <c r="B1645">
        <v>1</v>
      </c>
      <c r="C1645">
        <v>40</v>
      </c>
      <c r="D1645">
        <v>0</v>
      </c>
      <c r="E1645">
        <v>153000</v>
      </c>
      <c r="F1645">
        <v>2440</v>
      </c>
      <c r="G1645">
        <v>0</v>
      </c>
      <c r="H1645">
        <v>0</v>
      </c>
      <c r="I1645">
        <v>1</v>
      </c>
      <c r="J1645">
        <v>27.979999542236332</v>
      </c>
      <c r="K1645">
        <v>1</v>
      </c>
      <c r="L1645">
        <f>Résultats!G$32+Résultats!G$33*Données!C1645+Résultats!G$34*Données!D1645+Résultats!G$35*Données!E1645+Résultats!G$36*Données!F1645+Résultats!G$37*Données!G1645+Résultats!G$38*Données!H1645+Résultats!G$39*Données!I1645</f>
        <v>128605.92929691845</v>
      </c>
      <c r="M1645">
        <f t="shared" si="100"/>
        <v>9394.0707030815538</v>
      </c>
      <c r="Q1645">
        <v>113000</v>
      </c>
      <c r="R1645">
        <v>1</v>
      </c>
      <c r="S1645">
        <v>28</v>
      </c>
      <c r="T1645">
        <v>0</v>
      </c>
      <c r="U1645">
        <f t="shared" si="101"/>
        <v>12.363076394339839</v>
      </c>
      <c r="V1645">
        <f t="shared" si="102"/>
        <v>8.2068564283996501</v>
      </c>
      <c r="W1645">
        <v>1</v>
      </c>
      <c r="X1645">
        <v>0</v>
      </c>
      <c r="Y1645">
        <v>0</v>
      </c>
      <c r="Z1645">
        <f>'Résultat (Ln)'!F$30+'Résultat (Ln)'!F$31*Données!S1645+'Résultat (Ln)'!F$32*Données!T1645+'Résultat (Ln)'!F$33*Données!U1645+'Résultat (Ln)'!F$34*Données!V1645+'Résultat (Ln)'!F$35*Données!W1645+'Résultat (Ln)'!F$36*Données!X1645+'Résultat (Ln)'!F$37*Données!Y1645</f>
        <v>164335.92405340925</v>
      </c>
      <c r="AA1645">
        <f t="shared" si="103"/>
        <v>-51335.924053409253</v>
      </c>
    </row>
    <row r="1646" spans="1:27" x14ac:dyDescent="0.25">
      <c r="A1646">
        <v>133000</v>
      </c>
      <c r="B1646">
        <v>1</v>
      </c>
      <c r="C1646">
        <v>41</v>
      </c>
      <c r="D1646">
        <v>0</v>
      </c>
      <c r="E1646">
        <v>145000</v>
      </c>
      <c r="F1646">
        <v>3884</v>
      </c>
      <c r="G1646">
        <v>1</v>
      </c>
      <c r="H1646">
        <v>0</v>
      </c>
      <c r="I1646">
        <v>0</v>
      </c>
      <c r="J1646">
        <v>23</v>
      </c>
      <c r="K1646">
        <v>1</v>
      </c>
      <c r="L1646">
        <f>Résultats!G$32+Résultats!G$33*Données!C1646+Résultats!G$34*Données!D1646+Résultats!G$35*Données!E1646+Résultats!G$36*Données!F1646+Résultats!G$37*Données!G1646+Résultats!G$38*Données!H1646+Résultats!G$39*Données!I1646</f>
        <v>125908.30010688645</v>
      </c>
      <c r="M1646">
        <f t="shared" si="100"/>
        <v>7091.6998931135458</v>
      </c>
      <c r="Q1646">
        <v>138000</v>
      </c>
      <c r="R1646">
        <v>1</v>
      </c>
      <c r="S1646">
        <v>40</v>
      </c>
      <c r="T1646">
        <v>0</v>
      </c>
      <c r="U1646">
        <f t="shared" si="101"/>
        <v>11.938193200374572</v>
      </c>
      <c r="V1646">
        <f t="shared" si="102"/>
        <v>7.7997533182872472</v>
      </c>
      <c r="W1646">
        <v>0</v>
      </c>
      <c r="X1646">
        <v>0</v>
      </c>
      <c r="Y1646">
        <v>1</v>
      </c>
      <c r="Z1646">
        <f>'Résultat (Ln)'!F$30+'Résultat (Ln)'!F$31*Données!S1646+'Résultat (Ln)'!F$32*Données!T1646+'Résultat (Ln)'!F$33*Données!U1646+'Résultat (Ln)'!F$34*Données!V1646+'Résultat (Ln)'!F$35*Données!W1646+'Résultat (Ln)'!F$36*Données!X1646+'Résultat (Ln)'!F$37*Données!Y1646</f>
        <v>131610.19160998854</v>
      </c>
      <c r="AA1646">
        <f t="shared" si="103"/>
        <v>6389.808390011458</v>
      </c>
    </row>
    <row r="1647" spans="1:27" x14ac:dyDescent="0.25">
      <c r="A1647">
        <v>180000</v>
      </c>
      <c r="B1647">
        <v>1</v>
      </c>
      <c r="C1647">
        <v>43</v>
      </c>
      <c r="D1647">
        <v>1</v>
      </c>
      <c r="E1647">
        <v>150000</v>
      </c>
      <c r="F1647">
        <v>3566</v>
      </c>
      <c r="G1647">
        <v>0</v>
      </c>
      <c r="H1647">
        <v>0</v>
      </c>
      <c r="I1647">
        <v>1</v>
      </c>
      <c r="J1647">
        <v>30</v>
      </c>
      <c r="K1647">
        <v>1</v>
      </c>
      <c r="L1647">
        <f>Résultats!G$32+Résultats!G$33*Données!C1647+Résultats!G$34*Données!D1647+Résultats!G$35*Données!E1647+Résultats!G$36*Données!F1647+Résultats!G$37*Données!G1647+Résultats!G$38*Données!H1647+Résultats!G$39*Données!I1647</f>
        <v>137681.27791738539</v>
      </c>
      <c r="M1647">
        <f t="shared" si="100"/>
        <v>42318.722082614608</v>
      </c>
      <c r="Q1647">
        <v>133000</v>
      </c>
      <c r="R1647">
        <v>1</v>
      </c>
      <c r="S1647">
        <v>41</v>
      </c>
      <c r="T1647">
        <v>0</v>
      </c>
      <c r="U1647">
        <f t="shared" si="101"/>
        <v>11.884489021402711</v>
      </c>
      <c r="V1647">
        <f t="shared" si="102"/>
        <v>8.264620829411216</v>
      </c>
      <c r="W1647">
        <v>1</v>
      </c>
      <c r="X1647">
        <v>0</v>
      </c>
      <c r="Y1647">
        <v>0</v>
      </c>
      <c r="Z1647">
        <f>'Résultat (Ln)'!F$30+'Résultat (Ln)'!F$31*Données!S1647+'Résultat (Ln)'!F$32*Données!T1647+'Résultat (Ln)'!F$33*Données!U1647+'Résultat (Ln)'!F$34*Données!V1647+'Résultat (Ln)'!F$35*Données!W1647+'Résultat (Ln)'!F$36*Données!X1647+'Résultat (Ln)'!F$37*Données!Y1647</f>
        <v>130540.06057523271</v>
      </c>
      <c r="AA1647">
        <f t="shared" si="103"/>
        <v>2459.9394247672899</v>
      </c>
    </row>
    <row r="1648" spans="1:27" x14ac:dyDescent="0.25">
      <c r="A1648">
        <v>48000</v>
      </c>
      <c r="B1648">
        <v>1</v>
      </c>
      <c r="C1648">
        <v>32.299999237060547</v>
      </c>
      <c r="D1648">
        <v>0</v>
      </c>
      <c r="E1648">
        <v>59000</v>
      </c>
      <c r="F1648">
        <v>2250</v>
      </c>
      <c r="G1648">
        <v>0</v>
      </c>
      <c r="H1648">
        <v>0</v>
      </c>
      <c r="I1648">
        <v>0</v>
      </c>
      <c r="J1648">
        <v>29.70000076293945</v>
      </c>
      <c r="K1648">
        <v>0</v>
      </c>
      <c r="L1648">
        <f>Résultats!G$32+Résultats!G$33*Données!C1648+Résultats!G$34*Données!D1648+Résultats!G$35*Données!E1648+Résultats!G$36*Données!F1648+Résultats!G$37*Données!G1648+Résultats!G$38*Données!H1648+Résultats!G$39*Données!I1648</f>
        <v>65573.922789657256</v>
      </c>
      <c r="M1648">
        <f t="shared" si="100"/>
        <v>-17573.922789657256</v>
      </c>
      <c r="Q1648">
        <v>180000</v>
      </c>
      <c r="R1648">
        <v>1</v>
      </c>
      <c r="S1648">
        <v>43</v>
      </c>
      <c r="T1648">
        <v>1</v>
      </c>
      <c r="U1648">
        <f t="shared" si="101"/>
        <v>11.918390573078392</v>
      </c>
      <c r="V1648">
        <f t="shared" si="102"/>
        <v>8.1791997984230864</v>
      </c>
      <c r="W1648">
        <v>0</v>
      </c>
      <c r="X1648">
        <v>0</v>
      </c>
      <c r="Y1648">
        <v>1</v>
      </c>
      <c r="Z1648">
        <f>'Résultat (Ln)'!F$30+'Résultat (Ln)'!F$31*Données!S1648+'Résultat (Ln)'!F$32*Données!T1648+'Résultat (Ln)'!F$33*Données!U1648+'Résultat (Ln)'!F$34*Données!V1648+'Résultat (Ln)'!F$35*Données!W1648+'Résultat (Ln)'!F$36*Données!X1648+'Résultat (Ln)'!F$37*Données!Y1648</f>
        <v>148144.25005814046</v>
      </c>
      <c r="AA1648">
        <f t="shared" si="103"/>
        <v>31855.74994185954</v>
      </c>
    </row>
    <row r="1649" spans="1:27" x14ac:dyDescent="0.25">
      <c r="A1649">
        <v>113000</v>
      </c>
      <c r="B1649">
        <v>1</v>
      </c>
      <c r="C1649">
        <v>32</v>
      </c>
      <c r="D1649">
        <v>0</v>
      </c>
      <c r="E1649">
        <v>134000</v>
      </c>
      <c r="F1649">
        <v>2031</v>
      </c>
      <c r="G1649">
        <v>1</v>
      </c>
      <c r="H1649">
        <v>0</v>
      </c>
      <c r="I1649">
        <v>1</v>
      </c>
      <c r="J1649">
        <v>24.20000076293945</v>
      </c>
      <c r="K1649">
        <v>0</v>
      </c>
      <c r="L1649">
        <f>Résultats!G$32+Résultats!G$33*Données!C1649+Résultats!G$34*Données!D1649+Résultats!G$35*Données!E1649+Résultats!G$36*Données!F1649+Résultats!G$37*Données!G1649+Résultats!G$38*Données!H1649+Résultats!G$39*Données!I1649</f>
        <v>116768.51760765132</v>
      </c>
      <c r="M1649">
        <f t="shared" si="100"/>
        <v>-3768.5176076513162</v>
      </c>
      <c r="Q1649">
        <v>48000</v>
      </c>
      <c r="R1649">
        <v>1</v>
      </c>
      <c r="S1649">
        <v>32.299999237060547</v>
      </c>
      <c r="T1649">
        <v>0</v>
      </c>
      <c r="U1649">
        <f t="shared" si="101"/>
        <v>10.985292722887856</v>
      </c>
      <c r="V1649">
        <f t="shared" si="102"/>
        <v>7.718685495198466</v>
      </c>
      <c r="W1649">
        <v>0</v>
      </c>
      <c r="X1649">
        <v>0</v>
      </c>
      <c r="Y1649">
        <v>0</v>
      </c>
      <c r="Z1649">
        <f>'Résultat (Ln)'!F$30+'Résultat (Ln)'!F$31*Données!S1649+'Résultat (Ln)'!F$32*Données!T1649+'Résultat (Ln)'!F$33*Données!U1649+'Résultat (Ln)'!F$34*Données!V1649+'Résultat (Ln)'!F$35*Données!W1649+'Résultat (Ln)'!F$36*Données!X1649+'Résultat (Ln)'!F$37*Données!Y1649</f>
        <v>3693.2265205379226</v>
      </c>
      <c r="AA1649">
        <f t="shared" si="103"/>
        <v>44306.773479462077</v>
      </c>
    </row>
    <row r="1650" spans="1:27" x14ac:dyDescent="0.25">
      <c r="A1650">
        <v>110000</v>
      </c>
      <c r="B1650">
        <v>1</v>
      </c>
      <c r="C1650">
        <v>37</v>
      </c>
      <c r="D1650">
        <v>0</v>
      </c>
      <c r="E1650">
        <v>215000</v>
      </c>
      <c r="F1650">
        <v>3499</v>
      </c>
      <c r="G1650">
        <v>1</v>
      </c>
      <c r="H1650">
        <v>0</v>
      </c>
      <c r="I1650">
        <v>0</v>
      </c>
      <c r="J1650">
        <v>28</v>
      </c>
      <c r="K1650">
        <v>1</v>
      </c>
      <c r="L1650">
        <f>Résultats!G$32+Résultats!G$33*Données!C1650+Résultats!G$34*Données!D1650+Résultats!G$35*Données!E1650+Résultats!G$36*Données!F1650+Résultats!G$37*Données!G1650+Résultats!G$38*Données!H1650+Résultats!G$39*Données!I1650</f>
        <v>153254.29926168293</v>
      </c>
      <c r="M1650">
        <f t="shared" si="100"/>
        <v>-43254.299261682929</v>
      </c>
      <c r="Q1650">
        <v>113000</v>
      </c>
      <c r="R1650">
        <v>1</v>
      </c>
      <c r="S1650">
        <v>32</v>
      </c>
      <c r="T1650">
        <v>0</v>
      </c>
      <c r="U1650">
        <f t="shared" si="101"/>
        <v>11.805595078933049</v>
      </c>
      <c r="V1650">
        <f t="shared" si="102"/>
        <v>7.616283561580385</v>
      </c>
      <c r="W1650">
        <v>1</v>
      </c>
      <c r="X1650">
        <v>0</v>
      </c>
      <c r="Y1650">
        <v>1</v>
      </c>
      <c r="Z1650">
        <f>'Résultat (Ln)'!F$30+'Résultat (Ln)'!F$31*Données!S1650+'Résultat (Ln)'!F$32*Données!T1650+'Résultat (Ln)'!F$33*Données!U1650+'Résultat (Ln)'!F$34*Données!V1650+'Résultat (Ln)'!F$35*Données!W1650+'Résultat (Ln)'!F$36*Données!X1650+'Résultat (Ln)'!F$37*Données!Y1650</f>
        <v>106988.40919086673</v>
      </c>
      <c r="AA1650">
        <f t="shared" si="103"/>
        <v>6011.5908091332676</v>
      </c>
    </row>
    <row r="1651" spans="1:27" x14ac:dyDescent="0.25">
      <c r="A1651">
        <v>182000</v>
      </c>
      <c r="B1651">
        <v>1</v>
      </c>
      <c r="C1651">
        <v>25</v>
      </c>
      <c r="D1651">
        <v>0</v>
      </c>
      <c r="E1651">
        <v>228000</v>
      </c>
      <c r="F1651">
        <v>8232</v>
      </c>
      <c r="G1651">
        <v>1</v>
      </c>
      <c r="H1651">
        <v>0</v>
      </c>
      <c r="I1651">
        <v>1</v>
      </c>
      <c r="J1651">
        <v>23</v>
      </c>
      <c r="K1651">
        <v>1</v>
      </c>
      <c r="L1651">
        <f>Résultats!G$32+Résultats!G$33*Données!C1651+Résultats!G$34*Données!D1651+Résultats!G$35*Données!E1651+Résultats!G$36*Données!F1651+Résultats!G$37*Données!G1651+Résultats!G$38*Données!H1651+Résultats!G$39*Données!I1651</f>
        <v>164637.6516641053</v>
      </c>
      <c r="M1651">
        <f t="shared" si="100"/>
        <v>17362.348335894698</v>
      </c>
      <c r="Q1651">
        <v>110000</v>
      </c>
      <c r="R1651">
        <v>1</v>
      </c>
      <c r="S1651">
        <v>37</v>
      </c>
      <c r="T1651">
        <v>0</v>
      </c>
      <c r="U1651">
        <f t="shared" si="101"/>
        <v>12.2783933071098</v>
      </c>
      <c r="V1651">
        <f t="shared" si="102"/>
        <v>8.1602324923676886</v>
      </c>
      <c r="W1651">
        <v>1</v>
      </c>
      <c r="X1651">
        <v>0</v>
      </c>
      <c r="Y1651">
        <v>0</v>
      </c>
      <c r="Z1651">
        <f>'Résultat (Ln)'!F$30+'Résultat (Ln)'!F$31*Données!S1651+'Résultat (Ln)'!F$32*Données!T1651+'Résultat (Ln)'!F$33*Données!U1651+'Résultat (Ln)'!F$34*Données!V1651+'Résultat (Ln)'!F$35*Données!W1651+'Résultat (Ln)'!F$36*Données!X1651+'Résultat (Ln)'!F$37*Données!Y1651</f>
        <v>164949.03602635657</v>
      </c>
      <c r="AA1651">
        <f t="shared" si="103"/>
        <v>-54949.036026356567</v>
      </c>
    </row>
    <row r="1652" spans="1:27" x14ac:dyDescent="0.25">
      <c r="A1652">
        <v>187000</v>
      </c>
      <c r="B1652">
        <v>1</v>
      </c>
      <c r="C1652">
        <v>28</v>
      </c>
      <c r="D1652">
        <v>0</v>
      </c>
      <c r="E1652">
        <v>250000</v>
      </c>
      <c r="F1652">
        <v>4166</v>
      </c>
      <c r="G1652">
        <v>1</v>
      </c>
      <c r="H1652">
        <v>0</v>
      </c>
      <c r="I1652">
        <v>0</v>
      </c>
      <c r="J1652">
        <v>26</v>
      </c>
      <c r="K1652">
        <v>1</v>
      </c>
      <c r="L1652">
        <f>Résultats!G$32+Résultats!G$33*Données!C1652+Résultats!G$34*Données!D1652+Résultats!G$35*Données!E1652+Résultats!G$36*Données!F1652+Résultats!G$37*Données!G1652+Résultats!G$38*Données!H1652+Résultats!G$39*Données!I1652</f>
        <v>160552.13442612416</v>
      </c>
      <c r="M1652">
        <f t="shared" si="100"/>
        <v>26447.865573875839</v>
      </c>
      <c r="Q1652">
        <v>182000</v>
      </c>
      <c r="R1652">
        <v>1</v>
      </c>
      <c r="S1652">
        <v>25</v>
      </c>
      <c r="T1652">
        <v>0</v>
      </c>
      <c r="U1652">
        <f t="shared" si="101"/>
        <v>12.337100907936577</v>
      </c>
      <c r="V1652">
        <f t="shared" si="102"/>
        <v>9.0157842775138857</v>
      </c>
      <c r="W1652">
        <v>1</v>
      </c>
      <c r="X1652">
        <v>0</v>
      </c>
      <c r="Y1652">
        <v>1</v>
      </c>
      <c r="Z1652">
        <f>'Résultat (Ln)'!F$30+'Résultat (Ln)'!F$31*Données!S1652+'Résultat (Ln)'!F$32*Données!T1652+'Résultat (Ln)'!F$33*Données!U1652+'Résultat (Ln)'!F$34*Données!V1652+'Résultat (Ln)'!F$35*Données!W1652+'Résultat (Ln)'!F$36*Données!X1652+'Résultat (Ln)'!F$37*Données!Y1652</f>
        <v>194659.29800129443</v>
      </c>
      <c r="AA1652">
        <f t="shared" si="103"/>
        <v>-12659.298001294432</v>
      </c>
    </row>
    <row r="1653" spans="1:27" x14ac:dyDescent="0.25">
      <c r="A1653">
        <v>148000</v>
      </c>
      <c r="B1653">
        <v>1</v>
      </c>
      <c r="C1653">
        <v>33</v>
      </c>
      <c r="D1653">
        <v>0</v>
      </c>
      <c r="E1653">
        <v>185000</v>
      </c>
      <c r="F1653">
        <v>2724</v>
      </c>
      <c r="G1653">
        <v>1</v>
      </c>
      <c r="H1653">
        <v>0</v>
      </c>
      <c r="I1653">
        <v>1</v>
      </c>
      <c r="J1653">
        <v>26</v>
      </c>
      <c r="K1653">
        <v>1</v>
      </c>
      <c r="L1653">
        <f>Résultats!G$32+Résultats!G$33*Données!C1653+Résultats!G$34*Données!D1653+Résultats!G$35*Données!E1653+Résultats!G$36*Données!F1653+Résultats!G$37*Données!G1653+Résultats!G$38*Données!H1653+Résultats!G$39*Données!I1653</f>
        <v>143074.69133354144</v>
      </c>
      <c r="M1653">
        <f t="shared" si="100"/>
        <v>4925.3086664585571</v>
      </c>
      <c r="Q1653">
        <v>187000</v>
      </c>
      <c r="R1653">
        <v>1</v>
      </c>
      <c r="S1653">
        <v>28</v>
      </c>
      <c r="T1653">
        <v>0</v>
      </c>
      <c r="U1653">
        <f t="shared" si="101"/>
        <v>12.429216196844383</v>
      </c>
      <c r="V1653">
        <f t="shared" si="102"/>
        <v>8.334711621820917</v>
      </c>
      <c r="W1653">
        <v>1</v>
      </c>
      <c r="X1653">
        <v>0</v>
      </c>
      <c r="Y1653">
        <v>0</v>
      </c>
      <c r="Z1653">
        <f>'Résultat (Ln)'!F$30+'Résultat (Ln)'!F$31*Données!S1653+'Résultat (Ln)'!F$32*Données!T1653+'Résultat (Ln)'!F$33*Données!U1653+'Résultat (Ln)'!F$34*Données!V1653+'Résultat (Ln)'!F$35*Données!W1653+'Résultat (Ln)'!F$36*Données!X1653+'Résultat (Ln)'!F$37*Données!Y1653</f>
        <v>175011.6179173541</v>
      </c>
      <c r="AA1653">
        <f t="shared" si="103"/>
        <v>11988.382082645898</v>
      </c>
    </row>
    <row r="1654" spans="1:27" x14ac:dyDescent="0.25">
      <c r="A1654">
        <v>121000</v>
      </c>
      <c r="B1654">
        <v>1</v>
      </c>
      <c r="C1654">
        <v>22</v>
      </c>
      <c r="D1654">
        <v>0</v>
      </c>
      <c r="E1654">
        <v>175000</v>
      </c>
      <c r="F1654">
        <v>2500</v>
      </c>
      <c r="G1654">
        <v>1</v>
      </c>
      <c r="H1654">
        <v>0</v>
      </c>
      <c r="I1654">
        <v>0</v>
      </c>
      <c r="J1654">
        <v>21</v>
      </c>
      <c r="K1654">
        <v>1</v>
      </c>
      <c r="L1654">
        <f>Résultats!G$32+Résultats!G$33*Données!C1654+Résultats!G$34*Données!D1654+Résultats!G$35*Données!E1654+Résultats!G$36*Données!F1654+Résultats!G$37*Données!G1654+Résultats!G$38*Données!H1654+Résultats!G$39*Données!I1654</f>
        <v>115410.26324962208</v>
      </c>
      <c r="M1654">
        <f t="shared" si="100"/>
        <v>5589.7367503779242</v>
      </c>
      <c r="Q1654">
        <v>148000</v>
      </c>
      <c r="R1654">
        <v>1</v>
      </c>
      <c r="S1654">
        <v>33</v>
      </c>
      <c r="T1654">
        <v>0</v>
      </c>
      <c r="U1654">
        <f t="shared" si="101"/>
        <v>12.128111104060462</v>
      </c>
      <c r="V1654">
        <f t="shared" si="102"/>
        <v>7.9098566672694028</v>
      </c>
      <c r="W1654">
        <v>1</v>
      </c>
      <c r="X1654">
        <v>0</v>
      </c>
      <c r="Y1654">
        <v>1</v>
      </c>
      <c r="Z1654">
        <f>'Résultat (Ln)'!F$30+'Résultat (Ln)'!F$31*Données!S1654+'Résultat (Ln)'!F$32*Données!T1654+'Résultat (Ln)'!F$33*Données!U1654+'Résultat (Ln)'!F$34*Données!V1654+'Résultat (Ln)'!F$35*Données!W1654+'Résultat (Ln)'!F$36*Données!X1654+'Résultat (Ln)'!F$37*Données!Y1654</f>
        <v>151016.22866126025</v>
      </c>
      <c r="AA1654">
        <f t="shared" si="103"/>
        <v>-3016.2286612602475</v>
      </c>
    </row>
    <row r="1655" spans="1:27" x14ac:dyDescent="0.25">
      <c r="A1655">
        <v>104000</v>
      </c>
      <c r="B1655">
        <v>1</v>
      </c>
      <c r="C1655">
        <v>45</v>
      </c>
      <c r="D1655">
        <v>1</v>
      </c>
      <c r="E1655">
        <v>130000</v>
      </c>
      <c r="F1655">
        <v>3063</v>
      </c>
      <c r="G1655">
        <v>1</v>
      </c>
      <c r="H1655">
        <v>0</v>
      </c>
      <c r="I1655">
        <v>1</v>
      </c>
      <c r="J1655">
        <v>27</v>
      </c>
      <c r="K1655">
        <v>1</v>
      </c>
      <c r="L1655">
        <f>Résultats!G$32+Résultats!G$33*Données!C1655+Résultats!G$34*Données!D1655+Résultats!G$35*Données!E1655+Résultats!G$36*Données!F1655+Résultats!G$37*Données!G1655+Résultats!G$38*Données!H1655+Résultats!G$39*Données!I1655</f>
        <v>136681.46473824192</v>
      </c>
      <c r="M1655">
        <f t="shared" si="100"/>
        <v>-32681.464738241921</v>
      </c>
      <c r="Q1655">
        <v>121000</v>
      </c>
      <c r="R1655">
        <v>1</v>
      </c>
      <c r="S1655">
        <v>22</v>
      </c>
      <c r="T1655">
        <v>0</v>
      </c>
      <c r="U1655">
        <f t="shared" si="101"/>
        <v>12.072541252905651</v>
      </c>
      <c r="V1655">
        <f t="shared" si="102"/>
        <v>7.8240460108562919</v>
      </c>
      <c r="W1655">
        <v>1</v>
      </c>
      <c r="X1655">
        <v>0</v>
      </c>
      <c r="Y1655">
        <v>0</v>
      </c>
      <c r="Z1655">
        <f>'Résultat (Ln)'!F$30+'Résultat (Ln)'!F$31*Données!S1655+'Résultat (Ln)'!F$32*Données!T1655+'Résultat (Ln)'!F$33*Données!U1655+'Résultat (Ln)'!F$34*Données!V1655+'Résultat (Ln)'!F$35*Données!W1655+'Résultat (Ln)'!F$36*Données!X1655+'Résultat (Ln)'!F$37*Données!Y1655</f>
        <v>115123.37751099527</v>
      </c>
      <c r="AA1655">
        <f t="shared" si="103"/>
        <v>5876.6224890047306</v>
      </c>
    </row>
    <row r="1656" spans="1:27" x14ac:dyDescent="0.25">
      <c r="A1656">
        <v>99000</v>
      </c>
      <c r="B1656">
        <v>1</v>
      </c>
      <c r="C1656">
        <v>37</v>
      </c>
      <c r="D1656">
        <v>0</v>
      </c>
      <c r="E1656">
        <v>141000</v>
      </c>
      <c r="F1656">
        <v>3925</v>
      </c>
      <c r="G1656">
        <v>1</v>
      </c>
      <c r="H1656">
        <v>0</v>
      </c>
      <c r="I1656">
        <v>0</v>
      </c>
      <c r="J1656">
        <v>18</v>
      </c>
      <c r="K1656">
        <v>1</v>
      </c>
      <c r="L1656">
        <f>Résultats!G$32+Résultats!G$33*Données!C1656+Résultats!G$34*Données!D1656+Résultats!G$35*Données!E1656+Résultats!G$36*Données!F1656+Résultats!G$37*Données!G1656+Résultats!G$38*Données!H1656+Résultats!G$39*Données!I1656</f>
        <v>119525.25479772103</v>
      </c>
      <c r="M1656">
        <f t="shared" si="100"/>
        <v>-20525.254797721034</v>
      </c>
      <c r="Q1656">
        <v>104000</v>
      </c>
      <c r="R1656">
        <v>1</v>
      </c>
      <c r="S1656">
        <v>45</v>
      </c>
      <c r="T1656">
        <v>1</v>
      </c>
      <c r="U1656">
        <f t="shared" si="101"/>
        <v>11.77528972943772</v>
      </c>
      <c r="V1656">
        <f t="shared" si="102"/>
        <v>8.0271501068327744</v>
      </c>
      <c r="W1656">
        <v>1</v>
      </c>
      <c r="X1656">
        <v>0</v>
      </c>
      <c r="Y1656">
        <v>1</v>
      </c>
      <c r="Z1656">
        <f>'Résultat (Ln)'!F$30+'Résultat (Ln)'!F$31*Données!S1656+'Résultat (Ln)'!F$32*Données!T1656+'Résultat (Ln)'!F$33*Données!U1656+'Résultat (Ln)'!F$34*Données!V1656+'Résultat (Ln)'!F$35*Données!W1656+'Résultat (Ln)'!F$36*Données!X1656+'Résultat (Ln)'!F$37*Données!Y1656</f>
        <v>135498.23271777591</v>
      </c>
      <c r="AA1656">
        <f t="shared" si="103"/>
        <v>-31498.232717775914</v>
      </c>
    </row>
    <row r="1657" spans="1:27" x14ac:dyDescent="0.25">
      <c r="A1657">
        <v>133000</v>
      </c>
      <c r="B1657">
        <v>1</v>
      </c>
      <c r="C1657">
        <v>32</v>
      </c>
      <c r="D1657">
        <v>0</v>
      </c>
      <c r="E1657">
        <v>177000</v>
      </c>
      <c r="F1657">
        <v>2500</v>
      </c>
      <c r="G1657">
        <v>1</v>
      </c>
      <c r="H1657">
        <v>0</v>
      </c>
      <c r="I1657">
        <v>0</v>
      </c>
      <c r="J1657">
        <v>26</v>
      </c>
      <c r="K1657">
        <v>1</v>
      </c>
      <c r="L1657">
        <f>Résultats!G$32+Résultats!G$33*Données!C1657+Résultats!G$34*Données!D1657+Résultats!G$35*Données!E1657+Résultats!G$36*Données!F1657+Résultats!G$37*Données!G1657+Résultats!G$38*Données!H1657+Résultats!G$39*Données!I1657</f>
        <v>127830.87357814464</v>
      </c>
      <c r="M1657">
        <f t="shared" si="100"/>
        <v>5169.1264218553551</v>
      </c>
      <c r="Q1657">
        <v>99000</v>
      </c>
      <c r="R1657">
        <v>1</v>
      </c>
      <c r="S1657">
        <v>37</v>
      </c>
      <c r="T1657">
        <v>0</v>
      </c>
      <c r="U1657">
        <f t="shared" si="101"/>
        <v>11.856515169360305</v>
      </c>
      <c r="V1657">
        <f t="shared" si="102"/>
        <v>8.2751216302165087</v>
      </c>
      <c r="W1657">
        <v>1</v>
      </c>
      <c r="X1657">
        <v>0</v>
      </c>
      <c r="Y1657">
        <v>0</v>
      </c>
      <c r="Z1657">
        <f>'Résultat (Ln)'!F$30+'Résultat (Ln)'!F$31*Données!S1657+'Résultat (Ln)'!F$32*Données!T1657+'Résultat (Ln)'!F$33*Données!U1657+'Résultat (Ln)'!F$34*Données!V1657+'Résultat (Ln)'!F$35*Données!W1657+'Résultat (Ln)'!F$36*Données!X1657+'Résultat (Ln)'!F$37*Données!Y1657</f>
        <v>122947.72706801123</v>
      </c>
      <c r="AA1657">
        <f t="shared" si="103"/>
        <v>-23947.727068011227</v>
      </c>
    </row>
    <row r="1658" spans="1:27" x14ac:dyDescent="0.25">
      <c r="A1658">
        <v>150000</v>
      </c>
      <c r="B1658">
        <v>1</v>
      </c>
      <c r="C1658">
        <v>17</v>
      </c>
      <c r="D1658">
        <v>0</v>
      </c>
      <c r="E1658">
        <v>340000</v>
      </c>
      <c r="F1658">
        <v>14167</v>
      </c>
      <c r="G1658">
        <v>1</v>
      </c>
      <c r="H1658">
        <v>0</v>
      </c>
      <c r="I1658">
        <v>0</v>
      </c>
      <c r="J1658">
        <v>13</v>
      </c>
      <c r="K1658">
        <v>1</v>
      </c>
      <c r="L1658">
        <f>Résultats!G$32+Résultats!G$33*Données!C1658+Résultats!G$34*Données!D1658+Résultats!G$35*Données!E1658+Résultats!G$36*Données!F1658+Résultats!G$37*Données!G1658+Résultats!G$38*Données!H1658+Résultats!G$39*Données!I1658</f>
        <v>209322.36588128889</v>
      </c>
      <c r="M1658">
        <f t="shared" si="100"/>
        <v>-59322.36588128889</v>
      </c>
      <c r="Q1658">
        <v>133000</v>
      </c>
      <c r="R1658">
        <v>1</v>
      </c>
      <c r="S1658">
        <v>32</v>
      </c>
      <c r="T1658">
        <v>0</v>
      </c>
      <c r="U1658">
        <f t="shared" si="101"/>
        <v>12.083905011555967</v>
      </c>
      <c r="V1658">
        <f t="shared" si="102"/>
        <v>7.8240460108562919</v>
      </c>
      <c r="W1658">
        <v>1</v>
      </c>
      <c r="X1658">
        <v>0</v>
      </c>
      <c r="Y1658">
        <v>0</v>
      </c>
      <c r="Z1658">
        <f>'Résultat (Ln)'!F$30+'Résultat (Ln)'!F$31*Données!S1658+'Résultat (Ln)'!F$32*Données!T1658+'Résultat (Ln)'!F$33*Données!U1658+'Résultat (Ln)'!F$34*Données!V1658+'Résultat (Ln)'!F$35*Données!W1658+'Résultat (Ln)'!F$36*Données!X1658+'Résultat (Ln)'!F$37*Données!Y1658</f>
        <v>128561.93175071375</v>
      </c>
      <c r="AA1658">
        <f t="shared" si="103"/>
        <v>4438.0682492862543</v>
      </c>
    </row>
    <row r="1659" spans="1:27" x14ac:dyDescent="0.25">
      <c r="A1659">
        <v>40000</v>
      </c>
      <c r="B1659">
        <v>1</v>
      </c>
      <c r="C1659">
        <v>20.10000038146973</v>
      </c>
      <c r="D1659">
        <v>0</v>
      </c>
      <c r="E1659">
        <v>130000</v>
      </c>
      <c r="F1659">
        <v>3881</v>
      </c>
      <c r="G1659">
        <v>1</v>
      </c>
      <c r="H1659">
        <v>0</v>
      </c>
      <c r="I1659">
        <v>0</v>
      </c>
      <c r="J1659">
        <v>13.10000038146973</v>
      </c>
      <c r="K1659">
        <v>1</v>
      </c>
      <c r="L1659">
        <f>Résultats!G$32+Résultats!G$33*Données!C1659+Résultats!G$34*Données!D1659+Résultats!G$35*Données!E1659+Résultats!G$36*Données!F1659+Résultats!G$37*Données!G1659+Résultats!G$38*Données!H1659+Résultats!G$39*Données!I1659</f>
        <v>94890.977229322249</v>
      </c>
      <c r="M1659">
        <f t="shared" si="100"/>
        <v>-54890.977229322249</v>
      </c>
      <c r="Q1659">
        <v>150000</v>
      </c>
      <c r="R1659">
        <v>1</v>
      </c>
      <c r="S1659">
        <v>17</v>
      </c>
      <c r="T1659">
        <v>0</v>
      </c>
      <c r="U1659">
        <f t="shared" si="101"/>
        <v>12.736700896592344</v>
      </c>
      <c r="V1659">
        <f t="shared" si="102"/>
        <v>9.5586705953793505</v>
      </c>
      <c r="W1659">
        <v>1</v>
      </c>
      <c r="X1659">
        <v>0</v>
      </c>
      <c r="Y1659">
        <v>0</v>
      </c>
      <c r="Z1659">
        <f>'Résultat (Ln)'!F$30+'Résultat (Ln)'!F$31*Données!S1659+'Résultat (Ln)'!F$32*Données!T1659+'Résultat (Ln)'!F$33*Données!U1659+'Résultat (Ln)'!F$34*Données!V1659+'Résultat (Ln)'!F$35*Données!W1659+'Résultat (Ln)'!F$36*Données!X1659+'Résultat (Ln)'!F$37*Données!Y1659</f>
        <v>228857.06366741561</v>
      </c>
      <c r="AA1659">
        <f t="shared" si="103"/>
        <v>-78857.063667415612</v>
      </c>
    </row>
    <row r="1660" spans="1:27" x14ac:dyDescent="0.25">
      <c r="A1660">
        <v>121000</v>
      </c>
      <c r="B1660">
        <v>1</v>
      </c>
      <c r="C1660">
        <v>35.200000762939453</v>
      </c>
      <c r="D1660">
        <v>0</v>
      </c>
      <c r="E1660">
        <v>128000</v>
      </c>
      <c r="F1660">
        <v>2153</v>
      </c>
      <c r="G1660">
        <v>1</v>
      </c>
      <c r="H1660">
        <v>0</v>
      </c>
      <c r="I1660">
        <v>0</v>
      </c>
      <c r="J1660">
        <v>29.329999923706058</v>
      </c>
      <c r="K1660">
        <v>1</v>
      </c>
      <c r="L1660">
        <f>Résultats!G$32+Résultats!G$33*Données!C1660+Résultats!G$34*Données!D1660+Résultats!G$35*Données!E1660+Résultats!G$36*Données!F1660+Résultats!G$37*Données!G1660+Résultats!G$38*Données!H1660+Résultats!G$39*Données!I1660</f>
        <v>107953.4972868117</v>
      </c>
      <c r="M1660">
        <f t="shared" si="100"/>
        <v>13046.502713188296</v>
      </c>
      <c r="Q1660">
        <v>40000</v>
      </c>
      <c r="R1660">
        <v>1</v>
      </c>
      <c r="S1660">
        <v>20.10000038146973</v>
      </c>
      <c r="T1660">
        <v>0</v>
      </c>
      <c r="U1660">
        <f t="shared" si="101"/>
        <v>11.77528972943772</v>
      </c>
      <c r="V1660">
        <f t="shared" si="102"/>
        <v>8.2638481313689063</v>
      </c>
      <c r="W1660">
        <v>1</v>
      </c>
      <c r="X1660">
        <v>0</v>
      </c>
      <c r="Y1660">
        <v>0</v>
      </c>
      <c r="Z1660">
        <f>'Résultat (Ln)'!F$30+'Résultat (Ln)'!F$31*Données!S1660+'Résultat (Ln)'!F$32*Données!T1660+'Résultat (Ln)'!F$33*Données!U1660+'Résultat (Ln)'!F$34*Données!V1660+'Résultat (Ln)'!F$35*Données!W1660+'Résultat (Ln)'!F$36*Données!X1660+'Résultat (Ln)'!F$37*Données!Y1660</f>
        <v>93272.053898420287</v>
      </c>
      <c r="AA1660">
        <f t="shared" si="103"/>
        <v>-53272.053898420287</v>
      </c>
    </row>
    <row r="1661" spans="1:27" x14ac:dyDescent="0.25">
      <c r="A1661">
        <v>123000</v>
      </c>
      <c r="B1661">
        <v>1</v>
      </c>
      <c r="C1661">
        <v>42</v>
      </c>
      <c r="D1661">
        <v>0</v>
      </c>
      <c r="E1661">
        <v>140000</v>
      </c>
      <c r="F1661">
        <v>3074</v>
      </c>
      <c r="G1661">
        <v>1</v>
      </c>
      <c r="H1661">
        <v>0</v>
      </c>
      <c r="I1661">
        <v>0</v>
      </c>
      <c r="J1661">
        <v>27</v>
      </c>
      <c r="K1661">
        <v>1</v>
      </c>
      <c r="L1661">
        <f>Résultats!G$32+Résultats!G$33*Données!C1661+Résultats!G$34*Données!D1661+Résultats!G$35*Données!E1661+Résultats!G$36*Données!F1661+Résultats!G$37*Données!G1661+Résultats!G$38*Données!H1661+Résultats!G$39*Données!I1661</f>
        <v>123152.59637637889</v>
      </c>
      <c r="M1661">
        <f t="shared" si="100"/>
        <v>-152.59637637888954</v>
      </c>
      <c r="Q1661">
        <v>121000</v>
      </c>
      <c r="R1661">
        <v>1</v>
      </c>
      <c r="S1661">
        <v>35.200000762939453</v>
      </c>
      <c r="T1661">
        <v>0</v>
      </c>
      <c r="U1661">
        <f t="shared" si="101"/>
        <v>11.759785542901755</v>
      </c>
      <c r="V1661">
        <f t="shared" si="102"/>
        <v>7.6746174973643626</v>
      </c>
      <c r="W1661">
        <v>1</v>
      </c>
      <c r="X1661">
        <v>0</v>
      </c>
      <c r="Y1661">
        <v>0</v>
      </c>
      <c r="Z1661">
        <f>'Résultat (Ln)'!F$30+'Résultat (Ln)'!F$31*Données!S1661+'Résultat (Ln)'!F$32*Données!T1661+'Résultat (Ln)'!F$33*Données!U1661+'Résultat (Ln)'!F$34*Données!V1661+'Résultat (Ln)'!F$35*Données!W1661+'Résultat (Ln)'!F$36*Données!X1661+'Résultat (Ln)'!F$37*Données!Y1661</f>
        <v>93537.452625400081</v>
      </c>
      <c r="AA1661">
        <f t="shared" si="103"/>
        <v>27462.547374599919</v>
      </c>
    </row>
    <row r="1662" spans="1:27" x14ac:dyDescent="0.25">
      <c r="A1662">
        <v>185000</v>
      </c>
      <c r="B1662">
        <v>1</v>
      </c>
      <c r="C1662">
        <v>36</v>
      </c>
      <c r="D1662">
        <v>0</v>
      </c>
      <c r="E1662">
        <v>310000</v>
      </c>
      <c r="F1662">
        <v>4683</v>
      </c>
      <c r="G1662">
        <v>0</v>
      </c>
      <c r="H1662">
        <v>0</v>
      </c>
      <c r="I1662">
        <v>0</v>
      </c>
      <c r="J1662">
        <v>30</v>
      </c>
      <c r="K1662">
        <v>1</v>
      </c>
      <c r="L1662">
        <f>Résultats!G$32+Résultats!G$33*Données!C1662+Résultats!G$34*Données!D1662+Résultats!G$35*Données!E1662+Résultats!G$36*Données!F1662+Résultats!G$37*Données!G1662+Résultats!G$38*Données!H1662+Résultats!G$39*Données!I1662</f>
        <v>191743.91116647038</v>
      </c>
      <c r="M1662">
        <f t="shared" si="100"/>
        <v>-6743.9111664703814</v>
      </c>
      <c r="Q1662">
        <v>123000</v>
      </c>
      <c r="R1662">
        <v>1</v>
      </c>
      <c r="S1662">
        <v>42</v>
      </c>
      <c r="T1662">
        <v>0</v>
      </c>
      <c r="U1662">
        <f t="shared" si="101"/>
        <v>11.849397701591441</v>
      </c>
      <c r="V1662">
        <f t="shared" si="102"/>
        <v>8.0307349240985406</v>
      </c>
      <c r="W1662">
        <v>1</v>
      </c>
      <c r="X1662">
        <v>0</v>
      </c>
      <c r="Y1662">
        <v>0</v>
      </c>
      <c r="Z1662">
        <f>'Résultat (Ln)'!F$30+'Résultat (Ln)'!F$31*Données!S1662+'Résultat (Ln)'!F$32*Données!T1662+'Résultat (Ln)'!F$33*Données!U1662+'Résultat (Ln)'!F$34*Données!V1662+'Résultat (Ln)'!F$35*Données!W1662+'Résultat (Ln)'!F$36*Données!X1662+'Résultat (Ln)'!F$37*Données!Y1662</f>
        <v>121440.95198368061</v>
      </c>
      <c r="AA1662">
        <f t="shared" si="103"/>
        <v>1559.0480163193861</v>
      </c>
    </row>
    <row r="1663" spans="1:27" x14ac:dyDescent="0.25">
      <c r="A1663">
        <v>95000</v>
      </c>
      <c r="B1663">
        <v>1</v>
      </c>
      <c r="C1663">
        <v>25</v>
      </c>
      <c r="D1663">
        <v>0</v>
      </c>
      <c r="E1663">
        <v>80000</v>
      </c>
      <c r="F1663">
        <v>3400</v>
      </c>
      <c r="G1663">
        <v>0</v>
      </c>
      <c r="H1663">
        <v>0</v>
      </c>
      <c r="I1663">
        <v>1</v>
      </c>
      <c r="J1663">
        <v>17</v>
      </c>
      <c r="K1663">
        <v>0</v>
      </c>
      <c r="L1663">
        <f>Résultats!G$32+Résultats!G$33*Données!C1663+Résultats!G$34*Données!D1663+Résultats!G$35*Données!E1663+Résultats!G$36*Données!F1663+Résultats!G$37*Données!G1663+Résultats!G$38*Données!H1663+Résultats!G$39*Données!I1663</f>
        <v>79148.560868176777</v>
      </c>
      <c r="M1663">
        <f t="shared" si="100"/>
        <v>15851.439131823223</v>
      </c>
      <c r="Q1663">
        <v>185000</v>
      </c>
      <c r="R1663">
        <v>1</v>
      </c>
      <c r="S1663">
        <v>36</v>
      </c>
      <c r="T1663">
        <v>0</v>
      </c>
      <c r="U1663">
        <f t="shared" si="101"/>
        <v>12.644327576461329</v>
      </c>
      <c r="V1663">
        <f t="shared" si="102"/>
        <v>8.4516942091835414</v>
      </c>
      <c r="W1663">
        <v>0</v>
      </c>
      <c r="X1663">
        <v>0</v>
      </c>
      <c r="Y1663">
        <v>0</v>
      </c>
      <c r="Z1663">
        <f>'Résultat (Ln)'!F$30+'Résultat (Ln)'!F$31*Données!S1663+'Résultat (Ln)'!F$32*Données!T1663+'Résultat (Ln)'!F$33*Données!U1663+'Résultat (Ln)'!F$34*Données!V1663+'Résultat (Ln)'!F$35*Données!W1663+'Résultat (Ln)'!F$36*Données!X1663+'Résultat (Ln)'!F$37*Données!Y1663</f>
        <v>206613.77040035863</v>
      </c>
      <c r="AA1663">
        <f t="shared" si="103"/>
        <v>-21613.770400358626</v>
      </c>
    </row>
    <row r="1664" spans="1:27" x14ac:dyDescent="0.25">
      <c r="A1664">
        <v>124000</v>
      </c>
      <c r="B1664">
        <v>1</v>
      </c>
      <c r="C1664">
        <v>32.599998474121087</v>
      </c>
      <c r="D1664">
        <v>0</v>
      </c>
      <c r="E1664">
        <v>155000</v>
      </c>
      <c r="F1664">
        <v>3000</v>
      </c>
      <c r="G1664">
        <v>0</v>
      </c>
      <c r="H1664">
        <v>0</v>
      </c>
      <c r="I1664">
        <v>0</v>
      </c>
      <c r="J1664">
        <v>26.579999923706058</v>
      </c>
      <c r="K1664">
        <v>1</v>
      </c>
      <c r="L1664">
        <f>Résultats!G$32+Résultats!G$33*Données!C1664+Résultats!G$34*Données!D1664+Résultats!G$35*Données!E1664+Résultats!G$36*Données!F1664+Résultats!G$37*Données!G1664+Résultats!G$38*Données!H1664+Résultats!G$39*Données!I1664</f>
        <v>112199.37734391501</v>
      </c>
      <c r="M1664">
        <f t="shared" si="100"/>
        <v>11800.62265608499</v>
      </c>
      <c r="Q1664">
        <v>95000</v>
      </c>
      <c r="R1664">
        <v>1</v>
      </c>
      <c r="S1664">
        <v>25</v>
      </c>
      <c r="T1664">
        <v>0</v>
      </c>
      <c r="U1664">
        <f t="shared" si="101"/>
        <v>11.289781913656018</v>
      </c>
      <c r="V1664">
        <f t="shared" si="102"/>
        <v>8.1315307106042525</v>
      </c>
      <c r="W1664">
        <v>0</v>
      </c>
      <c r="X1664">
        <v>0</v>
      </c>
      <c r="Y1664">
        <v>1</v>
      </c>
      <c r="Z1664">
        <f>'Résultat (Ln)'!F$30+'Résultat (Ln)'!F$31*Données!S1664+'Résultat (Ln)'!F$32*Données!T1664+'Résultat (Ln)'!F$33*Données!U1664+'Résultat (Ln)'!F$34*Données!V1664+'Résultat (Ln)'!F$35*Données!W1664+'Résultat (Ln)'!F$36*Données!X1664+'Résultat (Ln)'!F$37*Données!Y1664</f>
        <v>53077.72196330817</v>
      </c>
      <c r="AA1664">
        <f t="shared" si="103"/>
        <v>41922.27803669183</v>
      </c>
    </row>
    <row r="1665" spans="1:27" x14ac:dyDescent="0.25">
      <c r="A1665">
        <v>120000</v>
      </c>
      <c r="B1665">
        <v>1</v>
      </c>
      <c r="C1665">
        <v>35</v>
      </c>
      <c r="D1665">
        <v>0</v>
      </c>
      <c r="E1665">
        <v>150000</v>
      </c>
      <c r="F1665">
        <v>2166</v>
      </c>
      <c r="G1665">
        <v>0</v>
      </c>
      <c r="H1665">
        <v>0</v>
      </c>
      <c r="I1665">
        <v>0</v>
      </c>
      <c r="J1665">
        <v>31</v>
      </c>
      <c r="K1665">
        <v>1</v>
      </c>
      <c r="L1665">
        <f>Résultats!G$32+Résultats!G$33*Données!C1665+Résultats!G$34*Données!D1665+Résultats!G$35*Données!E1665+Résultats!G$36*Données!F1665+Résultats!G$37*Données!G1665+Résultats!G$38*Données!H1665+Résultats!G$39*Données!I1665</f>
        <v>111005.30700012602</v>
      </c>
      <c r="M1665">
        <f t="shared" si="100"/>
        <v>8994.6929998739797</v>
      </c>
      <c r="Q1665">
        <v>124000</v>
      </c>
      <c r="R1665">
        <v>1</v>
      </c>
      <c r="S1665">
        <v>32.599998474121087</v>
      </c>
      <c r="T1665">
        <v>0</v>
      </c>
      <c r="U1665">
        <f t="shared" si="101"/>
        <v>11.951180395901384</v>
      </c>
      <c r="V1665">
        <f t="shared" si="102"/>
        <v>8.0063675676502459</v>
      </c>
      <c r="W1665">
        <v>0</v>
      </c>
      <c r="X1665">
        <v>0</v>
      </c>
      <c r="Y1665">
        <v>0</v>
      </c>
      <c r="Z1665">
        <f>'Résultat (Ln)'!F$30+'Résultat (Ln)'!F$31*Données!S1665+'Résultat (Ln)'!F$32*Données!T1665+'Résultat (Ln)'!F$33*Données!U1665+'Résultat (Ln)'!F$34*Données!V1665+'Résultat (Ln)'!F$35*Données!W1665+'Résultat (Ln)'!F$36*Données!X1665+'Résultat (Ln)'!F$37*Données!Y1665</f>
        <v>115666.98587525863</v>
      </c>
      <c r="AA1665">
        <f t="shared" si="103"/>
        <v>8333.0141247413703</v>
      </c>
    </row>
    <row r="1666" spans="1:27" x14ac:dyDescent="0.25">
      <c r="A1666">
        <v>123000</v>
      </c>
      <c r="B1666">
        <v>1</v>
      </c>
      <c r="C1666">
        <v>36</v>
      </c>
      <c r="D1666">
        <v>0</v>
      </c>
      <c r="E1666">
        <v>154000</v>
      </c>
      <c r="F1666">
        <v>3590</v>
      </c>
      <c r="G1666">
        <v>1</v>
      </c>
      <c r="H1666">
        <v>0</v>
      </c>
      <c r="I1666">
        <v>1</v>
      </c>
      <c r="J1666">
        <v>30</v>
      </c>
      <c r="K1666">
        <v>1</v>
      </c>
      <c r="L1666">
        <f>Résultats!G$32+Résultats!G$33*Données!C1666+Résultats!G$34*Données!D1666+Résultats!G$35*Données!E1666+Résultats!G$36*Données!F1666+Résultats!G$37*Données!G1666+Résultats!G$38*Données!H1666+Résultats!G$39*Données!I1666</f>
        <v>133723.27500078798</v>
      </c>
      <c r="M1666">
        <f t="shared" si="100"/>
        <v>-10723.27500078798</v>
      </c>
      <c r="Q1666">
        <v>120000</v>
      </c>
      <c r="R1666">
        <v>1</v>
      </c>
      <c r="S1666">
        <v>35</v>
      </c>
      <c r="T1666">
        <v>0</v>
      </c>
      <c r="U1666">
        <f t="shared" si="101"/>
        <v>11.918390573078392</v>
      </c>
      <c r="V1666">
        <f t="shared" si="102"/>
        <v>7.6806374275609359</v>
      </c>
      <c r="W1666">
        <v>0</v>
      </c>
      <c r="X1666">
        <v>0</v>
      </c>
      <c r="Y1666">
        <v>0</v>
      </c>
      <c r="Z1666">
        <f>'Résultat (Ln)'!F$30+'Résultat (Ln)'!F$31*Données!S1666+'Résultat (Ln)'!F$32*Données!T1666+'Résultat (Ln)'!F$33*Données!U1666+'Résultat (Ln)'!F$34*Données!V1666+'Résultat (Ln)'!F$35*Données!W1666+'Résultat (Ln)'!F$36*Données!X1666+'Résultat (Ln)'!F$37*Données!Y1666</f>
        <v>105949.60239287198</v>
      </c>
      <c r="AA1666">
        <f t="shared" si="103"/>
        <v>14050.397607128019</v>
      </c>
    </row>
    <row r="1667" spans="1:27" x14ac:dyDescent="0.25">
      <c r="A1667">
        <v>29000</v>
      </c>
      <c r="B1667">
        <v>1</v>
      </c>
      <c r="C1667">
        <v>36</v>
      </c>
      <c r="D1667">
        <v>0</v>
      </c>
      <c r="E1667">
        <v>140000</v>
      </c>
      <c r="F1667">
        <v>3000</v>
      </c>
      <c r="G1667">
        <v>1</v>
      </c>
      <c r="H1667">
        <v>0</v>
      </c>
      <c r="I1667">
        <v>0</v>
      </c>
      <c r="J1667">
        <v>26</v>
      </c>
      <c r="K1667">
        <v>1</v>
      </c>
      <c r="L1667">
        <f>Résultats!G$32+Résultats!G$33*Données!C1667+Résultats!G$34*Données!D1667+Résultats!G$35*Données!E1667+Résultats!G$36*Données!F1667+Résultats!G$37*Données!G1667+Résultats!G$38*Données!H1667+Résultats!G$39*Données!I1667</f>
        <v>116117.17783660656</v>
      </c>
      <c r="M1667">
        <f t="shared" ref="M1667:M1730" si="104">A1667-L1667</f>
        <v>-87117.177836606556</v>
      </c>
      <c r="Q1667">
        <v>123000</v>
      </c>
      <c r="R1667">
        <v>1</v>
      </c>
      <c r="S1667">
        <v>36</v>
      </c>
      <c r="T1667">
        <v>0</v>
      </c>
      <c r="U1667">
        <f t="shared" si="101"/>
        <v>11.944707881395766</v>
      </c>
      <c r="V1667">
        <f t="shared" si="102"/>
        <v>8.1859074814823245</v>
      </c>
      <c r="W1667">
        <v>1</v>
      </c>
      <c r="X1667">
        <v>0</v>
      </c>
      <c r="Y1667">
        <v>1</v>
      </c>
      <c r="Z1667">
        <f>'Résultat (Ln)'!F$30+'Résultat (Ln)'!F$31*Données!S1667+'Résultat (Ln)'!F$32*Données!T1667+'Résultat (Ln)'!F$33*Données!U1667+'Résultat (Ln)'!F$34*Données!V1667+'Résultat (Ln)'!F$35*Données!W1667+'Résultat (Ln)'!F$36*Données!X1667+'Résultat (Ln)'!F$37*Données!Y1667</f>
        <v>142764.40319922986</v>
      </c>
      <c r="AA1667">
        <f t="shared" si="103"/>
        <v>-19764.403199229855</v>
      </c>
    </row>
    <row r="1668" spans="1:27" x14ac:dyDescent="0.25">
      <c r="A1668">
        <v>45000</v>
      </c>
      <c r="B1668">
        <v>1</v>
      </c>
      <c r="C1668">
        <v>21.60000038146973</v>
      </c>
      <c r="D1668">
        <v>0</v>
      </c>
      <c r="E1668">
        <v>139000</v>
      </c>
      <c r="F1668">
        <v>2192</v>
      </c>
      <c r="G1668">
        <v>1</v>
      </c>
      <c r="H1668">
        <v>0</v>
      </c>
      <c r="I1668">
        <v>0</v>
      </c>
      <c r="J1668">
        <v>12.39999961853027</v>
      </c>
      <c r="K1668">
        <v>1</v>
      </c>
      <c r="L1668">
        <f>Résultats!G$32+Résultats!G$33*Données!C1668+Résultats!G$34*Données!D1668+Résultats!G$35*Données!E1668+Résultats!G$36*Données!F1668+Résultats!G$37*Données!G1668+Résultats!G$38*Données!H1668+Résultats!G$39*Données!I1668</f>
        <v>97543.639355290856</v>
      </c>
      <c r="M1668">
        <f t="shared" si="104"/>
        <v>-52543.639355290856</v>
      </c>
      <c r="Q1668">
        <v>29000</v>
      </c>
      <c r="R1668">
        <v>1</v>
      </c>
      <c r="S1668">
        <v>36</v>
      </c>
      <c r="T1668">
        <v>0</v>
      </c>
      <c r="U1668">
        <f t="shared" ref="U1668:U1731" si="105">LN(E1667)</f>
        <v>11.849397701591441</v>
      </c>
      <c r="V1668">
        <f t="shared" ref="V1668:V1731" si="106">LN(F1667)</f>
        <v>8.0063675676502459</v>
      </c>
      <c r="W1668">
        <v>1</v>
      </c>
      <c r="X1668">
        <v>0</v>
      </c>
      <c r="Y1668">
        <v>0</v>
      </c>
      <c r="Z1668">
        <f>'Résultat (Ln)'!F$30+'Résultat (Ln)'!F$31*Données!S1668+'Résultat (Ln)'!F$32*Données!T1668+'Résultat (Ln)'!F$33*Données!U1668+'Résultat (Ln)'!F$34*Données!V1668+'Résultat (Ln)'!F$35*Données!W1668+'Résultat (Ln)'!F$36*Données!X1668+'Résultat (Ln)'!F$37*Données!Y1668</f>
        <v>113425.30433469669</v>
      </c>
      <c r="AA1668">
        <f t="shared" ref="AA1668:AA1731" si="107">Q1668-Z1668</f>
        <v>-84425.304334696688</v>
      </c>
    </row>
    <row r="1669" spans="1:27" x14ac:dyDescent="0.25">
      <c r="A1669">
        <v>55000</v>
      </c>
      <c r="B1669">
        <v>1</v>
      </c>
      <c r="C1669">
        <v>31</v>
      </c>
      <c r="D1669">
        <v>0</v>
      </c>
      <c r="E1669">
        <v>95000</v>
      </c>
      <c r="F1669">
        <v>2500</v>
      </c>
      <c r="G1669">
        <v>0</v>
      </c>
      <c r="H1669">
        <v>0</v>
      </c>
      <c r="I1669">
        <v>0</v>
      </c>
      <c r="J1669">
        <v>31</v>
      </c>
      <c r="K1669">
        <v>1</v>
      </c>
      <c r="L1669">
        <f>Résultats!G$32+Résultats!G$33*Données!C1669+Résultats!G$34*Données!D1669+Résultats!G$35*Données!E1669+Résultats!G$36*Données!F1669+Résultats!G$37*Données!G1669+Résultats!G$38*Données!H1669+Résultats!G$39*Données!I1669</f>
        <v>81375.416686823417</v>
      </c>
      <c r="M1669">
        <f t="shared" si="104"/>
        <v>-26375.416686823417</v>
      </c>
      <c r="Q1669">
        <v>45000</v>
      </c>
      <c r="R1669">
        <v>1</v>
      </c>
      <c r="S1669">
        <v>21.60000038146973</v>
      </c>
      <c r="T1669">
        <v>0</v>
      </c>
      <c r="U1669">
        <f t="shared" si="105"/>
        <v>11.842229212112828</v>
      </c>
      <c r="V1669">
        <f t="shared" si="106"/>
        <v>7.6925696480679058</v>
      </c>
      <c r="W1669">
        <v>1</v>
      </c>
      <c r="X1669">
        <v>0</v>
      </c>
      <c r="Y1669">
        <v>0</v>
      </c>
      <c r="Z1669">
        <f>'Résultat (Ln)'!F$30+'Résultat (Ln)'!F$31*Données!S1669+'Résultat (Ln)'!F$32*Données!T1669+'Résultat (Ln)'!F$33*Données!U1669+'Résultat (Ln)'!F$34*Données!V1669+'Résultat (Ln)'!F$35*Données!W1669+'Résultat (Ln)'!F$36*Données!X1669+'Résultat (Ln)'!F$37*Données!Y1669</f>
        <v>86258.77309080986</v>
      </c>
      <c r="AA1669">
        <f t="shared" si="107"/>
        <v>-41258.77309080986</v>
      </c>
    </row>
    <row r="1670" spans="1:27" x14ac:dyDescent="0.25">
      <c r="A1670">
        <v>132000</v>
      </c>
      <c r="B1670">
        <v>1</v>
      </c>
      <c r="C1670">
        <v>33</v>
      </c>
      <c r="D1670">
        <v>0</v>
      </c>
      <c r="E1670">
        <v>165000</v>
      </c>
      <c r="F1670">
        <v>2364</v>
      </c>
      <c r="G1670">
        <v>1</v>
      </c>
      <c r="H1670">
        <v>1</v>
      </c>
      <c r="I1670">
        <v>0</v>
      </c>
      <c r="J1670">
        <v>28</v>
      </c>
      <c r="K1670">
        <v>0</v>
      </c>
      <c r="L1670">
        <f>Résultats!G$32+Résultats!G$33*Données!C1670+Résultats!G$34*Données!D1670+Résultats!G$35*Données!E1670+Résultats!G$36*Données!F1670+Résultats!G$37*Données!G1670+Résultats!G$38*Données!H1670+Résultats!G$39*Données!I1670</f>
        <v>121487.2891722708</v>
      </c>
      <c r="M1670">
        <f t="shared" si="104"/>
        <v>10512.710827729199</v>
      </c>
      <c r="Q1670">
        <v>55000</v>
      </c>
      <c r="R1670">
        <v>1</v>
      </c>
      <c r="S1670">
        <v>31</v>
      </c>
      <c r="T1670">
        <v>0</v>
      </c>
      <c r="U1670">
        <f t="shared" si="105"/>
        <v>11.461632170582678</v>
      </c>
      <c r="V1670">
        <f t="shared" si="106"/>
        <v>7.8240460108562919</v>
      </c>
      <c r="W1670">
        <v>0</v>
      </c>
      <c r="X1670">
        <v>0</v>
      </c>
      <c r="Y1670">
        <v>0</v>
      </c>
      <c r="Z1670">
        <f>'Résultat (Ln)'!F$30+'Résultat (Ln)'!F$31*Données!S1670+'Résultat (Ln)'!F$32*Données!T1670+'Résultat (Ln)'!F$33*Données!U1670+'Résultat (Ln)'!F$34*Données!V1670+'Résultat (Ln)'!F$35*Données!W1670+'Résultat (Ln)'!F$36*Données!X1670+'Résultat (Ln)'!F$37*Données!Y1670</f>
        <v>56120.970281441696</v>
      </c>
      <c r="AA1670">
        <f t="shared" si="107"/>
        <v>-1120.970281441696</v>
      </c>
    </row>
    <row r="1671" spans="1:27" x14ac:dyDescent="0.25">
      <c r="A1671">
        <v>100000</v>
      </c>
      <c r="B1671">
        <v>1</v>
      </c>
      <c r="C1671">
        <v>33</v>
      </c>
      <c r="D1671">
        <v>0</v>
      </c>
      <c r="E1671">
        <v>138000</v>
      </c>
      <c r="F1671">
        <v>5677</v>
      </c>
      <c r="G1671">
        <v>1</v>
      </c>
      <c r="H1671">
        <v>0</v>
      </c>
      <c r="I1671">
        <v>0</v>
      </c>
      <c r="J1671">
        <v>20</v>
      </c>
      <c r="K1671">
        <v>1</v>
      </c>
      <c r="L1671">
        <f>Résultats!G$32+Résultats!G$33*Données!C1671+Résultats!G$34*Données!D1671+Résultats!G$35*Données!E1671+Résultats!G$36*Données!F1671+Résultats!G$37*Données!G1671+Résultats!G$38*Données!H1671+Résultats!G$39*Données!I1671</f>
        <v>116924.71694003645</v>
      </c>
      <c r="M1671">
        <f t="shared" si="104"/>
        <v>-16924.716940036451</v>
      </c>
      <c r="Q1671">
        <v>132000</v>
      </c>
      <c r="R1671">
        <v>1</v>
      </c>
      <c r="S1671">
        <v>33</v>
      </c>
      <c r="T1671">
        <v>0</v>
      </c>
      <c r="U1671">
        <f t="shared" si="105"/>
        <v>12.013700752882718</v>
      </c>
      <c r="V1671">
        <f t="shared" si="106"/>
        <v>7.7681103785259884</v>
      </c>
      <c r="W1671">
        <v>1</v>
      </c>
      <c r="X1671">
        <v>1</v>
      </c>
      <c r="Y1671">
        <v>0</v>
      </c>
      <c r="Z1671">
        <f>'Résultat (Ln)'!F$30+'Résultat (Ln)'!F$31*Données!S1671+'Résultat (Ln)'!F$32*Données!T1671+'Résultat (Ln)'!F$33*Données!U1671+'Résultat (Ln)'!F$34*Données!V1671+'Résultat (Ln)'!F$35*Données!W1671+'Résultat (Ln)'!F$36*Données!X1671+'Résultat (Ln)'!F$37*Données!Y1671</f>
        <v>120512.08921717686</v>
      </c>
      <c r="AA1671">
        <f t="shared" si="107"/>
        <v>11487.910782823135</v>
      </c>
    </row>
    <row r="1672" spans="1:27" x14ac:dyDescent="0.25">
      <c r="A1672">
        <v>480000</v>
      </c>
      <c r="B1672">
        <v>1</v>
      </c>
      <c r="C1672">
        <v>47</v>
      </c>
      <c r="D1672">
        <v>0</v>
      </c>
      <c r="E1672">
        <v>640000</v>
      </c>
      <c r="F1672">
        <v>7948</v>
      </c>
      <c r="G1672">
        <v>1</v>
      </c>
      <c r="H1672">
        <v>0</v>
      </c>
      <c r="I1672">
        <v>1</v>
      </c>
      <c r="J1672">
        <v>27</v>
      </c>
      <c r="K1672">
        <v>1</v>
      </c>
      <c r="L1672">
        <f>Résultats!G$32+Résultats!G$33*Données!C1672+Résultats!G$34*Données!D1672+Résultats!G$35*Données!E1672+Résultats!G$36*Données!F1672+Résultats!G$37*Données!G1672+Résultats!G$38*Données!H1672+Résultats!G$39*Données!I1672</f>
        <v>381742.81508594024</v>
      </c>
      <c r="M1672">
        <f t="shared" si="104"/>
        <v>98257.184914059762</v>
      </c>
      <c r="Q1672">
        <v>100000</v>
      </c>
      <c r="R1672">
        <v>1</v>
      </c>
      <c r="S1672">
        <v>33</v>
      </c>
      <c r="T1672">
        <v>0</v>
      </c>
      <c r="U1672">
        <f t="shared" si="105"/>
        <v>11.835008964139341</v>
      </c>
      <c r="V1672">
        <f t="shared" si="106"/>
        <v>8.6441782031707266</v>
      </c>
      <c r="W1672">
        <v>1</v>
      </c>
      <c r="X1672">
        <v>0</v>
      </c>
      <c r="Y1672">
        <v>0</v>
      </c>
      <c r="Z1672">
        <f>'Résultat (Ln)'!F$30+'Résultat (Ln)'!F$31*Données!S1672+'Résultat (Ln)'!F$32*Données!T1672+'Résultat (Ln)'!F$33*Données!U1672+'Résultat (Ln)'!F$34*Données!V1672+'Résultat (Ln)'!F$35*Données!W1672+'Résultat (Ln)'!F$36*Données!X1672+'Résultat (Ln)'!F$37*Données!Y1672</f>
        <v>126104.67754756311</v>
      </c>
      <c r="AA1672">
        <f t="shared" si="107"/>
        <v>-26104.677547563115</v>
      </c>
    </row>
    <row r="1673" spans="1:27" x14ac:dyDescent="0.25">
      <c r="A1673">
        <v>144000</v>
      </c>
      <c r="B1673">
        <v>1</v>
      </c>
      <c r="C1673">
        <v>26.29999923706055</v>
      </c>
      <c r="D1673">
        <v>0</v>
      </c>
      <c r="E1673">
        <v>180000</v>
      </c>
      <c r="F1673">
        <v>2875</v>
      </c>
      <c r="G1673">
        <v>1</v>
      </c>
      <c r="H1673">
        <v>0</v>
      </c>
      <c r="I1673">
        <v>0</v>
      </c>
      <c r="J1673">
        <v>24.79999923706055</v>
      </c>
      <c r="K1673">
        <v>1</v>
      </c>
      <c r="L1673">
        <f>Résultats!G$32+Résultats!G$33*Données!C1673+Résultats!G$34*Données!D1673+Résultats!G$35*Données!E1673+Résultats!G$36*Données!F1673+Résultats!G$37*Données!G1673+Résultats!G$38*Données!H1673+Résultats!G$39*Données!I1673</f>
        <v>123410.98160898393</v>
      </c>
      <c r="M1673">
        <f t="shared" si="104"/>
        <v>20589.01839101607</v>
      </c>
      <c r="Q1673">
        <v>480000</v>
      </c>
      <c r="R1673">
        <v>1</v>
      </c>
      <c r="S1673">
        <v>47</v>
      </c>
      <c r="T1673">
        <v>0</v>
      </c>
      <c r="U1673">
        <f t="shared" si="105"/>
        <v>13.369223455335854</v>
      </c>
      <c r="V1673">
        <f t="shared" si="106"/>
        <v>8.9806756036717079</v>
      </c>
      <c r="W1673">
        <v>1</v>
      </c>
      <c r="X1673">
        <v>0</v>
      </c>
      <c r="Y1673">
        <v>1</v>
      </c>
      <c r="Z1673">
        <f>'Résultat (Ln)'!F$30+'Résultat (Ln)'!F$31*Données!S1673+'Résultat (Ln)'!F$32*Données!T1673+'Résultat (Ln)'!F$33*Données!U1673+'Résultat (Ln)'!F$34*Données!V1673+'Résultat (Ln)'!F$35*Données!W1673+'Résultat (Ln)'!F$36*Données!X1673+'Résultat (Ln)'!F$37*Données!Y1673</f>
        <v>331198.50978574681</v>
      </c>
      <c r="AA1673">
        <f t="shared" si="107"/>
        <v>148801.49021425319</v>
      </c>
    </row>
    <row r="1674" spans="1:27" x14ac:dyDescent="0.25">
      <c r="A1674">
        <v>200000</v>
      </c>
      <c r="B1674">
        <v>1</v>
      </c>
      <c r="C1674">
        <v>25</v>
      </c>
      <c r="D1674">
        <v>0</v>
      </c>
      <c r="E1674">
        <v>645000</v>
      </c>
      <c r="F1674">
        <v>16667</v>
      </c>
      <c r="G1674">
        <v>1</v>
      </c>
      <c r="H1674">
        <v>0</v>
      </c>
      <c r="I1674">
        <v>0</v>
      </c>
      <c r="J1674">
        <v>18</v>
      </c>
      <c r="K1674">
        <v>1</v>
      </c>
      <c r="L1674">
        <f>Résultats!G$32+Résultats!G$33*Données!C1674+Résultats!G$34*Données!D1674+Résultats!G$35*Données!E1674+Résultats!G$36*Données!F1674+Résultats!G$37*Données!G1674+Résultats!G$38*Données!H1674+Résultats!G$39*Données!I1674</f>
        <v>365776.94427376933</v>
      </c>
      <c r="M1674">
        <f t="shared" si="104"/>
        <v>-165776.94427376933</v>
      </c>
      <c r="Q1674">
        <v>144000</v>
      </c>
      <c r="R1674">
        <v>1</v>
      </c>
      <c r="S1674">
        <v>26.29999923706055</v>
      </c>
      <c r="T1674">
        <v>0</v>
      </c>
      <c r="U1674">
        <f t="shared" si="105"/>
        <v>12.100712129872347</v>
      </c>
      <c r="V1674">
        <f t="shared" si="106"/>
        <v>7.9638079532314512</v>
      </c>
      <c r="W1674">
        <v>1</v>
      </c>
      <c r="X1674">
        <v>0</v>
      </c>
      <c r="Y1674">
        <v>0</v>
      </c>
      <c r="Z1674">
        <f>'Résultat (Ln)'!F$30+'Résultat (Ln)'!F$31*Données!S1674+'Résultat (Ln)'!F$32*Données!T1674+'Résultat (Ln)'!F$33*Données!U1674+'Résultat (Ln)'!F$34*Données!V1674+'Résultat (Ln)'!F$35*Données!W1674+'Résultat (Ln)'!F$36*Données!X1674+'Résultat (Ln)'!F$37*Données!Y1674</f>
        <v>127317.68034828252</v>
      </c>
      <c r="AA1674">
        <f t="shared" si="107"/>
        <v>16682.31965171748</v>
      </c>
    </row>
    <row r="1675" spans="1:27" x14ac:dyDescent="0.25">
      <c r="A1675">
        <v>114000</v>
      </c>
      <c r="B1675">
        <v>1</v>
      </c>
      <c r="C1675">
        <v>34</v>
      </c>
      <c r="D1675">
        <v>0</v>
      </c>
      <c r="E1675">
        <v>120000</v>
      </c>
      <c r="F1675">
        <v>3783</v>
      </c>
      <c r="G1675">
        <v>1</v>
      </c>
      <c r="H1675">
        <v>0</v>
      </c>
      <c r="I1675">
        <v>0</v>
      </c>
      <c r="J1675">
        <v>21</v>
      </c>
      <c r="K1675">
        <v>1</v>
      </c>
      <c r="L1675">
        <f>Résultats!G$32+Résultats!G$33*Données!C1675+Résultats!G$34*Données!D1675+Résultats!G$35*Données!E1675+Résultats!G$36*Données!F1675+Résultats!G$37*Données!G1675+Résultats!G$38*Données!H1675+Résultats!G$39*Données!I1675</f>
        <v>105998.0592123055</v>
      </c>
      <c r="M1675">
        <f t="shared" si="104"/>
        <v>8001.9407876945043</v>
      </c>
      <c r="Q1675">
        <v>200000</v>
      </c>
      <c r="R1675">
        <v>1</v>
      </c>
      <c r="S1675">
        <v>25</v>
      </c>
      <c r="T1675">
        <v>0</v>
      </c>
      <c r="U1675">
        <f t="shared" si="105"/>
        <v>13.377005595777909</v>
      </c>
      <c r="V1675">
        <f t="shared" si="106"/>
        <v>9.7211859955421769</v>
      </c>
      <c r="W1675">
        <v>1</v>
      </c>
      <c r="X1675">
        <v>0</v>
      </c>
      <c r="Y1675">
        <v>0</v>
      </c>
      <c r="Z1675">
        <f>'Résultat (Ln)'!F$30+'Résultat (Ln)'!F$31*Données!S1675+'Résultat (Ln)'!F$32*Données!T1675+'Résultat (Ln)'!F$33*Données!U1675+'Résultat (Ln)'!F$34*Données!V1675+'Résultat (Ln)'!F$35*Données!W1675+'Résultat (Ln)'!F$36*Données!X1675+'Résultat (Ln)'!F$37*Données!Y1675</f>
        <v>311829.08956684318</v>
      </c>
      <c r="AA1675">
        <f t="shared" si="107"/>
        <v>-111829.08956684318</v>
      </c>
    </row>
    <row r="1676" spans="1:27" x14ac:dyDescent="0.25">
      <c r="A1676">
        <v>185000</v>
      </c>
      <c r="B1676">
        <v>1</v>
      </c>
      <c r="C1676">
        <v>36</v>
      </c>
      <c r="D1676">
        <v>0</v>
      </c>
      <c r="E1676">
        <v>310000</v>
      </c>
      <c r="F1676">
        <v>4680</v>
      </c>
      <c r="G1676">
        <v>0</v>
      </c>
      <c r="H1676">
        <v>0</v>
      </c>
      <c r="I1676">
        <v>0</v>
      </c>
      <c r="J1676">
        <v>30</v>
      </c>
      <c r="K1676">
        <v>1</v>
      </c>
      <c r="L1676">
        <f>Résultats!G$32+Résultats!G$33*Données!C1676+Résultats!G$34*Données!D1676+Résultats!G$35*Données!E1676+Résultats!G$36*Données!F1676+Résultats!G$37*Données!G1676+Résultats!G$38*Données!H1676+Résultats!G$39*Données!I1676</f>
        <v>191738.0978043731</v>
      </c>
      <c r="M1676">
        <f t="shared" si="104"/>
        <v>-6738.0978043731011</v>
      </c>
      <c r="Q1676">
        <v>114000</v>
      </c>
      <c r="R1676">
        <v>1</v>
      </c>
      <c r="S1676">
        <v>34</v>
      </c>
      <c r="T1676">
        <v>0</v>
      </c>
      <c r="U1676">
        <f t="shared" si="105"/>
        <v>11.695247021764184</v>
      </c>
      <c r="V1676">
        <f t="shared" si="106"/>
        <v>8.23827262463303</v>
      </c>
      <c r="W1676">
        <v>1</v>
      </c>
      <c r="X1676">
        <v>0</v>
      </c>
      <c r="Y1676">
        <v>0</v>
      </c>
      <c r="Z1676">
        <f>'Résultat (Ln)'!F$30+'Résultat (Ln)'!F$31*Données!S1676+'Résultat (Ln)'!F$32*Données!T1676+'Résultat (Ln)'!F$33*Données!U1676+'Résultat (Ln)'!F$34*Données!V1676+'Résultat (Ln)'!F$35*Données!W1676+'Résultat (Ln)'!F$36*Données!X1676+'Résultat (Ln)'!F$37*Données!Y1676</f>
        <v>100960.91415905363</v>
      </c>
      <c r="AA1676">
        <f t="shared" si="107"/>
        <v>13039.085840946369</v>
      </c>
    </row>
    <row r="1677" spans="1:27" x14ac:dyDescent="0.25">
      <c r="A1677">
        <v>88000</v>
      </c>
      <c r="B1677">
        <v>1</v>
      </c>
      <c r="C1677">
        <v>39</v>
      </c>
      <c r="D1677">
        <v>0</v>
      </c>
      <c r="E1677">
        <v>93000</v>
      </c>
      <c r="F1677">
        <v>2423</v>
      </c>
      <c r="G1677">
        <v>0</v>
      </c>
      <c r="H1677">
        <v>1</v>
      </c>
      <c r="I1677">
        <v>0</v>
      </c>
      <c r="J1677">
        <v>24</v>
      </c>
      <c r="K1677">
        <v>0</v>
      </c>
      <c r="L1677">
        <f>Résultats!G$32+Résultats!G$33*Données!C1677+Résultats!G$34*Données!D1677+Résultats!G$35*Données!E1677+Résultats!G$36*Données!F1677+Résultats!G$37*Données!G1677+Résultats!G$38*Données!H1677+Résultats!G$39*Données!I1677</f>
        <v>87856.387076079496</v>
      </c>
      <c r="M1677">
        <f t="shared" si="104"/>
        <v>143.61292392050382</v>
      </c>
      <c r="Q1677">
        <v>185000</v>
      </c>
      <c r="R1677">
        <v>1</v>
      </c>
      <c r="S1677">
        <v>36</v>
      </c>
      <c r="T1677">
        <v>0</v>
      </c>
      <c r="U1677">
        <f t="shared" si="105"/>
        <v>12.644327576461329</v>
      </c>
      <c r="V1677">
        <f t="shared" si="106"/>
        <v>8.4510533889116921</v>
      </c>
      <c r="W1677">
        <v>0</v>
      </c>
      <c r="X1677">
        <v>0</v>
      </c>
      <c r="Y1677">
        <v>0</v>
      </c>
      <c r="Z1677">
        <f>'Résultat (Ln)'!F$30+'Résultat (Ln)'!F$31*Données!S1677+'Résultat (Ln)'!F$32*Données!T1677+'Résultat (Ln)'!F$33*Données!U1677+'Résultat (Ln)'!F$34*Données!V1677+'Résultat (Ln)'!F$35*Données!W1677+'Résultat (Ln)'!F$36*Données!X1677+'Résultat (Ln)'!F$37*Données!Y1677</f>
        <v>206595.79808773936</v>
      </c>
      <c r="AA1677">
        <f t="shared" si="107"/>
        <v>-21595.798087739357</v>
      </c>
    </row>
    <row r="1678" spans="1:27" x14ac:dyDescent="0.25">
      <c r="A1678">
        <v>400000</v>
      </c>
      <c r="B1678">
        <v>1</v>
      </c>
      <c r="C1678">
        <v>23.10000038146973</v>
      </c>
      <c r="D1678">
        <v>0</v>
      </c>
      <c r="E1678">
        <v>535000</v>
      </c>
      <c r="F1678">
        <v>17500</v>
      </c>
      <c r="G1678">
        <v>1</v>
      </c>
      <c r="H1678">
        <v>0</v>
      </c>
      <c r="I1678">
        <v>0</v>
      </c>
      <c r="J1678">
        <v>23.10000038146973</v>
      </c>
      <c r="K1678">
        <v>1</v>
      </c>
      <c r="L1678">
        <f>Résultats!G$32+Résultats!G$33*Données!C1678+Résultats!G$34*Données!D1678+Résultats!G$35*Données!E1678+Résultats!G$36*Données!F1678+Résultats!G$37*Données!G1678+Résultats!G$38*Données!H1678+Résultats!G$39*Données!I1678</f>
        <v>313843.78831331508</v>
      </c>
      <c r="M1678">
        <f t="shared" si="104"/>
        <v>86156.211686684925</v>
      </c>
      <c r="Q1678">
        <v>88000</v>
      </c>
      <c r="R1678">
        <v>1</v>
      </c>
      <c r="S1678">
        <v>39</v>
      </c>
      <c r="T1678">
        <v>0</v>
      </c>
      <c r="U1678">
        <f t="shared" si="105"/>
        <v>11.440354772135393</v>
      </c>
      <c r="V1678">
        <f t="shared" si="106"/>
        <v>7.7927617208165261</v>
      </c>
      <c r="W1678">
        <v>0</v>
      </c>
      <c r="X1678">
        <v>1</v>
      </c>
      <c r="Y1678">
        <v>0</v>
      </c>
      <c r="Z1678">
        <f>'Résultat (Ln)'!F$30+'Résultat (Ln)'!F$31*Données!S1678+'Résultat (Ln)'!F$32*Données!T1678+'Résultat (Ln)'!F$33*Données!U1678+'Résultat (Ln)'!F$34*Données!V1678+'Résultat (Ln)'!F$35*Données!W1678+'Résultat (Ln)'!F$36*Données!X1678+'Résultat (Ln)'!F$37*Données!Y1678</f>
        <v>62561.523468016858</v>
      </c>
      <c r="AA1678">
        <f t="shared" si="107"/>
        <v>25438.476531983142</v>
      </c>
    </row>
    <row r="1679" spans="1:27" x14ac:dyDescent="0.25">
      <c r="A1679">
        <v>67000</v>
      </c>
      <c r="B1679">
        <v>1</v>
      </c>
      <c r="C1679">
        <v>30.10000038146973</v>
      </c>
      <c r="D1679">
        <v>0</v>
      </c>
      <c r="E1679">
        <v>67000</v>
      </c>
      <c r="F1679">
        <v>4615</v>
      </c>
      <c r="G1679">
        <v>0</v>
      </c>
      <c r="H1679">
        <v>0</v>
      </c>
      <c r="I1679">
        <v>1</v>
      </c>
      <c r="J1679">
        <v>19.89999961853027</v>
      </c>
      <c r="K1679">
        <v>0</v>
      </c>
      <c r="L1679">
        <f>Résultats!G$32+Résultats!G$33*Données!C1679+Résultats!G$34*Données!D1679+Résultats!G$35*Données!E1679+Résultats!G$36*Données!F1679+Résultats!G$37*Données!G1679+Résultats!G$38*Données!H1679+Résultats!G$39*Données!I1679</f>
        <v>81290.799396509465</v>
      </c>
      <c r="M1679">
        <f t="shared" si="104"/>
        <v>-14290.799396509465</v>
      </c>
      <c r="Q1679">
        <v>400000</v>
      </c>
      <c r="R1679">
        <v>1</v>
      </c>
      <c r="S1679">
        <v>23.10000038146973</v>
      </c>
      <c r="T1679">
        <v>0</v>
      </c>
      <c r="U1679">
        <f t="shared" si="105"/>
        <v>13.190022025878143</v>
      </c>
      <c r="V1679">
        <f t="shared" si="106"/>
        <v>9.7699561599116063</v>
      </c>
      <c r="W1679">
        <v>1</v>
      </c>
      <c r="X1679">
        <v>0</v>
      </c>
      <c r="Y1679">
        <v>0</v>
      </c>
      <c r="Z1679">
        <f>'Résultat (Ln)'!F$30+'Résultat (Ln)'!F$31*Données!S1679+'Résultat (Ln)'!F$32*Données!T1679+'Résultat (Ln)'!F$33*Données!U1679+'Résultat (Ln)'!F$34*Données!V1679+'Résultat (Ln)'!F$35*Données!W1679+'Résultat (Ln)'!F$36*Données!X1679+'Résultat (Ln)'!F$37*Données!Y1679</f>
        <v>290831.20043902122</v>
      </c>
      <c r="AA1679">
        <f t="shared" si="107"/>
        <v>109168.79956097878</v>
      </c>
    </row>
    <row r="1680" spans="1:27" x14ac:dyDescent="0.25">
      <c r="A1680">
        <v>100000</v>
      </c>
      <c r="B1680">
        <v>1</v>
      </c>
      <c r="C1680">
        <v>22</v>
      </c>
      <c r="D1680">
        <v>0</v>
      </c>
      <c r="E1680">
        <v>125000</v>
      </c>
      <c r="F1680">
        <v>3634</v>
      </c>
      <c r="G1680">
        <v>1</v>
      </c>
      <c r="H1680">
        <v>0</v>
      </c>
      <c r="I1680">
        <v>1</v>
      </c>
      <c r="J1680">
        <v>19</v>
      </c>
      <c r="K1680">
        <v>1</v>
      </c>
      <c r="L1680">
        <f>Résultats!G$32+Résultats!G$33*Données!C1680+Résultats!G$34*Données!D1680+Résultats!G$35*Données!E1680+Résultats!G$36*Données!F1680+Résultats!G$37*Données!G1680+Résultats!G$38*Données!H1680+Résultats!G$39*Données!I1680</f>
        <v>104185.507545727</v>
      </c>
      <c r="M1680">
        <f t="shared" si="104"/>
        <v>-4185.5075457269995</v>
      </c>
      <c r="Q1680">
        <v>67000</v>
      </c>
      <c r="R1680">
        <v>1</v>
      </c>
      <c r="S1680">
        <v>30.10000038146973</v>
      </c>
      <c r="T1680">
        <v>0</v>
      </c>
      <c r="U1680">
        <f t="shared" si="105"/>
        <v>11.112447898373103</v>
      </c>
      <c r="V1680">
        <f t="shared" si="106"/>
        <v>8.4370671469369523</v>
      </c>
      <c r="W1680">
        <v>0</v>
      </c>
      <c r="X1680">
        <v>0</v>
      </c>
      <c r="Y1680">
        <v>1</v>
      </c>
      <c r="Z1680">
        <f>'Résultat (Ln)'!F$30+'Résultat (Ln)'!F$31*Données!S1680+'Résultat (Ln)'!F$32*Données!T1680+'Résultat (Ln)'!F$33*Données!U1680+'Résultat (Ln)'!F$34*Données!V1680+'Résultat (Ln)'!F$35*Données!W1680+'Résultat (Ln)'!F$36*Données!X1680+'Résultat (Ln)'!F$37*Données!Y1680</f>
        <v>48869.722777182324</v>
      </c>
      <c r="AA1680">
        <f t="shared" si="107"/>
        <v>18130.277222817676</v>
      </c>
    </row>
    <row r="1681" spans="1:27" x14ac:dyDescent="0.25">
      <c r="A1681">
        <v>84000</v>
      </c>
      <c r="B1681">
        <v>1</v>
      </c>
      <c r="C1681">
        <v>23</v>
      </c>
      <c r="D1681">
        <v>0</v>
      </c>
      <c r="E1681">
        <v>114000</v>
      </c>
      <c r="F1681">
        <v>4167</v>
      </c>
      <c r="G1681">
        <v>0</v>
      </c>
      <c r="H1681">
        <v>0</v>
      </c>
      <c r="I1681">
        <v>0</v>
      </c>
      <c r="J1681">
        <v>23</v>
      </c>
      <c r="K1681">
        <v>1</v>
      </c>
      <c r="L1681">
        <f>Résultats!G$32+Résultats!G$33*Données!C1681+Résultats!G$34*Données!D1681+Résultats!G$35*Données!E1681+Résultats!G$36*Données!F1681+Résultats!G$37*Données!G1681+Résultats!G$38*Données!H1681+Résultats!G$39*Données!I1681</f>
        <v>84288.457297376299</v>
      </c>
      <c r="M1681">
        <f t="shared" si="104"/>
        <v>-288.45729737629881</v>
      </c>
      <c r="Q1681">
        <v>100000</v>
      </c>
      <c r="R1681">
        <v>1</v>
      </c>
      <c r="S1681">
        <v>22</v>
      </c>
      <c r="T1681">
        <v>0</v>
      </c>
      <c r="U1681">
        <f t="shared" si="105"/>
        <v>11.736069016284437</v>
      </c>
      <c r="V1681">
        <f t="shared" si="106"/>
        <v>8.1980892489561157</v>
      </c>
      <c r="W1681">
        <v>1</v>
      </c>
      <c r="X1681">
        <v>0</v>
      </c>
      <c r="Y1681">
        <v>1</v>
      </c>
      <c r="Z1681">
        <f>'Résultat (Ln)'!F$30+'Résultat (Ln)'!F$31*Données!S1681+'Résultat (Ln)'!F$32*Données!T1681+'Résultat (Ln)'!F$33*Données!U1681+'Résultat (Ln)'!F$34*Données!V1681+'Résultat (Ln)'!F$35*Données!W1681+'Résultat (Ln)'!F$36*Données!X1681+'Résultat (Ln)'!F$37*Données!Y1681</f>
        <v>103632.31563765839</v>
      </c>
      <c r="AA1681">
        <f t="shared" si="107"/>
        <v>-3632.3156376583938</v>
      </c>
    </row>
    <row r="1682" spans="1:27" x14ac:dyDescent="0.25">
      <c r="A1682">
        <v>100000</v>
      </c>
      <c r="B1682">
        <v>1</v>
      </c>
      <c r="C1682">
        <v>39</v>
      </c>
      <c r="D1682">
        <v>0</v>
      </c>
      <c r="E1682">
        <v>211000</v>
      </c>
      <c r="F1682">
        <v>3870</v>
      </c>
      <c r="G1682">
        <v>1</v>
      </c>
      <c r="H1682">
        <v>0</v>
      </c>
      <c r="I1682">
        <v>0</v>
      </c>
      <c r="J1682">
        <v>28</v>
      </c>
      <c r="K1682">
        <v>1</v>
      </c>
      <c r="L1682">
        <f>Résultats!G$32+Résultats!G$33*Données!C1682+Résultats!G$34*Données!D1682+Résultats!G$35*Données!E1682+Résultats!G$36*Données!F1682+Résultats!G$37*Données!G1682+Résultats!G$38*Données!H1682+Résultats!G$39*Données!I1682</f>
        <v>154402.74605792333</v>
      </c>
      <c r="M1682">
        <f t="shared" si="104"/>
        <v>-54402.74605792333</v>
      </c>
      <c r="Q1682">
        <v>84000</v>
      </c>
      <c r="R1682">
        <v>1</v>
      </c>
      <c r="S1682">
        <v>23</v>
      </c>
      <c r="T1682">
        <v>0</v>
      </c>
      <c r="U1682">
        <f t="shared" si="105"/>
        <v>11.643953727376633</v>
      </c>
      <c r="V1682">
        <f t="shared" si="106"/>
        <v>8.3349516314224541</v>
      </c>
      <c r="W1682">
        <v>0</v>
      </c>
      <c r="X1682">
        <v>0</v>
      </c>
      <c r="Y1682">
        <v>0</v>
      </c>
      <c r="Z1682">
        <f>'Résultat (Ln)'!F$30+'Résultat (Ln)'!F$31*Données!S1682+'Résultat (Ln)'!F$32*Données!T1682+'Résultat (Ln)'!F$33*Données!U1682+'Résultat (Ln)'!F$34*Données!V1682+'Résultat (Ln)'!F$35*Données!W1682+'Résultat (Ln)'!F$36*Données!X1682+'Résultat (Ln)'!F$37*Données!Y1682</f>
        <v>80217.458287809364</v>
      </c>
      <c r="AA1682">
        <f t="shared" si="107"/>
        <v>3782.5417121906357</v>
      </c>
    </row>
    <row r="1683" spans="1:27" x14ac:dyDescent="0.25">
      <c r="A1683">
        <v>40000</v>
      </c>
      <c r="B1683">
        <v>1</v>
      </c>
      <c r="C1683">
        <v>24</v>
      </c>
      <c r="D1683">
        <v>0</v>
      </c>
      <c r="E1683">
        <v>70000</v>
      </c>
      <c r="F1683">
        <v>1625</v>
      </c>
      <c r="G1683">
        <v>0</v>
      </c>
      <c r="H1683">
        <v>1</v>
      </c>
      <c r="I1683">
        <v>0</v>
      </c>
      <c r="J1683">
        <v>10</v>
      </c>
      <c r="K1683">
        <v>1</v>
      </c>
      <c r="L1683">
        <f>Résultats!G$32+Résultats!G$33*Données!C1683+Résultats!G$34*Données!D1683+Résultats!G$35*Données!E1683+Résultats!G$36*Données!F1683+Résultats!G$37*Données!G1683+Résultats!G$38*Données!H1683+Résultats!G$39*Données!I1683</f>
        <v>58340.051891970084</v>
      </c>
      <c r="M1683">
        <f t="shared" si="104"/>
        <v>-18340.051891970084</v>
      </c>
      <c r="Q1683">
        <v>100000</v>
      </c>
      <c r="R1683">
        <v>1</v>
      </c>
      <c r="S1683">
        <v>39</v>
      </c>
      <c r="T1683">
        <v>0</v>
      </c>
      <c r="U1683">
        <f t="shared" si="105"/>
        <v>12.259613412458204</v>
      </c>
      <c r="V1683">
        <f t="shared" si="106"/>
        <v>8.261009786023827</v>
      </c>
      <c r="W1683">
        <v>1</v>
      </c>
      <c r="X1683">
        <v>0</v>
      </c>
      <c r="Y1683">
        <v>0</v>
      </c>
      <c r="Z1683">
        <f>'Résultat (Ln)'!F$30+'Résultat (Ln)'!F$31*Données!S1683+'Résultat (Ln)'!F$32*Données!T1683+'Résultat (Ln)'!F$33*Données!U1683+'Résultat (Ln)'!F$34*Données!V1683+'Résultat (Ln)'!F$35*Données!W1683+'Résultat (Ln)'!F$36*Données!X1683+'Résultat (Ln)'!F$37*Données!Y1683</f>
        <v>168206.37562659377</v>
      </c>
      <c r="AA1683">
        <f t="shared" si="107"/>
        <v>-68206.37562659377</v>
      </c>
    </row>
    <row r="1684" spans="1:27" x14ac:dyDescent="0.25">
      <c r="A1684">
        <v>110000</v>
      </c>
      <c r="B1684">
        <v>1</v>
      </c>
      <c r="C1684">
        <v>31</v>
      </c>
      <c r="D1684">
        <v>0</v>
      </c>
      <c r="E1684">
        <v>150100.0061035156</v>
      </c>
      <c r="F1684">
        <v>3775</v>
      </c>
      <c r="G1684">
        <v>1</v>
      </c>
      <c r="H1684">
        <v>0</v>
      </c>
      <c r="I1684">
        <v>0</v>
      </c>
      <c r="J1684">
        <v>30</v>
      </c>
      <c r="K1684">
        <v>1</v>
      </c>
      <c r="L1684">
        <f>Résultats!G$32+Résultats!G$33*Données!C1684+Résultats!G$34*Données!D1684+Résultats!G$35*Données!E1684+Résultats!G$36*Données!F1684+Résultats!G$37*Données!G1684+Résultats!G$38*Données!H1684+Résultats!G$39*Données!I1684</f>
        <v>116591.84201312868</v>
      </c>
      <c r="M1684">
        <f t="shared" si="104"/>
        <v>-6591.8420131286839</v>
      </c>
      <c r="Q1684">
        <v>40000</v>
      </c>
      <c r="R1684">
        <v>1</v>
      </c>
      <c r="S1684">
        <v>24</v>
      </c>
      <c r="T1684">
        <v>0</v>
      </c>
      <c r="U1684">
        <f t="shared" si="105"/>
        <v>11.156250521031495</v>
      </c>
      <c r="V1684">
        <f t="shared" si="106"/>
        <v>7.3932630947638378</v>
      </c>
      <c r="W1684">
        <v>0</v>
      </c>
      <c r="X1684">
        <v>1</v>
      </c>
      <c r="Y1684">
        <v>0</v>
      </c>
      <c r="Z1684">
        <f>'Résultat (Ln)'!F$30+'Résultat (Ln)'!F$31*Données!S1684+'Résultat (Ln)'!F$32*Données!T1684+'Résultat (Ln)'!F$33*Données!U1684+'Résultat (Ln)'!F$34*Données!V1684+'Résultat (Ln)'!F$35*Données!W1684+'Résultat (Ln)'!F$36*Données!X1684+'Résultat (Ln)'!F$37*Données!Y1684</f>
        <v>2571.9370920970186</v>
      </c>
      <c r="AA1684">
        <f t="shared" si="107"/>
        <v>37428.062907902982</v>
      </c>
    </row>
    <row r="1685" spans="1:27" x14ac:dyDescent="0.25">
      <c r="A1685">
        <v>161000</v>
      </c>
      <c r="B1685">
        <v>1</v>
      </c>
      <c r="C1685">
        <v>32</v>
      </c>
      <c r="D1685">
        <v>0</v>
      </c>
      <c r="E1685">
        <v>202000</v>
      </c>
      <c r="F1685">
        <v>5285</v>
      </c>
      <c r="G1685">
        <v>1</v>
      </c>
      <c r="H1685">
        <v>0</v>
      </c>
      <c r="I1685">
        <v>0</v>
      </c>
      <c r="J1685">
        <v>23</v>
      </c>
      <c r="K1685">
        <v>1</v>
      </c>
      <c r="L1685">
        <f>Résultats!G$32+Résultats!G$33*Données!C1685+Résultats!G$34*Données!D1685+Résultats!G$35*Données!E1685+Résultats!G$36*Données!F1685+Résultats!G$37*Données!G1685+Résultats!G$38*Données!H1685+Résultats!G$39*Données!I1685</f>
        <v>144901.44310859012</v>
      </c>
      <c r="M1685">
        <f t="shared" si="104"/>
        <v>16098.556891409884</v>
      </c>
      <c r="Q1685">
        <v>110000</v>
      </c>
      <c r="R1685">
        <v>1</v>
      </c>
      <c r="S1685">
        <v>31</v>
      </c>
      <c r="T1685">
        <v>0</v>
      </c>
      <c r="U1685">
        <f t="shared" si="105"/>
        <v>11.919057058284547</v>
      </c>
      <c r="V1685">
        <f t="shared" si="106"/>
        <v>8.2361556616831244</v>
      </c>
      <c r="W1685">
        <v>1</v>
      </c>
      <c r="X1685">
        <v>0</v>
      </c>
      <c r="Y1685">
        <v>0</v>
      </c>
      <c r="Z1685">
        <f>'Résultat (Ln)'!F$30+'Résultat (Ln)'!F$31*Données!S1685+'Résultat (Ln)'!F$32*Données!T1685+'Résultat (Ln)'!F$33*Données!U1685+'Résultat (Ln)'!F$34*Données!V1685+'Résultat (Ln)'!F$35*Données!W1685+'Résultat (Ln)'!F$36*Données!X1685+'Résultat (Ln)'!F$37*Données!Y1685</f>
        <v>121226.8629743459</v>
      </c>
      <c r="AA1685">
        <f t="shared" si="107"/>
        <v>-11226.862974345902</v>
      </c>
    </row>
    <row r="1686" spans="1:27" x14ac:dyDescent="0.25">
      <c r="A1686">
        <v>200000</v>
      </c>
      <c r="B1686">
        <v>1</v>
      </c>
      <c r="C1686">
        <v>33</v>
      </c>
      <c r="D1686">
        <v>0</v>
      </c>
      <c r="E1686">
        <v>275000</v>
      </c>
      <c r="F1686">
        <v>7250</v>
      </c>
      <c r="G1686">
        <v>1</v>
      </c>
      <c r="H1686">
        <v>0</v>
      </c>
      <c r="I1686">
        <v>0</v>
      </c>
      <c r="J1686">
        <v>20</v>
      </c>
      <c r="K1686">
        <v>1</v>
      </c>
      <c r="L1686">
        <f>Résultats!G$32+Résultats!G$33*Données!C1686+Résultats!G$34*Données!D1686+Résultats!G$35*Données!E1686+Résultats!G$36*Données!F1686+Résultats!G$37*Données!G1686+Résultats!G$38*Données!H1686+Résultats!G$39*Données!I1686</f>
        <v>183945.45427451932</v>
      </c>
      <c r="M1686">
        <f t="shared" si="104"/>
        <v>16054.545725480682</v>
      </c>
      <c r="Q1686">
        <v>161000</v>
      </c>
      <c r="R1686">
        <v>1</v>
      </c>
      <c r="S1686">
        <v>32</v>
      </c>
      <c r="T1686">
        <v>0</v>
      </c>
      <c r="U1686">
        <f t="shared" si="105"/>
        <v>12.216022976383341</v>
      </c>
      <c r="V1686">
        <f t="shared" si="106"/>
        <v>8.5726278983043382</v>
      </c>
      <c r="W1686">
        <v>1</v>
      </c>
      <c r="X1686">
        <v>0</v>
      </c>
      <c r="Y1686">
        <v>0</v>
      </c>
      <c r="Z1686">
        <f>'Résultat (Ln)'!F$30+'Résultat (Ln)'!F$31*Données!S1686+'Résultat (Ln)'!F$32*Données!T1686+'Résultat (Ln)'!F$33*Données!U1686+'Résultat (Ln)'!F$34*Données!V1686+'Résultat (Ln)'!F$35*Données!W1686+'Résultat (Ln)'!F$36*Données!X1686+'Résultat (Ln)'!F$37*Données!Y1686</f>
        <v>163718.96439149184</v>
      </c>
      <c r="AA1686">
        <f t="shared" si="107"/>
        <v>-2718.9643914918415</v>
      </c>
    </row>
    <row r="1687" spans="1:27" x14ac:dyDescent="0.25">
      <c r="A1687">
        <v>136000</v>
      </c>
      <c r="B1687">
        <v>1</v>
      </c>
      <c r="C1687">
        <v>31</v>
      </c>
      <c r="D1687">
        <v>0</v>
      </c>
      <c r="E1687">
        <v>175000</v>
      </c>
      <c r="F1687">
        <v>2355</v>
      </c>
      <c r="G1687">
        <v>1</v>
      </c>
      <c r="H1687">
        <v>0</v>
      </c>
      <c r="I1687">
        <v>0</v>
      </c>
      <c r="J1687">
        <v>25</v>
      </c>
      <c r="K1687">
        <v>1</v>
      </c>
      <c r="L1687">
        <f>Résultats!G$32+Résultats!G$33*Données!C1687+Résultats!G$34*Données!D1687+Résultats!G$35*Données!E1687+Résultats!G$36*Données!F1687+Résultats!G$37*Données!G1687+Résultats!G$38*Données!H1687+Résultats!G$39*Données!I1687</f>
        <v>125467.31749364708</v>
      </c>
      <c r="M1687">
        <f t="shared" si="104"/>
        <v>10532.682506352925</v>
      </c>
      <c r="Q1687">
        <v>200000</v>
      </c>
      <c r="R1687">
        <v>1</v>
      </c>
      <c r="S1687">
        <v>33</v>
      </c>
      <c r="T1687">
        <v>0</v>
      </c>
      <c r="U1687">
        <f t="shared" si="105"/>
        <v>12.524526376648708</v>
      </c>
      <c r="V1687">
        <f t="shared" si="106"/>
        <v>8.8887567478487206</v>
      </c>
      <c r="W1687">
        <v>1</v>
      </c>
      <c r="X1687">
        <v>0</v>
      </c>
      <c r="Y1687">
        <v>0</v>
      </c>
      <c r="Z1687">
        <f>'Résultat (Ln)'!F$30+'Résultat (Ln)'!F$31*Données!S1687+'Résultat (Ln)'!F$32*Données!T1687+'Résultat (Ln)'!F$33*Données!U1687+'Résultat (Ln)'!F$34*Données!V1687+'Résultat (Ln)'!F$35*Données!W1687+'Résultat (Ln)'!F$36*Données!X1687+'Résultat (Ln)'!F$37*Données!Y1687</f>
        <v>206877.28632369149</v>
      </c>
      <c r="AA1687">
        <f t="shared" si="107"/>
        <v>-6877.2863236914854</v>
      </c>
    </row>
    <row r="1688" spans="1:27" x14ac:dyDescent="0.25">
      <c r="A1688">
        <v>104000</v>
      </c>
      <c r="B1688">
        <v>1</v>
      </c>
      <c r="C1688">
        <v>31</v>
      </c>
      <c r="D1688">
        <v>0</v>
      </c>
      <c r="E1688">
        <v>350000</v>
      </c>
      <c r="F1688">
        <v>13750</v>
      </c>
      <c r="G1688">
        <v>0</v>
      </c>
      <c r="H1688">
        <v>0</v>
      </c>
      <c r="I1688">
        <v>1</v>
      </c>
      <c r="J1688">
        <v>19</v>
      </c>
      <c r="K1688">
        <v>1</v>
      </c>
      <c r="L1688">
        <f>Résultats!G$32+Résultats!G$33*Données!C1688+Résultats!G$34*Données!D1688+Résultats!G$35*Données!E1688+Résultats!G$36*Données!F1688+Résultats!G$37*Données!G1688+Résultats!G$38*Données!H1688+Résultats!G$39*Données!I1688</f>
        <v>232174.06492006331</v>
      </c>
      <c r="M1688">
        <f t="shared" si="104"/>
        <v>-128174.06492006331</v>
      </c>
      <c r="Q1688">
        <v>136000</v>
      </c>
      <c r="R1688">
        <v>1</v>
      </c>
      <c r="S1688">
        <v>31</v>
      </c>
      <c r="T1688">
        <v>0</v>
      </c>
      <c r="U1688">
        <f t="shared" si="105"/>
        <v>12.072541252905651</v>
      </c>
      <c r="V1688">
        <f t="shared" si="106"/>
        <v>7.7642960064505182</v>
      </c>
      <c r="W1688">
        <v>1</v>
      </c>
      <c r="X1688">
        <v>0</v>
      </c>
      <c r="Y1688">
        <v>0</v>
      </c>
      <c r="Z1688">
        <f>'Résultat (Ln)'!F$30+'Résultat (Ln)'!F$31*Données!S1688+'Résultat (Ln)'!F$32*Données!T1688+'Résultat (Ln)'!F$33*Données!U1688+'Résultat (Ln)'!F$34*Données!V1688+'Résultat (Ln)'!F$35*Données!W1688+'Résultat (Ln)'!F$36*Données!X1688+'Résultat (Ln)'!F$37*Données!Y1688</f>
        <v>124446.00998810442</v>
      </c>
      <c r="AA1688">
        <f t="shared" si="107"/>
        <v>11553.990011895585</v>
      </c>
    </row>
    <row r="1689" spans="1:27" x14ac:dyDescent="0.25">
      <c r="A1689">
        <v>112000</v>
      </c>
      <c r="B1689">
        <v>1</v>
      </c>
      <c r="C1689">
        <v>35</v>
      </c>
      <c r="D1689">
        <v>0</v>
      </c>
      <c r="E1689">
        <v>118000</v>
      </c>
      <c r="F1689">
        <v>4887</v>
      </c>
      <c r="G1689">
        <v>1</v>
      </c>
      <c r="H1689">
        <v>0</v>
      </c>
      <c r="I1689">
        <v>1</v>
      </c>
      <c r="J1689">
        <v>26</v>
      </c>
      <c r="K1689">
        <v>1</v>
      </c>
      <c r="L1689">
        <f>Résultats!G$32+Résultats!G$33*Données!C1689+Résultats!G$34*Données!D1689+Résultats!G$35*Données!E1689+Résultats!G$36*Données!F1689+Résultats!G$37*Données!G1689+Résultats!G$38*Données!H1689+Résultats!G$39*Données!I1689</f>
        <v>118277.59716284122</v>
      </c>
      <c r="M1689">
        <f t="shared" si="104"/>
        <v>-6277.5971628412226</v>
      </c>
      <c r="Q1689">
        <v>104000</v>
      </c>
      <c r="R1689">
        <v>1</v>
      </c>
      <c r="S1689">
        <v>31</v>
      </c>
      <c r="T1689">
        <v>0</v>
      </c>
      <c r="U1689">
        <f t="shared" si="105"/>
        <v>12.765688433465597</v>
      </c>
      <c r="V1689">
        <f t="shared" si="106"/>
        <v>9.5287941030947181</v>
      </c>
      <c r="W1689">
        <v>0</v>
      </c>
      <c r="X1689">
        <v>0</v>
      </c>
      <c r="Y1689">
        <v>1</v>
      </c>
      <c r="Z1689">
        <f>'Résultat (Ln)'!F$30+'Résultat (Ln)'!F$31*Données!S1689+'Résultat (Ln)'!F$32*Données!T1689+'Résultat (Ln)'!F$33*Données!U1689+'Résultat (Ln)'!F$34*Données!V1689+'Résultat (Ln)'!F$35*Données!W1689+'Résultat (Ln)'!F$36*Données!X1689+'Résultat (Ln)'!F$37*Données!Y1689</f>
        <v>257807.96281569853</v>
      </c>
      <c r="AA1689">
        <f t="shared" si="107"/>
        <v>-153807.96281569853</v>
      </c>
    </row>
    <row r="1690" spans="1:27" x14ac:dyDescent="0.25">
      <c r="A1690">
        <v>96000</v>
      </c>
      <c r="B1690">
        <v>1</v>
      </c>
      <c r="C1690">
        <v>31.89999961853027</v>
      </c>
      <c r="D1690">
        <v>0</v>
      </c>
      <c r="E1690">
        <v>120000</v>
      </c>
      <c r="F1690">
        <v>2600</v>
      </c>
      <c r="G1690">
        <v>1</v>
      </c>
      <c r="H1690">
        <v>0</v>
      </c>
      <c r="I1690">
        <v>1</v>
      </c>
      <c r="J1690">
        <v>29.360000610351559</v>
      </c>
      <c r="K1690">
        <v>1</v>
      </c>
      <c r="L1690">
        <f>Résultats!G$32+Résultats!G$33*Données!C1690+Résultats!G$34*Données!D1690+Résultats!G$35*Données!E1690+Résultats!G$36*Données!F1690+Résultats!G$37*Données!G1690+Résultats!G$38*Données!H1690+Résultats!G$39*Données!I1690</f>
        <v>111218.90538125495</v>
      </c>
      <c r="M1690">
        <f t="shared" si="104"/>
        <v>-15218.905381254954</v>
      </c>
      <c r="Q1690">
        <v>112000</v>
      </c>
      <c r="R1690">
        <v>1</v>
      </c>
      <c r="S1690">
        <v>35</v>
      </c>
      <c r="T1690">
        <v>0</v>
      </c>
      <c r="U1690">
        <f t="shared" si="105"/>
        <v>11.678439903447801</v>
      </c>
      <c r="V1690">
        <f t="shared" si="106"/>
        <v>8.4943338972701543</v>
      </c>
      <c r="W1690">
        <v>1</v>
      </c>
      <c r="X1690">
        <v>0</v>
      </c>
      <c r="Y1690">
        <v>1</v>
      </c>
      <c r="Z1690">
        <f>'Résultat (Ln)'!F$30+'Résultat (Ln)'!F$31*Données!S1690+'Résultat (Ln)'!F$32*Données!T1690+'Résultat (Ln)'!F$33*Données!U1690+'Résultat (Ln)'!F$34*Données!V1690+'Résultat (Ln)'!F$35*Données!W1690+'Résultat (Ln)'!F$36*Données!X1690+'Résultat (Ln)'!F$37*Données!Y1690</f>
        <v>121649.67889923883</v>
      </c>
      <c r="AA1690">
        <f t="shared" si="107"/>
        <v>-9649.6788992388319</v>
      </c>
    </row>
    <row r="1691" spans="1:27" x14ac:dyDescent="0.25">
      <c r="A1691">
        <v>180000</v>
      </c>
      <c r="B1691">
        <v>1</v>
      </c>
      <c r="C1691">
        <v>42</v>
      </c>
      <c r="D1691">
        <v>0</v>
      </c>
      <c r="E1691">
        <v>200000</v>
      </c>
      <c r="F1691">
        <v>2733</v>
      </c>
      <c r="G1691">
        <v>0</v>
      </c>
      <c r="H1691">
        <v>0</v>
      </c>
      <c r="I1691">
        <v>0</v>
      </c>
      <c r="J1691">
        <v>23</v>
      </c>
      <c r="K1691">
        <v>1</v>
      </c>
      <c r="L1691">
        <f>Résultats!G$32+Résultats!G$33*Données!C1691+Résultats!G$34*Données!D1691+Résultats!G$35*Données!E1691+Résultats!G$36*Données!F1691+Résultats!G$37*Données!G1691+Résultats!G$38*Données!H1691+Résultats!G$39*Données!I1691</f>
        <v>143492.38852396471</v>
      </c>
      <c r="M1691">
        <f t="shared" si="104"/>
        <v>36507.611476035294</v>
      </c>
      <c r="Q1691">
        <v>96000</v>
      </c>
      <c r="R1691">
        <v>1</v>
      </c>
      <c r="S1691">
        <v>31.89999961853027</v>
      </c>
      <c r="T1691">
        <v>0</v>
      </c>
      <c r="U1691">
        <f t="shared" si="105"/>
        <v>11.695247021764184</v>
      </c>
      <c r="V1691">
        <f t="shared" si="106"/>
        <v>7.8632667240095735</v>
      </c>
      <c r="W1691">
        <v>1</v>
      </c>
      <c r="X1691">
        <v>0</v>
      </c>
      <c r="Y1691">
        <v>1</v>
      </c>
      <c r="Z1691">
        <f>'Résultat (Ln)'!F$30+'Résultat (Ln)'!F$31*Données!S1691+'Résultat (Ln)'!F$32*Données!T1691+'Résultat (Ln)'!F$33*Données!U1691+'Résultat (Ln)'!F$34*Données!V1691+'Résultat (Ln)'!F$35*Données!W1691+'Résultat (Ln)'!F$36*Données!X1691+'Résultat (Ln)'!F$37*Données!Y1691</f>
        <v>101964.22075865547</v>
      </c>
      <c r="AA1691">
        <f t="shared" si="107"/>
        <v>-5964.2207586554723</v>
      </c>
    </row>
    <row r="1692" spans="1:27" x14ac:dyDescent="0.25">
      <c r="A1692">
        <v>145000</v>
      </c>
      <c r="B1692">
        <v>1</v>
      </c>
      <c r="C1692">
        <v>42</v>
      </c>
      <c r="D1692">
        <v>0</v>
      </c>
      <c r="E1692">
        <v>181399.9938964844</v>
      </c>
      <c r="F1692">
        <v>4538</v>
      </c>
      <c r="G1692">
        <v>0</v>
      </c>
      <c r="H1692">
        <v>0</v>
      </c>
      <c r="I1692">
        <v>0</v>
      </c>
      <c r="J1692">
        <v>33</v>
      </c>
      <c r="K1692">
        <v>1</v>
      </c>
      <c r="L1692">
        <f>Résultats!G$32+Résultats!G$33*Données!C1692+Résultats!G$34*Données!D1692+Résultats!G$35*Données!E1692+Résultats!G$36*Données!F1692+Résultats!G$37*Données!G1692+Résultats!G$38*Données!H1692+Résultats!G$39*Données!I1692</f>
        <v>138304.76107178669</v>
      </c>
      <c r="M1692">
        <f t="shared" si="104"/>
        <v>6695.2389282133081</v>
      </c>
      <c r="Q1692">
        <v>180000</v>
      </c>
      <c r="R1692">
        <v>1</v>
      </c>
      <c r="S1692">
        <v>42</v>
      </c>
      <c r="T1692">
        <v>0</v>
      </c>
      <c r="U1692">
        <f t="shared" si="105"/>
        <v>12.206072645530174</v>
      </c>
      <c r="V1692">
        <f t="shared" si="106"/>
        <v>7.9131551859280682</v>
      </c>
      <c r="W1692">
        <v>0</v>
      </c>
      <c r="X1692">
        <v>0</v>
      </c>
      <c r="Y1692">
        <v>0</v>
      </c>
      <c r="Z1692">
        <f>'Résultat (Ln)'!F$30+'Résultat (Ln)'!F$31*Données!S1692+'Résultat (Ln)'!F$32*Données!T1692+'Résultat (Ln)'!F$33*Données!U1692+'Résultat (Ln)'!F$34*Données!V1692+'Résultat (Ln)'!F$35*Données!W1692+'Résultat (Ln)'!F$36*Données!X1692+'Résultat (Ln)'!F$37*Données!Y1692</f>
        <v>151863.27676823043</v>
      </c>
      <c r="AA1692">
        <f t="shared" si="107"/>
        <v>28136.723231769574</v>
      </c>
    </row>
    <row r="1693" spans="1:27" x14ac:dyDescent="0.25">
      <c r="A1693">
        <v>94000</v>
      </c>
      <c r="B1693">
        <v>1</v>
      </c>
      <c r="C1693">
        <v>36</v>
      </c>
      <c r="D1693">
        <v>0</v>
      </c>
      <c r="E1693">
        <v>125000</v>
      </c>
      <c r="F1693">
        <v>2679</v>
      </c>
      <c r="G1693">
        <v>0</v>
      </c>
      <c r="H1693">
        <v>0</v>
      </c>
      <c r="I1693">
        <v>0</v>
      </c>
      <c r="J1693">
        <v>24</v>
      </c>
      <c r="K1693">
        <v>1</v>
      </c>
      <c r="L1693">
        <f>Résultats!G$32+Résultats!G$33*Données!C1693+Résultats!G$34*Données!D1693+Résultats!G$35*Données!E1693+Résultats!G$36*Données!F1693+Résultats!G$37*Données!G1693+Résultats!G$38*Données!H1693+Résultats!G$39*Données!I1693</f>
        <v>101474.23058106098</v>
      </c>
      <c r="M1693">
        <f t="shared" si="104"/>
        <v>-7474.2305810609832</v>
      </c>
      <c r="Q1693">
        <v>145000</v>
      </c>
      <c r="R1693">
        <v>1</v>
      </c>
      <c r="S1693">
        <v>42</v>
      </c>
      <c r="T1693">
        <v>0</v>
      </c>
      <c r="U1693">
        <f t="shared" si="105"/>
        <v>12.10845978301645</v>
      </c>
      <c r="V1693">
        <f t="shared" si="106"/>
        <v>8.4202416653397876</v>
      </c>
      <c r="W1693">
        <v>0</v>
      </c>
      <c r="X1693">
        <v>0</v>
      </c>
      <c r="Y1693">
        <v>0</v>
      </c>
      <c r="Z1693">
        <f>'Résultat (Ln)'!F$30+'Résultat (Ln)'!F$31*Données!S1693+'Résultat (Ln)'!F$32*Données!T1693+'Résultat (Ln)'!F$33*Données!U1693+'Résultat (Ln)'!F$34*Données!V1693+'Résultat (Ln)'!F$35*Données!W1693+'Résultat (Ln)'!F$36*Données!X1693+'Résultat (Ln)'!F$37*Données!Y1693</f>
        <v>155621.25305943258</v>
      </c>
      <c r="AA1693">
        <f t="shared" si="107"/>
        <v>-10621.25305943258</v>
      </c>
    </row>
    <row r="1694" spans="1:27" x14ac:dyDescent="0.25">
      <c r="A1694">
        <v>400000</v>
      </c>
      <c r="B1694">
        <v>1</v>
      </c>
      <c r="C1694">
        <v>26.60000038146973</v>
      </c>
      <c r="D1694">
        <v>0</v>
      </c>
      <c r="E1694">
        <v>730000</v>
      </c>
      <c r="F1694">
        <v>27375</v>
      </c>
      <c r="G1694">
        <v>1</v>
      </c>
      <c r="H1694">
        <v>0</v>
      </c>
      <c r="I1694">
        <v>1</v>
      </c>
      <c r="J1694">
        <v>13.10000038146973</v>
      </c>
      <c r="K1694">
        <v>1</v>
      </c>
      <c r="L1694">
        <f>Résultats!G$32+Résultats!G$33*Données!C1694+Résultats!G$34*Données!D1694+Résultats!G$35*Données!E1694+Résultats!G$36*Données!F1694+Résultats!G$37*Données!G1694+Résultats!G$38*Données!H1694+Résultats!G$39*Données!I1694</f>
        <v>437981.12912519556</v>
      </c>
      <c r="M1694">
        <f t="shared" si="104"/>
        <v>-37981.129125195555</v>
      </c>
      <c r="Q1694">
        <v>94000</v>
      </c>
      <c r="R1694">
        <v>1</v>
      </c>
      <c r="S1694">
        <v>36</v>
      </c>
      <c r="T1694">
        <v>0</v>
      </c>
      <c r="U1694">
        <f t="shared" si="105"/>
        <v>11.736069016284437</v>
      </c>
      <c r="V1694">
        <f t="shared" si="106"/>
        <v>7.8931988695446087</v>
      </c>
      <c r="W1694">
        <v>0</v>
      </c>
      <c r="X1694">
        <v>0</v>
      </c>
      <c r="Y1694">
        <v>0</v>
      </c>
      <c r="Z1694">
        <f>'Résultat (Ln)'!F$30+'Résultat (Ln)'!F$31*Données!S1694+'Résultat (Ln)'!F$32*Données!T1694+'Résultat (Ln)'!F$33*Données!U1694+'Résultat (Ln)'!F$34*Données!V1694+'Résultat (Ln)'!F$35*Données!W1694+'Résultat (Ln)'!F$36*Données!X1694+'Résultat (Ln)'!F$37*Données!Y1694</f>
        <v>93589.034993731359</v>
      </c>
      <c r="AA1694">
        <f t="shared" si="107"/>
        <v>410.96500626864145</v>
      </c>
    </row>
    <row r="1695" spans="1:27" x14ac:dyDescent="0.25">
      <c r="A1695">
        <v>130000</v>
      </c>
      <c r="B1695">
        <v>1</v>
      </c>
      <c r="C1695">
        <v>32</v>
      </c>
      <c r="D1695">
        <v>0</v>
      </c>
      <c r="E1695">
        <v>164000</v>
      </c>
      <c r="F1695">
        <v>6783</v>
      </c>
      <c r="G1695">
        <v>0</v>
      </c>
      <c r="H1695">
        <v>0</v>
      </c>
      <c r="I1695">
        <v>0</v>
      </c>
      <c r="J1695">
        <v>21</v>
      </c>
      <c r="K1695">
        <v>1</v>
      </c>
      <c r="L1695">
        <f>Résultats!G$32+Résultats!G$33*Données!C1695+Résultats!G$34*Données!D1695+Résultats!G$35*Données!E1695+Résultats!G$36*Données!F1695+Résultats!G$37*Données!G1695+Résultats!G$38*Données!H1695+Résultats!G$39*Données!I1695</f>
        <v>123043.40589188412</v>
      </c>
      <c r="M1695">
        <f t="shared" si="104"/>
        <v>6956.5941081158817</v>
      </c>
      <c r="Q1695">
        <v>400000</v>
      </c>
      <c r="R1695">
        <v>1</v>
      </c>
      <c r="S1695">
        <v>26.60000038146973</v>
      </c>
      <c r="T1695">
        <v>0</v>
      </c>
      <c r="U1695">
        <f t="shared" si="105"/>
        <v>13.500799813124575</v>
      </c>
      <c r="V1695">
        <f t="shared" si="106"/>
        <v>10.217385467118802</v>
      </c>
      <c r="W1695">
        <v>1</v>
      </c>
      <c r="X1695">
        <v>0</v>
      </c>
      <c r="Y1695">
        <v>1</v>
      </c>
      <c r="Z1695">
        <f>'Résultat (Ln)'!F$30+'Résultat (Ln)'!F$31*Données!S1695+'Résultat (Ln)'!F$32*Données!T1695+'Résultat (Ln)'!F$33*Données!U1695+'Résultat (Ln)'!F$34*Données!V1695+'Résultat (Ln)'!F$35*Données!W1695+'Résultat (Ln)'!F$36*Données!X1695+'Résultat (Ln)'!F$37*Données!Y1695</f>
        <v>355057.78535690822</v>
      </c>
      <c r="AA1695">
        <f t="shared" si="107"/>
        <v>44942.214643091778</v>
      </c>
    </row>
    <row r="1696" spans="1:27" x14ac:dyDescent="0.25">
      <c r="A1696">
        <v>216000</v>
      </c>
      <c r="B1696">
        <v>1</v>
      </c>
      <c r="C1696">
        <v>35</v>
      </c>
      <c r="D1696">
        <v>0</v>
      </c>
      <c r="E1696">
        <v>269500</v>
      </c>
      <c r="F1696">
        <v>1025</v>
      </c>
      <c r="G1696">
        <v>1</v>
      </c>
      <c r="H1696">
        <v>1</v>
      </c>
      <c r="I1696">
        <v>1</v>
      </c>
      <c r="J1696">
        <v>34</v>
      </c>
      <c r="K1696">
        <v>1</v>
      </c>
      <c r="L1696">
        <f>Résultats!G$32+Résultats!G$33*Données!C1696+Résultats!G$34*Données!D1696+Résultats!G$35*Données!E1696+Résultats!G$36*Données!F1696+Résultats!G$37*Données!G1696+Résultats!G$38*Données!H1696+Résultats!G$39*Données!I1696</f>
        <v>179912.00608101682</v>
      </c>
      <c r="M1696">
        <f t="shared" si="104"/>
        <v>36087.993918983178</v>
      </c>
      <c r="Q1696">
        <v>130000</v>
      </c>
      <c r="R1696">
        <v>1</v>
      </c>
      <c r="S1696">
        <v>32</v>
      </c>
      <c r="T1696">
        <v>0</v>
      </c>
      <c r="U1696">
        <f t="shared" si="105"/>
        <v>12.007621706806335</v>
      </c>
      <c r="V1696">
        <f t="shared" si="106"/>
        <v>8.8221747609460799</v>
      </c>
      <c r="W1696">
        <v>0</v>
      </c>
      <c r="X1696">
        <v>0</v>
      </c>
      <c r="Y1696">
        <v>0</v>
      </c>
      <c r="Z1696">
        <f>'Résultat (Ln)'!F$30+'Résultat (Ln)'!F$31*Données!S1696+'Résultat (Ln)'!F$32*Données!T1696+'Résultat (Ln)'!F$33*Données!U1696+'Résultat (Ln)'!F$34*Données!V1696+'Résultat (Ln)'!F$35*Données!W1696+'Résultat (Ln)'!F$36*Données!X1696+'Résultat (Ln)'!F$37*Données!Y1696</f>
        <v>143863.98102371741</v>
      </c>
      <c r="AA1696">
        <f t="shared" si="107"/>
        <v>-13863.98102371741</v>
      </c>
    </row>
    <row r="1697" spans="1:27" x14ac:dyDescent="0.25">
      <c r="A1697">
        <v>166000</v>
      </c>
      <c r="B1697">
        <v>1</v>
      </c>
      <c r="C1697">
        <v>36</v>
      </c>
      <c r="D1697">
        <v>0</v>
      </c>
      <c r="E1697">
        <v>185000</v>
      </c>
      <c r="F1697">
        <v>2331</v>
      </c>
      <c r="G1697">
        <v>1</v>
      </c>
      <c r="H1697">
        <v>0</v>
      </c>
      <c r="I1697">
        <v>0</v>
      </c>
      <c r="J1697">
        <v>34</v>
      </c>
      <c r="K1697">
        <v>0</v>
      </c>
      <c r="L1697">
        <f>Résultats!G$32+Résultats!G$33*Données!C1697+Résultats!G$34*Données!D1697+Résultats!G$35*Données!E1697+Résultats!G$36*Données!F1697+Résultats!G$37*Données!G1697+Résultats!G$38*Données!H1697+Résultats!G$39*Données!I1697</f>
        <v>135833.69517918379</v>
      </c>
      <c r="M1697">
        <f t="shared" si="104"/>
        <v>30166.304820816207</v>
      </c>
      <c r="Q1697">
        <v>216000</v>
      </c>
      <c r="R1697">
        <v>1</v>
      </c>
      <c r="S1697">
        <v>35</v>
      </c>
      <c r="T1697">
        <v>0</v>
      </c>
      <c r="U1697">
        <f t="shared" si="105"/>
        <v>12.504323669331189</v>
      </c>
      <c r="V1697">
        <f t="shared" si="106"/>
        <v>6.932447891572509</v>
      </c>
      <c r="W1697">
        <v>1</v>
      </c>
      <c r="X1697">
        <v>1</v>
      </c>
      <c r="Y1697">
        <v>1</v>
      </c>
      <c r="Z1697">
        <f>'Résultat (Ln)'!F$30+'Résultat (Ln)'!F$31*Données!S1697+'Résultat (Ln)'!F$32*Données!T1697+'Résultat (Ln)'!F$33*Données!U1697+'Résultat (Ln)'!F$34*Données!V1697+'Résultat (Ln)'!F$35*Données!W1697+'Résultat (Ln)'!F$36*Données!X1697+'Résultat (Ln)'!F$37*Données!Y1697</f>
        <v>166198.8864594324</v>
      </c>
      <c r="AA1697">
        <f t="shared" si="107"/>
        <v>49801.113540567603</v>
      </c>
    </row>
    <row r="1698" spans="1:27" x14ac:dyDescent="0.25">
      <c r="A1698">
        <v>144000</v>
      </c>
      <c r="B1698">
        <v>1</v>
      </c>
      <c r="C1698">
        <v>34</v>
      </c>
      <c r="D1698">
        <v>0</v>
      </c>
      <c r="E1698">
        <v>165000</v>
      </c>
      <c r="F1698">
        <v>2218</v>
      </c>
      <c r="G1698">
        <v>1</v>
      </c>
      <c r="H1698">
        <v>0</v>
      </c>
      <c r="I1698">
        <v>1</v>
      </c>
      <c r="J1698">
        <v>28</v>
      </c>
      <c r="K1698">
        <v>1</v>
      </c>
      <c r="L1698">
        <f>Résultats!G$32+Résultats!G$33*Données!C1698+Résultats!G$34*Données!D1698+Résultats!G$35*Données!E1698+Résultats!G$36*Données!F1698+Résultats!G$37*Données!G1698+Résultats!G$38*Données!H1698+Résultats!G$39*Données!I1698</f>
        <v>133903.77593213436</v>
      </c>
      <c r="M1698">
        <f t="shared" si="104"/>
        <v>10096.224067865638</v>
      </c>
      <c r="Q1698">
        <v>166000</v>
      </c>
      <c r="R1698">
        <v>1</v>
      </c>
      <c r="S1698">
        <v>36</v>
      </c>
      <c r="T1698">
        <v>0</v>
      </c>
      <c r="U1698">
        <f t="shared" si="105"/>
        <v>12.128111104060462</v>
      </c>
      <c r="V1698">
        <f t="shared" si="106"/>
        <v>7.7540526390357574</v>
      </c>
      <c r="W1698">
        <v>1</v>
      </c>
      <c r="X1698">
        <v>0</v>
      </c>
      <c r="Y1698">
        <v>0</v>
      </c>
      <c r="Z1698">
        <f>'Résultat (Ln)'!F$30+'Résultat (Ln)'!F$31*Données!S1698+'Résultat (Ln)'!F$32*Données!T1698+'Résultat (Ln)'!F$33*Données!U1698+'Résultat (Ln)'!F$34*Données!V1698+'Résultat (Ln)'!F$35*Données!W1698+'Résultat (Ln)'!F$36*Données!X1698+'Résultat (Ln)'!F$37*Données!Y1698</f>
        <v>136225.77314327404</v>
      </c>
      <c r="AA1698">
        <f t="shared" si="107"/>
        <v>29774.22685672596</v>
      </c>
    </row>
    <row r="1699" spans="1:27" x14ac:dyDescent="0.25">
      <c r="A1699">
        <v>100000</v>
      </c>
      <c r="B1699">
        <v>1</v>
      </c>
      <c r="C1699">
        <v>33</v>
      </c>
      <c r="D1699">
        <v>0</v>
      </c>
      <c r="E1699">
        <v>260000</v>
      </c>
      <c r="F1699">
        <v>4281</v>
      </c>
      <c r="G1699">
        <v>1</v>
      </c>
      <c r="H1699">
        <v>0</v>
      </c>
      <c r="I1699">
        <v>0</v>
      </c>
      <c r="J1699">
        <v>25</v>
      </c>
      <c r="K1699">
        <v>1</v>
      </c>
      <c r="L1699">
        <f>Résultats!G$32+Résultats!G$33*Données!C1699+Résultats!G$34*Données!D1699+Résultats!G$35*Données!E1699+Résultats!G$36*Données!F1699+Résultats!G$37*Données!G1699+Résultats!G$38*Données!H1699+Résultats!G$39*Données!I1699</f>
        <v>171187.86455550097</v>
      </c>
      <c r="M1699">
        <f t="shared" si="104"/>
        <v>-71187.864555500972</v>
      </c>
      <c r="Q1699">
        <v>144000</v>
      </c>
      <c r="R1699">
        <v>1</v>
      </c>
      <c r="S1699">
        <v>34</v>
      </c>
      <c r="T1699">
        <v>0</v>
      </c>
      <c r="U1699">
        <f t="shared" si="105"/>
        <v>12.013700752882718</v>
      </c>
      <c r="V1699">
        <f t="shared" si="106"/>
        <v>7.7043611679103128</v>
      </c>
      <c r="W1699">
        <v>1</v>
      </c>
      <c r="X1699">
        <v>0</v>
      </c>
      <c r="Y1699">
        <v>1</v>
      </c>
      <c r="Z1699">
        <f>'Résultat (Ln)'!F$30+'Résultat (Ln)'!F$31*Données!S1699+'Résultat (Ln)'!F$32*Données!T1699+'Résultat (Ln)'!F$33*Données!U1699+'Résultat (Ln)'!F$34*Données!V1699+'Résultat (Ln)'!F$35*Données!W1699+'Résultat (Ln)'!F$36*Données!X1699+'Résultat (Ln)'!F$37*Données!Y1699</f>
        <v>134210.70302223164</v>
      </c>
      <c r="AA1699">
        <f t="shared" si="107"/>
        <v>9789.2969777683611</v>
      </c>
    </row>
    <row r="1700" spans="1:27" x14ac:dyDescent="0.25">
      <c r="A1700">
        <v>183000</v>
      </c>
      <c r="B1700">
        <v>1</v>
      </c>
      <c r="C1700">
        <v>31.20000076293945</v>
      </c>
      <c r="D1700">
        <v>0</v>
      </c>
      <c r="E1700">
        <v>229000</v>
      </c>
      <c r="F1700">
        <v>7500</v>
      </c>
      <c r="G1700">
        <v>1</v>
      </c>
      <c r="H1700">
        <v>0</v>
      </c>
      <c r="I1700">
        <v>1</v>
      </c>
      <c r="J1700">
        <v>25.60000038146973</v>
      </c>
      <c r="K1700">
        <v>1</v>
      </c>
      <c r="L1700">
        <f>Résultats!G$32+Résultats!G$33*Données!C1700+Résultats!G$34*Données!D1700+Résultats!G$35*Données!E1700+Résultats!G$36*Données!F1700+Résultats!G$37*Données!G1700+Résultats!G$38*Données!H1700+Résultats!G$39*Données!I1700</f>
        <v>170807.90180794057</v>
      </c>
      <c r="M1700">
        <f t="shared" si="104"/>
        <v>12192.098192059435</v>
      </c>
      <c r="Q1700">
        <v>100000</v>
      </c>
      <c r="R1700">
        <v>1</v>
      </c>
      <c r="S1700">
        <v>33</v>
      </c>
      <c r="T1700">
        <v>0</v>
      </c>
      <c r="U1700">
        <f t="shared" si="105"/>
        <v>12.468436909997665</v>
      </c>
      <c r="V1700">
        <f t="shared" si="106"/>
        <v>8.3619419061449456</v>
      </c>
      <c r="W1700">
        <v>1</v>
      </c>
      <c r="X1700">
        <v>0</v>
      </c>
      <c r="Y1700">
        <v>0</v>
      </c>
      <c r="Z1700">
        <f>'Résultat (Ln)'!F$30+'Résultat (Ln)'!F$31*Données!S1700+'Résultat (Ln)'!F$32*Données!T1700+'Résultat (Ln)'!F$33*Données!U1700+'Résultat (Ln)'!F$34*Données!V1700+'Résultat (Ln)'!F$35*Données!W1700+'Résultat (Ln)'!F$36*Données!X1700+'Résultat (Ln)'!F$37*Données!Y1700</f>
        <v>186089.80423970972</v>
      </c>
      <c r="AA1700">
        <f t="shared" si="107"/>
        <v>-86089.804239709716</v>
      </c>
    </row>
    <row r="1701" spans="1:27" x14ac:dyDescent="0.25">
      <c r="A1701">
        <v>164000</v>
      </c>
      <c r="B1701">
        <v>1</v>
      </c>
      <c r="C1701">
        <v>22</v>
      </c>
      <c r="D1701">
        <v>0</v>
      </c>
      <c r="E1701">
        <v>184000</v>
      </c>
      <c r="F1701">
        <v>4923</v>
      </c>
      <c r="G1701">
        <v>1</v>
      </c>
      <c r="H1701">
        <v>0</v>
      </c>
      <c r="I1701">
        <v>1</v>
      </c>
      <c r="J1701">
        <v>21</v>
      </c>
      <c r="K1701">
        <v>1</v>
      </c>
      <c r="L1701">
        <f>Résultats!G$32+Résultats!G$33*Données!C1701+Résultats!G$34*Données!D1701+Résultats!G$35*Données!E1701+Résultats!G$36*Données!F1701+Résultats!G$37*Données!G1701+Résultats!G$38*Données!H1701+Résultats!G$39*Données!I1701</f>
        <v>134233.55831187082</v>
      </c>
      <c r="M1701">
        <f t="shared" si="104"/>
        <v>29766.441688129184</v>
      </c>
      <c r="Q1701">
        <v>183000</v>
      </c>
      <c r="R1701">
        <v>1</v>
      </c>
      <c r="S1701">
        <v>31.20000076293945</v>
      </c>
      <c r="T1701">
        <v>0</v>
      </c>
      <c r="U1701">
        <f t="shared" si="105"/>
        <v>12.341477282536376</v>
      </c>
      <c r="V1701">
        <f t="shared" si="106"/>
        <v>8.9226582995244019</v>
      </c>
      <c r="W1701">
        <v>1</v>
      </c>
      <c r="X1701">
        <v>0</v>
      </c>
      <c r="Y1701">
        <v>1</v>
      </c>
      <c r="Z1701">
        <f>'Résultat (Ln)'!F$30+'Résultat (Ln)'!F$31*Données!S1701+'Résultat (Ln)'!F$32*Données!T1701+'Résultat (Ln)'!F$33*Données!U1701+'Résultat (Ln)'!F$34*Données!V1701+'Résultat (Ln)'!F$35*Données!W1701+'Résultat (Ln)'!F$36*Données!X1701+'Résultat (Ln)'!F$37*Données!Y1701</f>
        <v>200093.28900774455</v>
      </c>
      <c r="AA1701">
        <f t="shared" si="107"/>
        <v>-17093.289007744548</v>
      </c>
    </row>
    <row r="1702" spans="1:27" x14ac:dyDescent="0.25">
      <c r="A1702">
        <v>110000</v>
      </c>
      <c r="B1702">
        <v>1</v>
      </c>
      <c r="C1702">
        <v>31.79999923706055</v>
      </c>
      <c r="D1702">
        <v>0</v>
      </c>
      <c r="E1702">
        <v>137000</v>
      </c>
      <c r="F1702">
        <v>3588</v>
      </c>
      <c r="G1702">
        <v>0</v>
      </c>
      <c r="H1702">
        <v>0</v>
      </c>
      <c r="I1702">
        <v>1</v>
      </c>
      <c r="J1702">
        <v>31.20000076293945</v>
      </c>
      <c r="K1702">
        <v>1</v>
      </c>
      <c r="L1702">
        <f>Résultats!G$32+Résultats!G$33*Données!C1702+Résultats!G$34*Données!D1702+Résultats!G$35*Données!E1702+Résultats!G$36*Données!F1702+Résultats!G$37*Données!G1702+Résultats!G$38*Données!H1702+Résultats!G$39*Données!I1702</f>
        <v>113940.15890891285</v>
      </c>
      <c r="M1702">
        <f t="shared" si="104"/>
        <v>-3940.1589089128538</v>
      </c>
      <c r="Q1702">
        <v>164000</v>
      </c>
      <c r="R1702">
        <v>1</v>
      </c>
      <c r="S1702">
        <v>22</v>
      </c>
      <c r="T1702">
        <v>0</v>
      </c>
      <c r="U1702">
        <f t="shared" si="105"/>
        <v>12.122691036591123</v>
      </c>
      <c r="V1702">
        <f t="shared" si="106"/>
        <v>8.5016733797582003</v>
      </c>
      <c r="W1702">
        <v>1</v>
      </c>
      <c r="X1702">
        <v>0</v>
      </c>
      <c r="Y1702">
        <v>1</v>
      </c>
      <c r="Z1702">
        <f>'Résultat (Ln)'!F$30+'Résultat (Ln)'!F$31*Données!S1702+'Résultat (Ln)'!F$32*Données!T1702+'Résultat (Ln)'!F$33*Données!U1702+'Résultat (Ln)'!F$34*Données!V1702+'Résultat (Ln)'!F$35*Données!W1702+'Résultat (Ln)'!F$36*Données!X1702+'Résultat (Ln)'!F$37*Données!Y1702</f>
        <v>153590.73973755562</v>
      </c>
      <c r="AA1702">
        <f t="shared" si="107"/>
        <v>10409.260262444383</v>
      </c>
    </row>
    <row r="1703" spans="1:27" x14ac:dyDescent="0.25">
      <c r="A1703">
        <v>220000</v>
      </c>
      <c r="B1703">
        <v>1</v>
      </c>
      <c r="C1703">
        <v>33</v>
      </c>
      <c r="D1703">
        <v>0</v>
      </c>
      <c r="E1703">
        <v>275000</v>
      </c>
      <c r="F1703">
        <v>7415</v>
      </c>
      <c r="G1703">
        <v>1</v>
      </c>
      <c r="H1703">
        <v>0</v>
      </c>
      <c r="I1703">
        <v>0</v>
      </c>
      <c r="J1703">
        <v>32</v>
      </c>
      <c r="K1703">
        <v>1</v>
      </c>
      <c r="L1703">
        <f>Résultats!G$32+Résultats!G$33*Données!C1703+Résultats!G$34*Données!D1703+Résultats!G$35*Données!E1703+Résultats!G$36*Données!F1703+Résultats!G$37*Données!G1703+Résultats!G$38*Données!H1703+Résultats!G$39*Données!I1703</f>
        <v>184265.18918986901</v>
      </c>
      <c r="M1703">
        <f t="shared" si="104"/>
        <v>35734.810810130992</v>
      </c>
      <c r="Q1703">
        <v>110000</v>
      </c>
      <c r="R1703">
        <v>1</v>
      </c>
      <c r="S1703">
        <v>31.79999923706055</v>
      </c>
      <c r="T1703">
        <v>0</v>
      </c>
      <c r="U1703">
        <f t="shared" si="105"/>
        <v>11.827736204810263</v>
      </c>
      <c r="V1703">
        <f t="shared" si="106"/>
        <v>8.1853502231786859</v>
      </c>
      <c r="W1703">
        <v>0</v>
      </c>
      <c r="X1703">
        <v>0</v>
      </c>
      <c r="Y1703">
        <v>1</v>
      </c>
      <c r="Z1703">
        <f>'Résultat (Ln)'!F$30+'Résultat (Ln)'!F$31*Données!S1703+'Résultat (Ln)'!F$32*Données!T1703+'Résultat (Ln)'!F$33*Données!U1703+'Résultat (Ln)'!F$34*Données!V1703+'Résultat (Ln)'!F$35*Données!W1703+'Résultat (Ln)'!F$36*Données!X1703+'Résultat (Ln)'!F$37*Données!Y1703</f>
        <v>120563.32545751552</v>
      </c>
      <c r="AA1703">
        <f t="shared" si="107"/>
        <v>-10563.325457515515</v>
      </c>
    </row>
    <row r="1704" spans="1:27" x14ac:dyDescent="0.25">
      <c r="A1704">
        <v>100000</v>
      </c>
      <c r="B1704">
        <v>1</v>
      </c>
      <c r="C1704">
        <v>33</v>
      </c>
      <c r="D1704">
        <v>0</v>
      </c>
      <c r="E1704">
        <v>193000</v>
      </c>
      <c r="F1704">
        <v>4152</v>
      </c>
      <c r="G1704">
        <v>0</v>
      </c>
      <c r="H1704">
        <v>0</v>
      </c>
      <c r="I1704">
        <v>0</v>
      </c>
      <c r="J1704">
        <v>32</v>
      </c>
      <c r="K1704">
        <v>0</v>
      </c>
      <c r="L1704">
        <f>Résultats!G$32+Résultats!G$33*Données!C1704+Résultats!G$34*Données!D1704+Résultats!G$35*Données!E1704+Résultats!G$36*Données!F1704+Résultats!G$37*Données!G1704+Résultats!G$38*Données!H1704+Résultats!G$39*Données!I1704</f>
        <v>132635.40250320427</v>
      </c>
      <c r="M1704">
        <f t="shared" si="104"/>
        <v>-32635.40250320427</v>
      </c>
      <c r="Q1704">
        <v>220000</v>
      </c>
      <c r="R1704">
        <v>1</v>
      </c>
      <c r="S1704">
        <v>33</v>
      </c>
      <c r="T1704">
        <v>0</v>
      </c>
      <c r="U1704">
        <f t="shared" si="105"/>
        <v>12.524526376648708</v>
      </c>
      <c r="V1704">
        <f t="shared" si="106"/>
        <v>8.9112602545720332</v>
      </c>
      <c r="W1704">
        <v>1</v>
      </c>
      <c r="X1704">
        <v>0</v>
      </c>
      <c r="Y1704">
        <v>0</v>
      </c>
      <c r="Z1704">
        <f>'Résultat (Ln)'!F$30+'Résultat (Ln)'!F$31*Données!S1704+'Résultat (Ln)'!F$32*Données!T1704+'Résultat (Ln)'!F$33*Données!U1704+'Résultat (Ln)'!F$34*Données!V1704+'Résultat (Ln)'!F$35*Données!W1704+'Résultat (Ln)'!F$36*Données!X1704+'Résultat (Ln)'!F$37*Données!Y1704</f>
        <v>207508.4150123857</v>
      </c>
      <c r="AA1704">
        <f t="shared" si="107"/>
        <v>12491.584987614304</v>
      </c>
    </row>
    <row r="1705" spans="1:27" x14ac:dyDescent="0.25">
      <c r="A1705">
        <v>70000</v>
      </c>
      <c r="B1705">
        <v>1</v>
      </c>
      <c r="C1705">
        <v>27</v>
      </c>
      <c r="D1705">
        <v>0</v>
      </c>
      <c r="E1705">
        <v>95000</v>
      </c>
      <c r="F1705">
        <v>5870</v>
      </c>
      <c r="G1705">
        <v>0</v>
      </c>
      <c r="H1705">
        <v>1</v>
      </c>
      <c r="I1705">
        <v>0</v>
      </c>
      <c r="J1705">
        <v>8</v>
      </c>
      <c r="K1705">
        <v>1</v>
      </c>
      <c r="L1705">
        <f>Résultats!G$32+Résultats!G$33*Données!C1705+Résultats!G$34*Données!D1705+Résultats!G$35*Données!E1705+Résultats!G$36*Données!F1705+Résultats!G$37*Données!G1705+Résultats!G$38*Données!H1705+Résultats!G$39*Données!I1705</f>
        <v>81685.802113772239</v>
      </c>
      <c r="M1705">
        <f t="shared" si="104"/>
        <v>-11685.802113772239</v>
      </c>
      <c r="Q1705">
        <v>100000</v>
      </c>
      <c r="R1705">
        <v>1</v>
      </c>
      <c r="S1705">
        <v>33</v>
      </c>
      <c r="T1705">
        <v>0</v>
      </c>
      <c r="U1705">
        <f t="shared" si="105"/>
        <v>12.170445467887022</v>
      </c>
      <c r="V1705">
        <f t="shared" si="106"/>
        <v>8.3313454248457237</v>
      </c>
      <c r="W1705">
        <v>0</v>
      </c>
      <c r="X1705">
        <v>0</v>
      </c>
      <c r="Y1705">
        <v>0</v>
      </c>
      <c r="Z1705">
        <f>'Résultat (Ln)'!F$30+'Résultat (Ln)'!F$31*Données!S1705+'Résultat (Ln)'!F$32*Données!T1705+'Résultat (Ln)'!F$33*Données!U1705+'Résultat (Ln)'!F$34*Données!V1705+'Résultat (Ln)'!F$35*Données!W1705+'Résultat (Ln)'!F$36*Données!X1705+'Résultat (Ln)'!F$37*Données!Y1705</f>
        <v>148774.30938275627</v>
      </c>
      <c r="AA1705">
        <f t="shared" si="107"/>
        <v>-48774.30938275627</v>
      </c>
    </row>
    <row r="1706" spans="1:27" x14ac:dyDescent="0.25">
      <c r="A1706">
        <v>122000</v>
      </c>
      <c r="B1706">
        <v>1</v>
      </c>
      <c r="C1706">
        <v>31.20000076293945</v>
      </c>
      <c r="D1706">
        <v>0</v>
      </c>
      <c r="E1706">
        <v>152000</v>
      </c>
      <c r="F1706">
        <v>4500</v>
      </c>
      <c r="G1706">
        <v>0</v>
      </c>
      <c r="H1706">
        <v>0</v>
      </c>
      <c r="I1706">
        <v>1</v>
      </c>
      <c r="J1706">
        <v>22.309999465942379</v>
      </c>
      <c r="K1706">
        <v>0</v>
      </c>
      <c r="L1706">
        <f>Résultats!G$32+Résultats!G$33*Données!C1706+Résultats!G$34*Données!D1706+Résultats!G$35*Données!E1706+Résultats!G$36*Données!F1706+Résultats!G$37*Données!G1706+Résultats!G$38*Données!H1706+Résultats!G$39*Données!I1706</f>
        <v>122022.51954183272</v>
      </c>
      <c r="M1706">
        <f t="shared" si="104"/>
        <v>-22.519541832720279</v>
      </c>
      <c r="Q1706">
        <v>70000</v>
      </c>
      <c r="R1706">
        <v>1</v>
      </c>
      <c r="S1706">
        <v>27</v>
      </c>
      <c r="T1706">
        <v>0</v>
      </c>
      <c r="U1706">
        <f t="shared" si="105"/>
        <v>11.461632170582678</v>
      </c>
      <c r="V1706">
        <f t="shared" si="106"/>
        <v>8.6776099128221418</v>
      </c>
      <c r="W1706">
        <v>0</v>
      </c>
      <c r="X1706">
        <v>1</v>
      </c>
      <c r="Y1706">
        <v>0</v>
      </c>
      <c r="Z1706">
        <f>'Résultat (Ln)'!F$30+'Résultat (Ln)'!F$31*Données!S1706+'Résultat (Ln)'!F$32*Données!T1706+'Résultat (Ln)'!F$33*Données!U1706+'Résultat (Ln)'!F$34*Données!V1706+'Résultat (Ln)'!F$35*Données!W1706+'Résultat (Ln)'!F$36*Données!X1706+'Résultat (Ln)'!F$37*Données!Y1706</f>
        <v>74994.143737498598</v>
      </c>
      <c r="AA1706">
        <f t="shared" si="107"/>
        <v>-4994.1437374985981</v>
      </c>
    </row>
    <row r="1707" spans="1:27" x14ac:dyDescent="0.25">
      <c r="A1707">
        <v>187000</v>
      </c>
      <c r="B1707">
        <v>1</v>
      </c>
      <c r="C1707">
        <v>33.400001525878913</v>
      </c>
      <c r="D1707">
        <v>0</v>
      </c>
      <c r="E1707">
        <v>210000</v>
      </c>
      <c r="F1707">
        <v>4155</v>
      </c>
      <c r="G1707">
        <v>0</v>
      </c>
      <c r="H1707">
        <v>0</v>
      </c>
      <c r="I1707">
        <v>0</v>
      </c>
      <c r="J1707">
        <v>26.89999961853027</v>
      </c>
      <c r="K1707">
        <v>1</v>
      </c>
      <c r="L1707">
        <f>Résultats!G$32+Résultats!G$33*Données!C1707+Résultats!G$34*Données!D1707+Résultats!G$35*Données!E1707+Résultats!G$36*Données!F1707+Résultats!G$37*Données!G1707+Résultats!G$38*Données!H1707+Résultats!G$39*Données!I1707</f>
        <v>141038.89133711508</v>
      </c>
      <c r="M1707">
        <f t="shared" si="104"/>
        <v>45961.108662884915</v>
      </c>
      <c r="Q1707">
        <v>122000</v>
      </c>
      <c r="R1707">
        <v>1</v>
      </c>
      <c r="S1707">
        <v>31.20000076293945</v>
      </c>
      <c r="T1707">
        <v>0</v>
      </c>
      <c r="U1707">
        <f t="shared" si="105"/>
        <v>11.931635799828413</v>
      </c>
      <c r="V1707">
        <f t="shared" si="106"/>
        <v>8.4118326757584114</v>
      </c>
      <c r="W1707">
        <v>0</v>
      </c>
      <c r="X1707">
        <v>0</v>
      </c>
      <c r="Y1707">
        <v>1</v>
      </c>
      <c r="Z1707">
        <f>'Résultat (Ln)'!F$30+'Résultat (Ln)'!F$31*Données!S1707+'Résultat (Ln)'!F$32*Données!T1707+'Résultat (Ln)'!F$33*Données!U1707+'Résultat (Ln)'!F$34*Données!V1707+'Résultat (Ln)'!F$35*Données!W1707+'Résultat (Ln)'!F$36*Données!X1707+'Résultat (Ln)'!F$37*Données!Y1707</f>
        <v>137319.55863259174</v>
      </c>
      <c r="AA1707">
        <f t="shared" si="107"/>
        <v>-15319.558632591739</v>
      </c>
    </row>
    <row r="1708" spans="1:27" x14ac:dyDescent="0.25">
      <c r="A1708">
        <v>196000</v>
      </c>
      <c r="B1708">
        <v>1</v>
      </c>
      <c r="C1708">
        <v>30.39999961853027</v>
      </c>
      <c r="D1708">
        <v>1</v>
      </c>
      <c r="E1708">
        <v>245000</v>
      </c>
      <c r="F1708">
        <v>11250</v>
      </c>
      <c r="G1708">
        <v>0</v>
      </c>
      <c r="H1708">
        <v>0</v>
      </c>
      <c r="I1708">
        <v>1</v>
      </c>
      <c r="J1708">
        <v>9.0399999618530273</v>
      </c>
      <c r="K1708">
        <v>1</v>
      </c>
      <c r="L1708">
        <f>Résultats!G$32+Résultats!G$33*Données!C1708+Résultats!G$34*Données!D1708+Résultats!G$35*Données!E1708+Résultats!G$36*Données!F1708+Résultats!G$37*Données!G1708+Résultats!G$38*Données!H1708+Résultats!G$39*Données!I1708</f>
        <v>182458.5493446856</v>
      </c>
      <c r="M1708">
        <f t="shared" si="104"/>
        <v>13541.450655314402</v>
      </c>
      <c r="Q1708">
        <v>187000</v>
      </c>
      <c r="R1708">
        <v>1</v>
      </c>
      <c r="S1708">
        <v>33.400001525878913</v>
      </c>
      <c r="T1708">
        <v>0</v>
      </c>
      <c r="U1708">
        <f t="shared" si="105"/>
        <v>12.254862809699606</v>
      </c>
      <c r="V1708">
        <f t="shared" si="106"/>
        <v>8.3320677072895482</v>
      </c>
      <c r="W1708">
        <v>0</v>
      </c>
      <c r="X1708">
        <v>0</v>
      </c>
      <c r="Y1708">
        <v>0</v>
      </c>
      <c r="Z1708">
        <f>'Résultat (Ln)'!F$30+'Résultat (Ln)'!F$31*Données!S1708+'Résultat (Ln)'!F$32*Données!T1708+'Résultat (Ln)'!F$33*Données!U1708+'Résultat (Ln)'!F$34*Données!V1708+'Résultat (Ln)'!F$35*Données!W1708+'Résultat (Ln)'!F$36*Données!X1708+'Résultat (Ln)'!F$37*Données!Y1708</f>
        <v>158332.54938765877</v>
      </c>
      <c r="AA1708">
        <f t="shared" si="107"/>
        <v>28667.450612341228</v>
      </c>
    </row>
    <row r="1709" spans="1:27" x14ac:dyDescent="0.25">
      <c r="A1709">
        <v>125000</v>
      </c>
      <c r="B1709">
        <v>1</v>
      </c>
      <c r="C1709">
        <v>31</v>
      </c>
      <c r="D1709">
        <v>0</v>
      </c>
      <c r="E1709">
        <v>157000</v>
      </c>
      <c r="F1709">
        <v>4356</v>
      </c>
      <c r="G1709">
        <v>1</v>
      </c>
      <c r="H1709">
        <v>0</v>
      </c>
      <c r="I1709">
        <v>1</v>
      </c>
      <c r="J1709">
        <v>23</v>
      </c>
      <c r="K1709">
        <v>1</v>
      </c>
      <c r="L1709">
        <f>Résultats!G$32+Résultats!G$33*Données!C1709+Résultats!G$34*Données!D1709+Résultats!G$35*Données!E1709+Résultats!G$36*Données!F1709+Résultats!G$37*Données!G1709+Résultats!G$38*Données!H1709+Résultats!G$39*Données!I1709</f>
        <v>130865.12803338614</v>
      </c>
      <c r="M1709">
        <f t="shared" si="104"/>
        <v>-5865.1280333861359</v>
      </c>
      <c r="Q1709">
        <v>196000</v>
      </c>
      <c r="R1709">
        <v>1</v>
      </c>
      <c r="S1709">
        <v>30.39999961853027</v>
      </c>
      <c r="T1709">
        <v>1</v>
      </c>
      <c r="U1709">
        <f t="shared" si="105"/>
        <v>12.409013489526863</v>
      </c>
      <c r="V1709">
        <f t="shared" si="106"/>
        <v>9.3281234076325656</v>
      </c>
      <c r="W1709">
        <v>0</v>
      </c>
      <c r="X1709">
        <v>0</v>
      </c>
      <c r="Y1709">
        <v>1</v>
      </c>
      <c r="Z1709">
        <f>'Résultat (Ln)'!F$30+'Résultat (Ln)'!F$31*Données!S1709+'Résultat (Ln)'!F$32*Données!T1709+'Résultat (Ln)'!F$33*Données!U1709+'Résultat (Ln)'!F$34*Données!V1709+'Résultat (Ln)'!F$35*Données!W1709+'Résultat (Ln)'!F$36*Données!X1709+'Résultat (Ln)'!F$37*Données!Y1709</f>
        <v>217561.60837000655</v>
      </c>
      <c r="AA1709">
        <f t="shared" si="107"/>
        <v>-21561.60837000655</v>
      </c>
    </row>
    <row r="1710" spans="1:27" x14ac:dyDescent="0.25">
      <c r="A1710">
        <v>125000</v>
      </c>
      <c r="B1710">
        <v>1</v>
      </c>
      <c r="C1710">
        <v>6.9899997711181641</v>
      </c>
      <c r="D1710">
        <v>0</v>
      </c>
      <c r="E1710">
        <v>265000</v>
      </c>
      <c r="F1710">
        <v>18165</v>
      </c>
      <c r="G1710">
        <v>0</v>
      </c>
      <c r="H1710">
        <v>0</v>
      </c>
      <c r="I1710">
        <v>1</v>
      </c>
      <c r="J1710">
        <v>6.9899997711181641</v>
      </c>
      <c r="K1710">
        <v>0</v>
      </c>
      <c r="L1710">
        <f>Résultats!G$32+Résultats!G$33*Données!C1710+Résultats!G$34*Données!D1710+Résultats!G$35*Données!E1710+Résultats!G$36*Données!F1710+Résultats!G$37*Données!G1710+Résultats!G$38*Données!H1710+Résultats!G$39*Données!I1710</f>
        <v>173458.79223717601</v>
      </c>
      <c r="M1710">
        <f t="shared" si="104"/>
        <v>-48458.792237176007</v>
      </c>
      <c r="Q1710">
        <v>125000</v>
      </c>
      <c r="R1710">
        <v>1</v>
      </c>
      <c r="S1710">
        <v>31</v>
      </c>
      <c r="T1710">
        <v>0</v>
      </c>
      <c r="U1710">
        <f t="shared" si="105"/>
        <v>11.964001084330445</v>
      </c>
      <c r="V1710">
        <f t="shared" si="106"/>
        <v>8.3793094840528504</v>
      </c>
      <c r="W1710">
        <v>1</v>
      </c>
      <c r="X1710">
        <v>0</v>
      </c>
      <c r="Y1710">
        <v>1</v>
      </c>
      <c r="Z1710">
        <f>'Résultat (Ln)'!F$30+'Résultat (Ln)'!F$31*Données!S1710+'Résultat (Ln)'!F$32*Données!T1710+'Résultat (Ln)'!F$33*Données!U1710+'Résultat (Ln)'!F$34*Données!V1710+'Résultat (Ln)'!F$35*Données!W1710+'Résultat (Ln)'!F$36*Données!X1710+'Résultat (Ln)'!F$37*Données!Y1710</f>
        <v>144146.45667498169</v>
      </c>
      <c r="AA1710">
        <f t="shared" si="107"/>
        <v>-19146.456674981688</v>
      </c>
    </row>
    <row r="1711" spans="1:27" x14ac:dyDescent="0.25">
      <c r="A1711">
        <v>126000</v>
      </c>
      <c r="B1711">
        <v>1</v>
      </c>
      <c r="C1711">
        <v>36</v>
      </c>
      <c r="D1711">
        <v>0</v>
      </c>
      <c r="E1711">
        <v>140000</v>
      </c>
      <c r="F1711">
        <v>2550</v>
      </c>
      <c r="G1711">
        <v>0</v>
      </c>
      <c r="H1711">
        <v>0</v>
      </c>
      <c r="I1711">
        <v>0</v>
      </c>
      <c r="J1711">
        <v>28</v>
      </c>
      <c r="K1711">
        <v>1</v>
      </c>
      <c r="L1711">
        <f>Résultats!G$32+Résultats!G$33*Données!C1711+Résultats!G$34*Données!D1711+Résultats!G$35*Données!E1711+Résultats!G$36*Données!F1711+Résultats!G$37*Données!G1711+Résultats!G$38*Données!H1711+Résultats!G$39*Données!I1711</f>
        <v>108228.5550409678</v>
      </c>
      <c r="M1711">
        <f t="shared" si="104"/>
        <v>17771.444959032204</v>
      </c>
      <c r="Q1711">
        <v>125000</v>
      </c>
      <c r="R1711">
        <v>1</v>
      </c>
      <c r="S1711">
        <v>6.9899997711181641</v>
      </c>
      <c r="T1711">
        <v>0</v>
      </c>
      <c r="U1711">
        <f t="shared" si="105"/>
        <v>12.487485104968359</v>
      </c>
      <c r="V1711">
        <f t="shared" si="106"/>
        <v>9.8072519446553024</v>
      </c>
      <c r="W1711">
        <v>0</v>
      </c>
      <c r="X1711">
        <v>0</v>
      </c>
      <c r="Y1711">
        <v>1</v>
      </c>
      <c r="Z1711">
        <f>'Résultat (Ln)'!F$30+'Résultat (Ln)'!F$31*Données!S1711+'Résultat (Ln)'!F$32*Données!T1711+'Résultat (Ln)'!F$33*Données!U1711+'Résultat (Ln)'!F$34*Données!V1711+'Résultat (Ln)'!F$35*Données!W1711+'Résultat (Ln)'!F$36*Données!X1711+'Résultat (Ln)'!F$37*Données!Y1711</f>
        <v>206454.16644010827</v>
      </c>
      <c r="AA1711">
        <f t="shared" si="107"/>
        <v>-81454.166440108267</v>
      </c>
    </row>
    <row r="1712" spans="1:27" x14ac:dyDescent="0.25">
      <c r="A1712">
        <v>105000</v>
      </c>
      <c r="B1712">
        <v>1</v>
      </c>
      <c r="C1712">
        <v>50</v>
      </c>
      <c r="D1712">
        <v>0</v>
      </c>
      <c r="E1712">
        <v>131000</v>
      </c>
      <c r="F1712">
        <v>2700</v>
      </c>
      <c r="G1712">
        <v>0</v>
      </c>
      <c r="H1712">
        <v>0</v>
      </c>
      <c r="I1712">
        <v>0</v>
      </c>
      <c r="J1712">
        <v>41</v>
      </c>
      <c r="K1712">
        <v>0</v>
      </c>
      <c r="L1712">
        <f>Résultats!G$32+Résultats!G$33*Données!C1712+Résultats!G$34*Données!D1712+Résultats!G$35*Données!E1712+Résultats!G$36*Données!F1712+Résultats!G$37*Données!G1712+Résultats!G$38*Données!H1712+Résultats!G$39*Données!I1712</f>
        <v>120398.02903542583</v>
      </c>
      <c r="M1712">
        <f t="shared" si="104"/>
        <v>-15398.029035425832</v>
      </c>
      <c r="Q1712">
        <v>126000</v>
      </c>
      <c r="R1712">
        <v>1</v>
      </c>
      <c r="S1712">
        <v>36</v>
      </c>
      <c r="T1712">
        <v>0</v>
      </c>
      <c r="U1712">
        <f t="shared" si="105"/>
        <v>11.849397701591441</v>
      </c>
      <c r="V1712">
        <f t="shared" si="106"/>
        <v>7.8438486381524717</v>
      </c>
      <c r="W1712">
        <v>0</v>
      </c>
      <c r="X1712">
        <v>0</v>
      </c>
      <c r="Y1712">
        <v>0</v>
      </c>
      <c r="Z1712">
        <f>'Résultat (Ln)'!F$30+'Résultat (Ln)'!F$31*Données!S1712+'Résultat (Ln)'!F$32*Données!T1712+'Résultat (Ln)'!F$33*Données!U1712+'Résultat (Ln)'!F$34*Données!V1712+'Résultat (Ln)'!F$35*Données!W1712+'Résultat (Ln)'!F$36*Données!X1712+'Résultat (Ln)'!F$37*Données!Y1712</f>
        <v>104353.30123492875</v>
      </c>
      <c r="AA1712">
        <f t="shared" si="107"/>
        <v>21646.698765071254</v>
      </c>
    </row>
    <row r="1713" spans="1:27" x14ac:dyDescent="0.25">
      <c r="A1713">
        <v>324000</v>
      </c>
      <c r="B1713">
        <v>1</v>
      </c>
      <c r="C1713">
        <v>39</v>
      </c>
      <c r="D1713">
        <v>0</v>
      </c>
      <c r="E1713">
        <v>360000</v>
      </c>
      <c r="F1713">
        <v>6133</v>
      </c>
      <c r="G1713">
        <v>1</v>
      </c>
      <c r="H1713">
        <v>0</v>
      </c>
      <c r="I1713">
        <v>0</v>
      </c>
      <c r="J1713">
        <v>34</v>
      </c>
      <c r="K1713">
        <v>1</v>
      </c>
      <c r="L1713">
        <f>Résultats!G$32+Résultats!G$33*Données!C1713+Résultats!G$34*Données!D1713+Résultats!G$35*Données!E1713+Résultats!G$36*Données!F1713+Résultats!G$37*Données!G1713+Résultats!G$38*Données!H1713+Résultats!G$39*Données!I1713</f>
        <v>228363.99589884916</v>
      </c>
      <c r="M1713">
        <f t="shared" si="104"/>
        <v>95636.004101150844</v>
      </c>
      <c r="Q1713">
        <v>105000</v>
      </c>
      <c r="R1713">
        <v>1</v>
      </c>
      <c r="S1713">
        <v>50</v>
      </c>
      <c r="T1713">
        <v>0</v>
      </c>
      <c r="U1713">
        <f t="shared" si="105"/>
        <v>11.782952602183288</v>
      </c>
      <c r="V1713">
        <f t="shared" si="106"/>
        <v>7.90100705199242</v>
      </c>
      <c r="W1713">
        <v>0</v>
      </c>
      <c r="X1713">
        <v>0</v>
      </c>
      <c r="Y1713">
        <v>0</v>
      </c>
      <c r="Z1713">
        <f>'Résultat (Ln)'!F$30+'Résultat (Ln)'!F$31*Données!S1713+'Résultat (Ln)'!F$32*Données!T1713+'Résultat (Ln)'!F$33*Données!U1713+'Résultat (Ln)'!F$34*Données!V1713+'Résultat (Ln)'!F$35*Données!W1713+'Résultat (Ln)'!F$36*Données!X1713+'Résultat (Ln)'!F$37*Données!Y1713</f>
        <v>115942.30777905253</v>
      </c>
      <c r="AA1713">
        <f t="shared" si="107"/>
        <v>-10942.307779052528</v>
      </c>
    </row>
    <row r="1714" spans="1:27" x14ac:dyDescent="0.25">
      <c r="A1714">
        <v>121000</v>
      </c>
      <c r="B1714">
        <v>1</v>
      </c>
      <c r="C1714">
        <v>31</v>
      </c>
      <c r="D1714">
        <v>0</v>
      </c>
      <c r="E1714">
        <v>130000</v>
      </c>
      <c r="F1714">
        <v>3859</v>
      </c>
      <c r="G1714">
        <v>1</v>
      </c>
      <c r="H1714">
        <v>0</v>
      </c>
      <c r="I1714">
        <v>1</v>
      </c>
      <c r="J1714">
        <v>27</v>
      </c>
      <c r="K1714">
        <v>1</v>
      </c>
      <c r="L1714">
        <f>Résultats!G$32+Résultats!G$33*Données!C1714+Résultats!G$34*Données!D1714+Résultats!G$35*Données!E1714+Résultats!G$36*Données!F1714+Résultats!G$37*Données!G1714+Résultats!G$38*Données!H1714+Résultats!G$39*Données!I1714</f>
        <v>117294.30945844475</v>
      </c>
      <c r="M1714">
        <f t="shared" si="104"/>
        <v>3705.6905415552465</v>
      </c>
      <c r="Q1714">
        <v>324000</v>
      </c>
      <c r="R1714">
        <v>1</v>
      </c>
      <c r="S1714">
        <v>39</v>
      </c>
      <c r="T1714">
        <v>0</v>
      </c>
      <c r="U1714">
        <f t="shared" si="105"/>
        <v>12.793859310432293</v>
      </c>
      <c r="V1714">
        <f t="shared" si="106"/>
        <v>8.7214393056259834</v>
      </c>
      <c r="W1714">
        <v>1</v>
      </c>
      <c r="X1714">
        <v>0</v>
      </c>
      <c r="Y1714">
        <v>0</v>
      </c>
      <c r="Z1714">
        <f>'Résultat (Ln)'!F$30+'Résultat (Ln)'!F$31*Données!S1714+'Résultat (Ln)'!F$32*Données!T1714+'Résultat (Ln)'!F$33*Données!U1714+'Résultat (Ln)'!F$34*Données!V1714+'Résultat (Ln)'!F$35*Données!W1714+'Résultat (Ln)'!F$36*Données!X1714+'Résultat (Ln)'!F$37*Données!Y1714</f>
        <v>238388.27819436832</v>
      </c>
      <c r="AA1714">
        <f t="shared" si="107"/>
        <v>85611.721805631678</v>
      </c>
    </row>
    <row r="1715" spans="1:27" x14ac:dyDescent="0.25">
      <c r="A1715">
        <v>115000</v>
      </c>
      <c r="B1715">
        <v>1</v>
      </c>
      <c r="C1715">
        <v>27</v>
      </c>
      <c r="D1715">
        <v>0</v>
      </c>
      <c r="E1715">
        <v>135000</v>
      </c>
      <c r="F1715">
        <v>2979</v>
      </c>
      <c r="G1715">
        <v>1</v>
      </c>
      <c r="H1715">
        <v>0</v>
      </c>
      <c r="I1715">
        <v>0</v>
      </c>
      <c r="J1715">
        <v>25</v>
      </c>
      <c r="K1715">
        <v>0</v>
      </c>
      <c r="L1715">
        <f>Résultats!G$32+Résultats!G$33*Données!C1715+Résultats!G$34*Données!D1715+Résultats!G$35*Données!E1715+Résultats!G$36*Données!F1715+Résultats!G$37*Données!G1715+Résultats!G$38*Données!H1715+Résultats!G$39*Données!I1715</f>
        <v>103403.68454650299</v>
      </c>
      <c r="M1715">
        <f t="shared" si="104"/>
        <v>11596.315453497009</v>
      </c>
      <c r="Q1715">
        <v>121000</v>
      </c>
      <c r="R1715">
        <v>1</v>
      </c>
      <c r="S1715">
        <v>31</v>
      </c>
      <c r="T1715">
        <v>0</v>
      </c>
      <c r="U1715">
        <f t="shared" si="105"/>
        <v>11.77528972943772</v>
      </c>
      <c r="V1715">
        <f t="shared" si="106"/>
        <v>8.2581633615376191</v>
      </c>
      <c r="W1715">
        <v>1</v>
      </c>
      <c r="X1715">
        <v>0</v>
      </c>
      <c r="Y1715">
        <v>1</v>
      </c>
      <c r="Z1715">
        <f>'Résultat (Ln)'!F$30+'Résultat (Ln)'!F$31*Données!S1715+'Résultat (Ln)'!F$32*Données!T1715+'Résultat (Ln)'!F$33*Données!U1715+'Résultat (Ln)'!F$34*Données!V1715+'Résultat (Ln)'!F$35*Données!W1715+'Résultat (Ln)'!F$36*Données!X1715+'Résultat (Ln)'!F$37*Données!Y1715</f>
        <v>120519.79704275371</v>
      </c>
      <c r="AA1715">
        <f t="shared" si="107"/>
        <v>480.2029572462925</v>
      </c>
    </row>
    <row r="1716" spans="1:27" x14ac:dyDescent="0.25">
      <c r="A1716">
        <v>100000</v>
      </c>
      <c r="B1716">
        <v>1</v>
      </c>
      <c r="C1716">
        <v>43</v>
      </c>
      <c r="D1716">
        <v>0</v>
      </c>
      <c r="E1716">
        <v>125000</v>
      </c>
      <c r="F1716">
        <v>3377</v>
      </c>
      <c r="G1716">
        <v>1</v>
      </c>
      <c r="H1716">
        <v>0</v>
      </c>
      <c r="I1716">
        <v>0</v>
      </c>
      <c r="J1716">
        <v>27</v>
      </c>
      <c r="K1716">
        <v>1</v>
      </c>
      <c r="L1716">
        <f>Résultats!G$32+Résultats!G$33*Données!C1716+Résultats!G$34*Données!D1716+Résultats!G$35*Données!E1716+Résultats!G$36*Données!F1716+Résultats!G$37*Données!G1716+Résultats!G$38*Données!H1716+Résultats!G$39*Données!I1716</f>
        <v>117884.11729723134</v>
      </c>
      <c r="M1716">
        <f t="shared" si="104"/>
        <v>-17884.117297231336</v>
      </c>
      <c r="Q1716">
        <v>115000</v>
      </c>
      <c r="R1716">
        <v>1</v>
      </c>
      <c r="S1716">
        <v>27</v>
      </c>
      <c r="T1716">
        <v>0</v>
      </c>
      <c r="U1716">
        <f t="shared" si="105"/>
        <v>11.813030057420567</v>
      </c>
      <c r="V1716">
        <f t="shared" si="106"/>
        <v>7.999342952713282</v>
      </c>
      <c r="W1716">
        <v>1</v>
      </c>
      <c r="X1716">
        <v>0</v>
      </c>
      <c r="Y1716">
        <v>0</v>
      </c>
      <c r="Z1716">
        <f>'Résultat (Ln)'!F$30+'Résultat (Ln)'!F$31*Données!S1716+'Résultat (Ln)'!F$32*Données!T1716+'Résultat (Ln)'!F$33*Données!U1716+'Résultat (Ln)'!F$34*Données!V1716+'Résultat (Ln)'!F$35*Données!W1716+'Résultat (Ln)'!F$36*Données!X1716+'Résultat (Ln)'!F$37*Données!Y1716</f>
        <v>98331.474498580341</v>
      </c>
      <c r="AA1716">
        <f t="shared" si="107"/>
        <v>16668.525501419659</v>
      </c>
    </row>
    <row r="1717" spans="1:27" x14ac:dyDescent="0.25">
      <c r="A1717">
        <v>107000</v>
      </c>
      <c r="B1717">
        <v>1</v>
      </c>
      <c r="C1717">
        <v>31</v>
      </c>
      <c r="D1717">
        <v>0</v>
      </c>
      <c r="E1717">
        <v>118900.00152587891</v>
      </c>
      <c r="F1717">
        <v>3617</v>
      </c>
      <c r="G1717">
        <v>0</v>
      </c>
      <c r="H1717">
        <v>0</v>
      </c>
      <c r="I1717">
        <v>0</v>
      </c>
      <c r="J1717">
        <v>28.70000076293945</v>
      </c>
      <c r="K1717">
        <v>1</v>
      </c>
      <c r="L1717">
        <f>Résultats!G$32+Résultats!G$33*Données!C1717+Résultats!G$34*Données!D1717+Résultats!G$35*Données!E1717+Résultats!G$36*Données!F1717+Résultats!G$37*Données!G1717+Résultats!G$38*Données!H1717+Résultats!G$39*Données!I1717</f>
        <v>94700.109008162442</v>
      </c>
      <c r="M1717">
        <f t="shared" si="104"/>
        <v>12299.890991837558</v>
      </c>
      <c r="Q1717">
        <v>100000</v>
      </c>
      <c r="R1717">
        <v>1</v>
      </c>
      <c r="S1717">
        <v>43</v>
      </c>
      <c r="T1717">
        <v>0</v>
      </c>
      <c r="U1717">
        <f t="shared" si="105"/>
        <v>11.736069016284437</v>
      </c>
      <c r="V1717">
        <f t="shared" si="106"/>
        <v>8.1247430203855675</v>
      </c>
      <c r="W1717">
        <v>1</v>
      </c>
      <c r="X1717">
        <v>0</v>
      </c>
      <c r="Y1717">
        <v>0</v>
      </c>
      <c r="Z1717">
        <f>'Résultat (Ln)'!F$30+'Résultat (Ln)'!F$31*Données!S1717+'Résultat (Ln)'!F$32*Données!T1717+'Résultat (Ln)'!F$33*Données!U1717+'Résultat (Ln)'!F$34*Données!V1717+'Résultat (Ln)'!F$35*Données!W1717+'Résultat (Ln)'!F$36*Données!X1717+'Résultat (Ln)'!F$37*Données!Y1717</f>
        <v>113151.19194139425</v>
      </c>
      <c r="AA1717">
        <f t="shared" si="107"/>
        <v>-13151.191941394252</v>
      </c>
    </row>
    <row r="1718" spans="1:27" x14ac:dyDescent="0.25">
      <c r="A1718">
        <v>66000</v>
      </c>
      <c r="B1718">
        <v>1</v>
      </c>
      <c r="C1718">
        <v>31.29999923706055</v>
      </c>
      <c r="D1718">
        <v>0</v>
      </c>
      <c r="E1718">
        <v>70000</v>
      </c>
      <c r="F1718">
        <v>2917</v>
      </c>
      <c r="G1718">
        <v>1</v>
      </c>
      <c r="H1718">
        <v>0</v>
      </c>
      <c r="I1718">
        <v>0</v>
      </c>
      <c r="J1718">
        <v>21.39999961853027</v>
      </c>
      <c r="K1718">
        <v>1</v>
      </c>
      <c r="L1718">
        <f>Résultats!G$32+Résultats!G$33*Données!C1718+Résultats!G$34*Données!D1718+Résultats!G$35*Données!E1718+Résultats!G$36*Données!F1718+Résultats!G$37*Données!G1718+Résultats!G$38*Données!H1718+Résultats!G$39*Données!I1718</f>
        <v>77870.861019946125</v>
      </c>
      <c r="M1718">
        <f t="shared" si="104"/>
        <v>-11870.861019946125</v>
      </c>
      <c r="Q1718">
        <v>107000</v>
      </c>
      <c r="R1718">
        <v>1</v>
      </c>
      <c r="S1718">
        <v>31</v>
      </c>
      <c r="T1718">
        <v>0</v>
      </c>
      <c r="U1718">
        <f t="shared" si="105"/>
        <v>11.686038095512169</v>
      </c>
      <c r="V1718">
        <f t="shared" si="106"/>
        <v>8.1934002319520971</v>
      </c>
      <c r="W1718">
        <v>0</v>
      </c>
      <c r="X1718">
        <v>0</v>
      </c>
      <c r="Y1718">
        <v>0</v>
      </c>
      <c r="Z1718">
        <f>'Résultat (Ln)'!F$30+'Résultat (Ln)'!F$31*Données!S1718+'Résultat (Ln)'!F$32*Données!T1718+'Résultat (Ln)'!F$33*Données!U1718+'Résultat (Ln)'!F$34*Données!V1718+'Résultat (Ln)'!F$35*Données!W1718+'Résultat (Ln)'!F$36*Données!X1718+'Résultat (Ln)'!F$37*Données!Y1718</f>
        <v>90535.122490323643</v>
      </c>
      <c r="AA1718">
        <f t="shared" si="107"/>
        <v>16464.877509676357</v>
      </c>
    </row>
    <row r="1719" spans="1:27" x14ac:dyDescent="0.25">
      <c r="A1719">
        <v>157000</v>
      </c>
      <c r="B1719">
        <v>1</v>
      </c>
      <c r="C1719">
        <v>43</v>
      </c>
      <c r="D1719">
        <v>0</v>
      </c>
      <c r="E1719">
        <v>198000</v>
      </c>
      <c r="F1719">
        <v>6417</v>
      </c>
      <c r="G1719">
        <v>1</v>
      </c>
      <c r="H1719">
        <v>0</v>
      </c>
      <c r="I1719">
        <v>0</v>
      </c>
      <c r="J1719">
        <v>24</v>
      </c>
      <c r="K1719">
        <v>1</v>
      </c>
      <c r="L1719">
        <f>Résultats!G$32+Résultats!G$33*Données!C1719+Résultats!G$34*Données!D1719+Résultats!G$35*Données!E1719+Résultats!G$36*Données!F1719+Résultats!G$37*Données!G1719+Résultats!G$38*Données!H1719+Résultats!G$39*Données!I1719</f>
        <v>157862.57950223028</v>
      </c>
      <c r="M1719">
        <f t="shared" si="104"/>
        <v>-862.57950223027728</v>
      </c>
      <c r="Q1719">
        <v>66000</v>
      </c>
      <c r="R1719">
        <v>1</v>
      </c>
      <c r="S1719">
        <v>31.29999923706055</v>
      </c>
      <c r="T1719">
        <v>0</v>
      </c>
      <c r="U1719">
        <f t="shared" si="105"/>
        <v>11.156250521031495</v>
      </c>
      <c r="V1719">
        <f t="shared" si="106"/>
        <v>7.9783109698677217</v>
      </c>
      <c r="W1719">
        <v>1</v>
      </c>
      <c r="X1719">
        <v>0</v>
      </c>
      <c r="Y1719">
        <v>0</v>
      </c>
      <c r="Z1719">
        <f>'Résultat (Ln)'!F$30+'Résultat (Ln)'!F$31*Données!S1719+'Résultat (Ln)'!F$32*Données!T1719+'Résultat (Ln)'!F$33*Données!U1719+'Résultat (Ln)'!F$34*Données!V1719+'Résultat (Ln)'!F$35*Données!W1719+'Résultat (Ln)'!F$36*Données!X1719+'Résultat (Ln)'!F$37*Données!Y1719</f>
        <v>32592.536704750812</v>
      </c>
      <c r="AA1719">
        <f t="shared" si="107"/>
        <v>33407.463295249188</v>
      </c>
    </row>
    <row r="1720" spans="1:27" x14ac:dyDescent="0.25">
      <c r="A1720">
        <v>140000</v>
      </c>
      <c r="B1720">
        <v>1</v>
      </c>
      <c r="C1720">
        <v>34</v>
      </c>
      <c r="D1720">
        <v>1</v>
      </c>
      <c r="E1720">
        <v>213000</v>
      </c>
      <c r="F1720">
        <v>4608</v>
      </c>
      <c r="G1720">
        <v>1</v>
      </c>
      <c r="H1720">
        <v>0</v>
      </c>
      <c r="I1720">
        <v>0</v>
      </c>
      <c r="J1720">
        <v>24</v>
      </c>
      <c r="K1720">
        <v>0</v>
      </c>
      <c r="L1720">
        <f>Résultats!G$32+Résultats!G$33*Données!C1720+Résultats!G$34*Données!D1720+Résultats!G$35*Données!E1720+Résultats!G$36*Données!F1720+Résultats!G$37*Données!G1720+Résultats!G$38*Données!H1720+Résultats!G$39*Données!I1720</f>
        <v>155871.63649089827</v>
      </c>
      <c r="M1720">
        <f t="shared" si="104"/>
        <v>-15871.636490898265</v>
      </c>
      <c r="Q1720">
        <v>157000</v>
      </c>
      <c r="R1720">
        <v>1</v>
      </c>
      <c r="S1720">
        <v>43</v>
      </c>
      <c r="T1720">
        <v>0</v>
      </c>
      <c r="U1720">
        <f t="shared" si="105"/>
        <v>12.196022309676673</v>
      </c>
      <c r="V1720">
        <f t="shared" si="106"/>
        <v>8.7667059977505151</v>
      </c>
      <c r="W1720">
        <v>1</v>
      </c>
      <c r="X1720">
        <v>0</v>
      </c>
      <c r="Y1720">
        <v>0</v>
      </c>
      <c r="Z1720">
        <f>'Résultat (Ln)'!F$30+'Résultat (Ln)'!F$31*Données!S1720+'Résultat (Ln)'!F$32*Données!T1720+'Résultat (Ln)'!F$33*Données!U1720+'Résultat (Ln)'!F$34*Données!V1720+'Résultat (Ln)'!F$35*Données!W1720+'Résultat (Ln)'!F$36*Données!X1720+'Résultat (Ln)'!F$37*Données!Y1720</f>
        <v>180460.50644022954</v>
      </c>
      <c r="AA1720">
        <f t="shared" si="107"/>
        <v>-23460.506440229539</v>
      </c>
    </row>
    <row r="1721" spans="1:27" x14ac:dyDescent="0.25">
      <c r="A1721">
        <v>100000</v>
      </c>
      <c r="B1721">
        <v>1</v>
      </c>
      <c r="C1721">
        <v>39.900001525878913</v>
      </c>
      <c r="D1721">
        <v>0</v>
      </c>
      <c r="E1721">
        <v>161000</v>
      </c>
      <c r="F1721">
        <v>2850</v>
      </c>
      <c r="G1721">
        <v>1</v>
      </c>
      <c r="H1721">
        <v>0</v>
      </c>
      <c r="I1721">
        <v>1</v>
      </c>
      <c r="J1721">
        <v>31.20000076293945</v>
      </c>
      <c r="K1721">
        <v>1</v>
      </c>
      <c r="L1721">
        <f>Résultats!G$32+Résultats!G$33*Données!C1721+Résultats!G$34*Données!D1721+Résultats!G$35*Données!E1721+Résultats!G$36*Données!F1721+Résultats!G$37*Données!G1721+Résultats!G$38*Données!H1721+Résultats!G$39*Données!I1721</f>
        <v>140037.80146212809</v>
      </c>
      <c r="M1721">
        <f t="shared" si="104"/>
        <v>-40037.801462128089</v>
      </c>
      <c r="Q1721">
        <v>140000</v>
      </c>
      <c r="R1721">
        <v>1</v>
      </c>
      <c r="S1721">
        <v>34</v>
      </c>
      <c r="T1721">
        <v>1</v>
      </c>
      <c r="U1721">
        <f t="shared" si="105"/>
        <v>12.269047444691562</v>
      </c>
      <c r="V1721">
        <f t="shared" si="106"/>
        <v>8.4355492023757268</v>
      </c>
      <c r="W1721">
        <v>1</v>
      </c>
      <c r="X1721">
        <v>0</v>
      </c>
      <c r="Y1721">
        <v>0</v>
      </c>
      <c r="Z1721">
        <f>'Résultat (Ln)'!F$30+'Résultat (Ln)'!F$31*Données!S1721+'Résultat (Ln)'!F$32*Données!T1721+'Résultat (Ln)'!F$33*Données!U1721+'Résultat (Ln)'!F$34*Données!V1721+'Résultat (Ln)'!F$35*Données!W1721+'Résultat (Ln)'!F$36*Données!X1721+'Résultat (Ln)'!F$37*Données!Y1721</f>
        <v>172351.36552533336</v>
      </c>
      <c r="AA1721">
        <f t="shared" si="107"/>
        <v>-32351.365525333356</v>
      </c>
    </row>
    <row r="1722" spans="1:27" x14ac:dyDescent="0.25">
      <c r="A1722">
        <v>99000</v>
      </c>
      <c r="B1722">
        <v>1</v>
      </c>
      <c r="C1722">
        <v>47.900001525878913</v>
      </c>
      <c r="D1722">
        <v>0</v>
      </c>
      <c r="E1722">
        <v>104000</v>
      </c>
      <c r="F1722">
        <v>2138</v>
      </c>
      <c r="G1722">
        <v>0</v>
      </c>
      <c r="H1722">
        <v>0</v>
      </c>
      <c r="I1722">
        <v>1</v>
      </c>
      <c r="J1722">
        <v>47.5</v>
      </c>
      <c r="K1722">
        <v>0</v>
      </c>
      <c r="L1722">
        <f>Résultats!G$32+Résultats!G$33*Données!C1722+Résultats!G$34*Données!D1722+Résultats!G$35*Données!E1722+Résultats!G$36*Données!F1722+Résultats!G$37*Données!G1722+Résultats!G$38*Données!H1722+Résultats!G$39*Données!I1722</f>
        <v>114214.50509526381</v>
      </c>
      <c r="M1722">
        <f t="shared" si="104"/>
        <v>-15214.505095263812</v>
      </c>
      <c r="Q1722">
        <v>100000</v>
      </c>
      <c r="R1722">
        <v>1</v>
      </c>
      <c r="S1722">
        <v>39.900001525878913</v>
      </c>
      <c r="T1722">
        <v>0</v>
      </c>
      <c r="U1722">
        <f t="shared" si="105"/>
        <v>11.9891596439666</v>
      </c>
      <c r="V1722">
        <f t="shared" si="106"/>
        <v>7.9550742732626958</v>
      </c>
      <c r="W1722">
        <v>1</v>
      </c>
      <c r="X1722">
        <v>0</v>
      </c>
      <c r="Y1722">
        <v>1</v>
      </c>
      <c r="Z1722">
        <f>'Résultat (Ln)'!F$30+'Résultat (Ln)'!F$31*Données!S1722+'Résultat (Ln)'!F$32*Données!T1722+'Résultat (Ln)'!F$33*Données!U1722+'Résultat (Ln)'!F$34*Données!V1722+'Résultat (Ln)'!F$35*Données!W1722+'Résultat (Ln)'!F$36*Données!X1722+'Résultat (Ln)'!F$37*Données!Y1722</f>
        <v>145821.49636251319</v>
      </c>
      <c r="AA1722">
        <f t="shared" si="107"/>
        <v>-45821.496362513193</v>
      </c>
    </row>
    <row r="1723" spans="1:27" x14ac:dyDescent="0.25">
      <c r="A1723">
        <v>162000</v>
      </c>
      <c r="B1723">
        <v>1</v>
      </c>
      <c r="C1723">
        <v>29.89999961853027</v>
      </c>
      <c r="D1723">
        <v>0</v>
      </c>
      <c r="E1723">
        <v>235000</v>
      </c>
      <c r="F1723">
        <v>6825</v>
      </c>
      <c r="G1723">
        <v>1</v>
      </c>
      <c r="H1723">
        <v>0</v>
      </c>
      <c r="I1723">
        <v>0</v>
      </c>
      <c r="J1723">
        <v>29.129999160766602</v>
      </c>
      <c r="K1723">
        <v>1</v>
      </c>
      <c r="L1723">
        <f>Résultats!G$32+Résultats!G$33*Données!C1723+Résultats!G$34*Données!D1723+Résultats!G$35*Données!E1723+Résultats!G$36*Données!F1723+Résultats!G$37*Données!G1723+Résultats!G$38*Données!H1723+Résultats!G$39*Données!I1723</f>
        <v>160882.88528372033</v>
      </c>
      <c r="M1723">
        <f t="shared" si="104"/>
        <v>1117.1147162796697</v>
      </c>
      <c r="Q1723">
        <v>99000</v>
      </c>
      <c r="R1723">
        <v>1</v>
      </c>
      <c r="S1723">
        <v>47.900001525878913</v>
      </c>
      <c r="T1723">
        <v>0</v>
      </c>
      <c r="U1723">
        <f t="shared" si="105"/>
        <v>11.552146178123509</v>
      </c>
      <c r="V1723">
        <f t="shared" si="106"/>
        <v>7.6676260915849905</v>
      </c>
      <c r="W1723">
        <v>0</v>
      </c>
      <c r="X1723">
        <v>0</v>
      </c>
      <c r="Y1723">
        <v>1</v>
      </c>
      <c r="Z1723">
        <f>'Résultat (Ln)'!F$30+'Résultat (Ln)'!F$31*Données!S1723+'Résultat (Ln)'!F$32*Données!T1723+'Résultat (Ln)'!F$33*Données!U1723+'Résultat (Ln)'!F$34*Données!V1723+'Résultat (Ln)'!F$35*Données!W1723+'Résultat (Ln)'!F$36*Données!X1723+'Résultat (Ln)'!F$37*Données!Y1723</f>
        <v>96176.175096667052</v>
      </c>
      <c r="AA1723">
        <f t="shared" si="107"/>
        <v>2823.8249033329485</v>
      </c>
    </row>
    <row r="1724" spans="1:27" x14ac:dyDescent="0.25">
      <c r="A1724">
        <v>132000</v>
      </c>
      <c r="B1724">
        <v>1</v>
      </c>
      <c r="C1724">
        <v>26</v>
      </c>
      <c r="D1724">
        <v>0</v>
      </c>
      <c r="E1724">
        <v>165000</v>
      </c>
      <c r="F1724">
        <v>3708</v>
      </c>
      <c r="G1724">
        <v>1</v>
      </c>
      <c r="H1724">
        <v>0</v>
      </c>
      <c r="I1724">
        <v>0</v>
      </c>
      <c r="J1724">
        <v>18</v>
      </c>
      <c r="K1724">
        <v>1</v>
      </c>
      <c r="L1724">
        <f>Résultats!G$32+Résultats!G$33*Données!C1724+Résultats!G$34*Données!D1724+Résultats!G$35*Données!E1724+Résultats!G$36*Données!F1724+Résultats!G$37*Données!G1724+Résultats!G$38*Données!H1724+Résultats!G$39*Données!I1724</f>
        <v>117676.25921719985</v>
      </c>
      <c r="M1724">
        <f t="shared" si="104"/>
        <v>14323.740782800145</v>
      </c>
      <c r="Q1724">
        <v>162000</v>
      </c>
      <c r="R1724">
        <v>1</v>
      </c>
      <c r="S1724">
        <v>29.89999961853027</v>
      </c>
      <c r="T1724">
        <v>0</v>
      </c>
      <c r="U1724">
        <f t="shared" si="105"/>
        <v>12.367340793126296</v>
      </c>
      <c r="V1724">
        <f t="shared" si="106"/>
        <v>8.8283476200531599</v>
      </c>
      <c r="W1724">
        <v>1</v>
      </c>
      <c r="X1724">
        <v>0</v>
      </c>
      <c r="Y1724">
        <v>0</v>
      </c>
      <c r="Z1724">
        <f>'Résultat (Ln)'!F$30+'Résultat (Ln)'!F$31*Données!S1724+'Résultat (Ln)'!F$32*Données!T1724+'Résultat (Ln)'!F$33*Données!U1724+'Résultat (Ln)'!F$34*Données!V1724+'Résultat (Ln)'!F$35*Données!W1724+'Résultat (Ln)'!F$36*Données!X1724+'Résultat (Ln)'!F$37*Données!Y1724</f>
        <v>184545.13931196264</v>
      </c>
      <c r="AA1724">
        <f t="shared" si="107"/>
        <v>-22545.139311962645</v>
      </c>
    </row>
    <row r="1725" spans="1:27" x14ac:dyDescent="0.25">
      <c r="A1725">
        <v>147000</v>
      </c>
      <c r="B1725">
        <v>1</v>
      </c>
      <c r="C1725">
        <v>32.5</v>
      </c>
      <c r="D1725">
        <v>0</v>
      </c>
      <c r="E1725">
        <v>184000</v>
      </c>
      <c r="F1725">
        <v>5314</v>
      </c>
      <c r="G1725">
        <v>0</v>
      </c>
      <c r="H1725">
        <v>1</v>
      </c>
      <c r="I1725">
        <v>1</v>
      </c>
      <c r="J1725">
        <v>32.299999237060547</v>
      </c>
      <c r="K1725">
        <v>1</v>
      </c>
      <c r="L1725">
        <f>Résultats!G$32+Résultats!G$33*Données!C1725+Résultats!G$34*Données!D1725+Résultats!G$35*Données!E1725+Résultats!G$36*Données!F1725+Résultats!G$37*Données!G1725+Résultats!G$38*Données!H1725+Résultats!G$39*Données!I1725</f>
        <v>138410.37719239155</v>
      </c>
      <c r="M1725">
        <f t="shared" si="104"/>
        <v>8589.6228076084517</v>
      </c>
      <c r="Q1725">
        <v>132000</v>
      </c>
      <c r="R1725">
        <v>1</v>
      </c>
      <c r="S1725">
        <v>26</v>
      </c>
      <c r="T1725">
        <v>0</v>
      </c>
      <c r="U1725">
        <f t="shared" si="105"/>
        <v>12.013700752882718</v>
      </c>
      <c r="V1725">
        <f t="shared" si="106"/>
        <v>8.2182479266857449</v>
      </c>
      <c r="W1725">
        <v>1</v>
      </c>
      <c r="X1725">
        <v>0</v>
      </c>
      <c r="Y1725">
        <v>0</v>
      </c>
      <c r="Z1725">
        <f>'Résultat (Ln)'!F$30+'Résultat (Ln)'!F$31*Données!S1725+'Résultat (Ln)'!F$32*Données!T1725+'Résultat (Ln)'!F$33*Données!U1725+'Résultat (Ln)'!F$34*Données!V1725+'Résultat (Ln)'!F$35*Données!W1725+'Résultat (Ln)'!F$36*Données!X1725+'Résultat (Ln)'!F$37*Données!Y1725</f>
        <v>124759.80594769969</v>
      </c>
      <c r="AA1725">
        <f t="shared" si="107"/>
        <v>7240.1940523003141</v>
      </c>
    </row>
    <row r="1726" spans="1:27" x14ac:dyDescent="0.25">
      <c r="A1726">
        <v>153000</v>
      </c>
      <c r="B1726">
        <v>1</v>
      </c>
      <c r="C1726">
        <v>53.700000762939453</v>
      </c>
      <c r="D1726">
        <v>0</v>
      </c>
      <c r="E1726">
        <v>170000</v>
      </c>
      <c r="F1726">
        <v>2366</v>
      </c>
      <c r="G1726">
        <v>0</v>
      </c>
      <c r="H1726">
        <v>0</v>
      </c>
      <c r="I1726">
        <v>0</v>
      </c>
      <c r="J1726">
        <v>14</v>
      </c>
      <c r="K1726">
        <v>0</v>
      </c>
      <c r="L1726">
        <f>Résultats!G$32+Résultats!G$33*Données!C1726+Résultats!G$34*Données!D1726+Résultats!G$35*Données!E1726+Résultats!G$36*Données!F1726+Résultats!G$37*Données!G1726+Résultats!G$38*Données!H1726+Résultats!G$39*Données!I1726</f>
        <v>142212.06681259716</v>
      </c>
      <c r="M1726">
        <f t="shared" si="104"/>
        <v>10787.933187402843</v>
      </c>
      <c r="Q1726">
        <v>147000</v>
      </c>
      <c r="R1726">
        <v>1</v>
      </c>
      <c r="S1726">
        <v>32.5</v>
      </c>
      <c r="T1726">
        <v>0</v>
      </c>
      <c r="U1726">
        <f t="shared" si="105"/>
        <v>12.122691036591123</v>
      </c>
      <c r="V1726">
        <f t="shared" si="106"/>
        <v>8.5781001263197592</v>
      </c>
      <c r="W1726">
        <v>0</v>
      </c>
      <c r="X1726">
        <v>1</v>
      </c>
      <c r="Y1726">
        <v>1</v>
      </c>
      <c r="Z1726">
        <f>'Résultat (Ln)'!F$30+'Résultat (Ln)'!F$31*Données!S1726+'Résultat (Ln)'!F$32*Données!T1726+'Résultat (Ln)'!F$33*Données!U1726+'Résultat (Ln)'!F$34*Données!V1726+'Résultat (Ln)'!F$35*Données!W1726+'Résultat (Ln)'!F$36*Données!X1726+'Résultat (Ln)'!F$37*Données!Y1726</f>
        <v>163874.04868580133</v>
      </c>
      <c r="AA1726">
        <f t="shared" si="107"/>
        <v>-16874.048685801332</v>
      </c>
    </row>
    <row r="1727" spans="1:27" x14ac:dyDescent="0.25">
      <c r="A1727">
        <v>136000</v>
      </c>
      <c r="B1727">
        <v>1</v>
      </c>
      <c r="C1727">
        <v>27</v>
      </c>
      <c r="D1727">
        <v>0</v>
      </c>
      <c r="E1727">
        <v>169000</v>
      </c>
      <c r="F1727">
        <v>5810</v>
      </c>
      <c r="G1727">
        <v>0</v>
      </c>
      <c r="H1727">
        <v>6</v>
      </c>
      <c r="I1727">
        <v>1</v>
      </c>
      <c r="J1727">
        <v>23</v>
      </c>
      <c r="K1727">
        <v>0</v>
      </c>
      <c r="L1727">
        <f>Résultats!G$32+Résultats!G$33*Données!C1727+Résultats!G$34*Données!D1727+Résultats!G$35*Données!E1727+Résultats!G$36*Données!F1727+Résultats!G$37*Données!G1727+Résultats!G$38*Données!H1727+Résultats!G$39*Données!I1727</f>
        <v>117923.15121468274</v>
      </c>
      <c r="M1727">
        <f t="shared" si="104"/>
        <v>18076.848785317256</v>
      </c>
      <c r="Q1727">
        <v>153000</v>
      </c>
      <c r="R1727">
        <v>1</v>
      </c>
      <c r="S1727">
        <v>53.700000762939453</v>
      </c>
      <c r="T1727">
        <v>0</v>
      </c>
      <c r="U1727">
        <f t="shared" si="105"/>
        <v>12.043553716032399</v>
      </c>
      <c r="V1727">
        <f t="shared" si="106"/>
        <v>7.7689560445383323</v>
      </c>
      <c r="W1727">
        <v>0</v>
      </c>
      <c r="X1727">
        <v>0</v>
      </c>
      <c r="Y1727">
        <v>0</v>
      </c>
      <c r="Z1727">
        <f>'Résultat (Ln)'!F$30+'Résultat (Ln)'!F$31*Données!S1727+'Résultat (Ln)'!F$32*Données!T1727+'Résultat (Ln)'!F$33*Données!U1727+'Résultat (Ln)'!F$34*Données!V1727+'Résultat (Ln)'!F$35*Données!W1727+'Résultat (Ln)'!F$36*Données!X1727+'Résultat (Ln)'!F$37*Données!Y1727</f>
        <v>144695.66909399873</v>
      </c>
      <c r="AA1727">
        <f t="shared" si="107"/>
        <v>8304.3309060012689</v>
      </c>
    </row>
    <row r="1728" spans="1:27" x14ac:dyDescent="0.25">
      <c r="A1728">
        <v>136000</v>
      </c>
      <c r="B1728">
        <v>1</v>
      </c>
      <c r="C1728">
        <v>38</v>
      </c>
      <c r="D1728">
        <v>0</v>
      </c>
      <c r="E1728">
        <v>297000</v>
      </c>
      <c r="F1728">
        <v>2691</v>
      </c>
      <c r="G1728">
        <v>0</v>
      </c>
      <c r="H1728">
        <v>0</v>
      </c>
      <c r="I1728">
        <v>0</v>
      </c>
      <c r="J1728">
        <v>21</v>
      </c>
      <c r="K1728">
        <v>1</v>
      </c>
      <c r="L1728">
        <f>Résultats!G$32+Résultats!G$33*Données!C1728+Résultats!G$34*Données!D1728+Résultats!G$35*Données!E1728+Résultats!G$36*Données!F1728+Résultats!G$37*Données!G1728+Résultats!G$38*Données!H1728+Résultats!G$39*Données!I1728</f>
        <v>184110.78699937617</v>
      </c>
      <c r="M1728">
        <f t="shared" si="104"/>
        <v>-48110.786999376171</v>
      </c>
      <c r="Q1728">
        <v>136000</v>
      </c>
      <c r="R1728">
        <v>1</v>
      </c>
      <c r="S1728">
        <v>27</v>
      </c>
      <c r="T1728">
        <v>0</v>
      </c>
      <c r="U1728">
        <f t="shared" si="105"/>
        <v>12.037653993905211</v>
      </c>
      <c r="V1728">
        <f t="shared" si="106"/>
        <v>8.6673358498459567</v>
      </c>
      <c r="W1728">
        <v>0</v>
      </c>
      <c r="X1728">
        <v>6</v>
      </c>
      <c r="Y1728">
        <v>1</v>
      </c>
      <c r="Z1728">
        <f>'Résultat (Ln)'!F$30+'Résultat (Ln)'!F$31*Données!S1728+'Résultat (Ln)'!F$32*Données!T1728+'Résultat (Ln)'!F$33*Données!U1728+'Résultat (Ln)'!F$34*Données!V1728+'Résultat (Ln)'!F$35*Données!W1728+'Résultat (Ln)'!F$36*Données!X1728+'Résultat (Ln)'!F$37*Données!Y1728</f>
        <v>149652.22065573887</v>
      </c>
      <c r="AA1728">
        <f t="shared" si="107"/>
        <v>-13652.220655738871</v>
      </c>
    </row>
    <row r="1729" spans="1:27" x14ac:dyDescent="0.25">
      <c r="A1729">
        <v>66000</v>
      </c>
      <c r="B1729">
        <v>1</v>
      </c>
      <c r="C1729">
        <v>34</v>
      </c>
      <c r="D1729">
        <v>0</v>
      </c>
      <c r="E1729">
        <v>95000</v>
      </c>
      <c r="F1729">
        <v>4000</v>
      </c>
      <c r="G1729">
        <v>0</v>
      </c>
      <c r="H1729">
        <v>0</v>
      </c>
      <c r="I1729">
        <v>0</v>
      </c>
      <c r="J1729">
        <v>18</v>
      </c>
      <c r="K1729">
        <v>1</v>
      </c>
      <c r="L1729">
        <f>Résultats!G$32+Résultats!G$33*Données!C1729+Résultats!G$34*Données!D1729+Résultats!G$35*Données!E1729+Résultats!G$36*Données!F1729+Résultats!G$37*Données!G1729+Résultats!G$38*Données!H1729+Résultats!G$39*Données!I1729</f>
        <v>87728.10887281035</v>
      </c>
      <c r="M1729">
        <f t="shared" si="104"/>
        <v>-21728.10887281035</v>
      </c>
      <c r="Q1729">
        <v>136000</v>
      </c>
      <c r="R1729">
        <v>1</v>
      </c>
      <c r="S1729">
        <v>38</v>
      </c>
      <c r="T1729">
        <v>0</v>
      </c>
      <c r="U1729">
        <f t="shared" si="105"/>
        <v>12.601487417784837</v>
      </c>
      <c r="V1729">
        <f t="shared" si="106"/>
        <v>7.897668150726906</v>
      </c>
      <c r="W1729">
        <v>0</v>
      </c>
      <c r="X1729">
        <v>0</v>
      </c>
      <c r="Y1729">
        <v>0</v>
      </c>
      <c r="Z1729">
        <f>'Résultat (Ln)'!F$30+'Résultat (Ln)'!F$31*Données!S1729+'Résultat (Ln)'!F$32*Données!T1729+'Résultat (Ln)'!F$33*Données!U1729+'Résultat (Ln)'!F$34*Données!V1729+'Résultat (Ln)'!F$35*Données!W1729+'Résultat (Ln)'!F$36*Données!X1729+'Résultat (Ln)'!F$37*Données!Y1729</f>
        <v>188927.47717880746</v>
      </c>
      <c r="AA1729">
        <f t="shared" si="107"/>
        <v>-52927.477178807458</v>
      </c>
    </row>
    <row r="1730" spans="1:27" x14ac:dyDescent="0.25">
      <c r="A1730">
        <v>110000</v>
      </c>
      <c r="B1730">
        <v>1</v>
      </c>
      <c r="C1730">
        <v>27</v>
      </c>
      <c r="D1730">
        <v>0</v>
      </c>
      <c r="E1730">
        <v>220000</v>
      </c>
      <c r="F1730">
        <v>5520</v>
      </c>
      <c r="G1730">
        <v>1</v>
      </c>
      <c r="H1730">
        <v>0</v>
      </c>
      <c r="I1730">
        <v>0</v>
      </c>
      <c r="J1730">
        <v>22</v>
      </c>
      <c r="K1730">
        <v>1</v>
      </c>
      <c r="L1730">
        <f>Résultats!G$32+Résultats!G$33*Données!C1730+Résultats!G$34*Données!D1730+Résultats!G$35*Données!E1730+Résultats!G$36*Données!F1730+Résultats!G$37*Données!G1730+Résultats!G$38*Données!H1730+Résultats!G$39*Données!I1730</f>
        <v>148018.63008006124</v>
      </c>
      <c r="M1730">
        <f t="shared" si="104"/>
        <v>-38018.630080061237</v>
      </c>
      <c r="Q1730">
        <v>66000</v>
      </c>
      <c r="R1730">
        <v>1</v>
      </c>
      <c r="S1730">
        <v>34</v>
      </c>
      <c r="T1730">
        <v>0</v>
      </c>
      <c r="U1730">
        <f t="shared" si="105"/>
        <v>11.461632170582678</v>
      </c>
      <c r="V1730">
        <f t="shared" si="106"/>
        <v>8.2940496401020276</v>
      </c>
      <c r="W1730">
        <v>0</v>
      </c>
      <c r="X1730">
        <v>0</v>
      </c>
      <c r="Y1730">
        <v>0</v>
      </c>
      <c r="Z1730">
        <f>'Résultat (Ln)'!F$30+'Résultat (Ln)'!F$31*Données!S1730+'Résultat (Ln)'!F$32*Données!T1730+'Résultat (Ln)'!F$33*Données!U1730+'Résultat (Ln)'!F$34*Données!V1730+'Résultat (Ln)'!F$35*Données!W1730+'Résultat (Ln)'!F$36*Données!X1730+'Résultat (Ln)'!F$37*Données!Y1730</f>
        <v>72968.717629806924</v>
      </c>
      <c r="AA1730">
        <f t="shared" si="107"/>
        <v>-6968.7176298069244</v>
      </c>
    </row>
    <row r="1731" spans="1:27" x14ac:dyDescent="0.25">
      <c r="A1731">
        <v>55000</v>
      </c>
      <c r="B1731">
        <v>1</v>
      </c>
      <c r="C1731">
        <v>43</v>
      </c>
      <c r="D1731">
        <v>0</v>
      </c>
      <c r="E1731">
        <v>174000</v>
      </c>
      <c r="F1731">
        <v>2500</v>
      </c>
      <c r="G1731">
        <v>1</v>
      </c>
      <c r="H1731">
        <v>0</v>
      </c>
      <c r="I1731">
        <v>0</v>
      </c>
      <c r="J1731">
        <v>32</v>
      </c>
      <c r="K1731">
        <v>1</v>
      </c>
      <c r="L1731">
        <f>Résultats!G$32+Résultats!G$33*Données!C1731+Résultats!G$34*Données!D1731+Résultats!G$35*Données!E1731+Résultats!G$36*Données!F1731+Résultats!G$37*Données!G1731+Résultats!G$38*Données!H1731+Résultats!G$39*Données!I1731</f>
        <v>139065.38794242186</v>
      </c>
      <c r="M1731">
        <f t="shared" ref="M1731:M1794" si="108">A1731-L1731</f>
        <v>-84065.387942421861</v>
      </c>
      <c r="Q1731">
        <v>110000</v>
      </c>
      <c r="R1731">
        <v>1</v>
      </c>
      <c r="S1731">
        <v>27</v>
      </c>
      <c r="T1731">
        <v>0</v>
      </c>
      <c r="U1731">
        <f t="shared" si="105"/>
        <v>12.301382825334498</v>
      </c>
      <c r="V1731">
        <f t="shared" si="106"/>
        <v>8.6161331392711418</v>
      </c>
      <c r="W1731">
        <v>1</v>
      </c>
      <c r="X1731">
        <v>0</v>
      </c>
      <c r="Y1731">
        <v>0</v>
      </c>
      <c r="Z1731">
        <f>'Résultat (Ln)'!F$30+'Résultat (Ln)'!F$31*Données!S1731+'Résultat (Ln)'!F$32*Données!T1731+'Résultat (Ln)'!F$33*Données!U1731+'Résultat (Ln)'!F$34*Données!V1731+'Résultat (Ln)'!F$35*Données!W1731+'Résultat (Ln)'!F$36*Données!X1731+'Résultat (Ln)'!F$37*Données!Y1731</f>
        <v>167979.09587664754</v>
      </c>
      <c r="AA1731">
        <f t="shared" si="107"/>
        <v>-57979.095876647538</v>
      </c>
    </row>
    <row r="1732" spans="1:27" x14ac:dyDescent="0.25">
      <c r="A1732">
        <v>95000</v>
      </c>
      <c r="B1732">
        <v>1</v>
      </c>
      <c r="C1732">
        <v>35</v>
      </c>
      <c r="D1732">
        <v>0</v>
      </c>
      <c r="E1732">
        <v>110000</v>
      </c>
      <c r="F1732">
        <v>3652</v>
      </c>
      <c r="G1732">
        <v>0</v>
      </c>
      <c r="H1732">
        <v>0</v>
      </c>
      <c r="I1732">
        <v>1</v>
      </c>
      <c r="J1732">
        <v>24</v>
      </c>
      <c r="K1732">
        <v>0</v>
      </c>
      <c r="L1732">
        <f>Résultats!G$32+Résultats!G$33*Données!C1732+Résultats!G$34*Données!D1732+Résultats!G$35*Données!E1732+Résultats!G$36*Données!F1732+Résultats!G$37*Données!G1732+Résultats!G$38*Données!H1732+Résultats!G$39*Données!I1732</f>
        <v>105132.18513570318</v>
      </c>
      <c r="M1732">
        <f t="shared" si="108"/>
        <v>-10132.185135703185</v>
      </c>
      <c r="Q1732">
        <v>55000</v>
      </c>
      <c r="R1732">
        <v>1</v>
      </c>
      <c r="S1732">
        <v>43</v>
      </c>
      <c r="T1732">
        <v>0</v>
      </c>
      <c r="U1732">
        <f t="shared" ref="U1732:U1795" si="109">LN(E1731)</f>
        <v>12.066810578196666</v>
      </c>
      <c r="V1732">
        <f t="shared" ref="V1732:V1795" si="110">LN(F1731)</f>
        <v>7.8240460108562919</v>
      </c>
      <c r="W1732">
        <v>1</v>
      </c>
      <c r="X1732">
        <v>0</v>
      </c>
      <c r="Y1732">
        <v>0</v>
      </c>
      <c r="Z1732">
        <f>'Résultat (Ln)'!F$30+'Résultat (Ln)'!F$31*Données!S1732+'Résultat (Ln)'!F$32*Données!T1732+'Résultat (Ln)'!F$33*Données!U1732+'Résultat (Ln)'!F$34*Données!V1732+'Résultat (Ln)'!F$35*Données!W1732+'Résultat (Ln)'!F$36*Données!X1732+'Résultat (Ln)'!F$37*Données!Y1732</f>
        <v>140171.93494906338</v>
      </c>
      <c r="AA1732">
        <f t="shared" ref="AA1732:AA1795" si="111">Q1732-Z1732</f>
        <v>-85171.934949063376</v>
      </c>
    </row>
    <row r="1733" spans="1:27" x14ac:dyDescent="0.25">
      <c r="A1733">
        <v>104000</v>
      </c>
      <c r="B1733">
        <v>1</v>
      </c>
      <c r="C1733">
        <v>35</v>
      </c>
      <c r="D1733">
        <v>0</v>
      </c>
      <c r="E1733">
        <v>112000</v>
      </c>
      <c r="F1733">
        <v>2066</v>
      </c>
      <c r="G1733">
        <v>0</v>
      </c>
      <c r="H1733">
        <v>0</v>
      </c>
      <c r="I1733">
        <v>0</v>
      </c>
      <c r="J1733">
        <v>25</v>
      </c>
      <c r="K1733">
        <v>1</v>
      </c>
      <c r="L1733">
        <f>Résultats!G$32+Résultats!G$33*Données!C1733+Résultats!G$34*Données!D1733+Résultats!G$35*Données!E1733+Résultats!G$36*Données!F1733+Résultats!G$37*Données!G1733+Résultats!G$38*Données!H1733+Résultats!G$39*Données!I1733</f>
        <v>93067.304053990869</v>
      </c>
      <c r="M1733">
        <f t="shared" si="108"/>
        <v>10932.695946009131</v>
      </c>
      <c r="Q1733">
        <v>95000</v>
      </c>
      <c r="R1733">
        <v>1</v>
      </c>
      <c r="S1733">
        <v>35</v>
      </c>
      <c r="T1733">
        <v>0</v>
      </c>
      <c r="U1733">
        <f t="shared" si="109"/>
        <v>11.608235644774552</v>
      </c>
      <c r="V1733">
        <f t="shared" si="110"/>
        <v>8.2030302417148597</v>
      </c>
      <c r="W1733">
        <v>0</v>
      </c>
      <c r="X1733">
        <v>0</v>
      </c>
      <c r="Y1733">
        <v>1</v>
      </c>
      <c r="Z1733">
        <f>'Résultat (Ln)'!F$30+'Résultat (Ln)'!F$31*Données!S1733+'Résultat (Ln)'!F$32*Données!T1733+'Résultat (Ln)'!F$33*Données!U1733+'Résultat (Ln)'!F$34*Données!V1733+'Résultat (Ln)'!F$35*Données!W1733+'Résultat (Ln)'!F$36*Données!X1733+'Résultat (Ln)'!F$37*Données!Y1733</f>
        <v>101440.22077466716</v>
      </c>
      <c r="AA1733">
        <f t="shared" si="111"/>
        <v>-6440.2207746671629</v>
      </c>
    </row>
    <row r="1734" spans="1:27" x14ac:dyDescent="0.25">
      <c r="A1734">
        <v>128000</v>
      </c>
      <c r="B1734">
        <v>1</v>
      </c>
      <c r="C1734">
        <v>31.89999961853027</v>
      </c>
      <c r="D1734">
        <v>0</v>
      </c>
      <c r="E1734">
        <v>160500</v>
      </c>
      <c r="F1734">
        <v>2239</v>
      </c>
      <c r="G1734">
        <v>1</v>
      </c>
      <c r="H1734">
        <v>0</v>
      </c>
      <c r="I1734">
        <v>0</v>
      </c>
      <c r="J1734">
        <v>17.89999961853027</v>
      </c>
      <c r="K1734">
        <v>1</v>
      </c>
      <c r="L1734">
        <f>Résultats!G$32+Résultats!G$33*Données!C1734+Résultats!G$34*Données!D1734+Résultats!G$35*Données!E1734+Résultats!G$36*Données!F1734+Résultats!G$37*Données!G1734+Résultats!G$38*Données!H1734+Résultats!G$39*Données!I1734</f>
        <v>119505.51466648938</v>
      </c>
      <c r="M1734">
        <f t="shared" si="108"/>
        <v>8494.4853335106163</v>
      </c>
      <c r="Q1734">
        <v>104000</v>
      </c>
      <c r="R1734">
        <v>1</v>
      </c>
      <c r="S1734">
        <v>35</v>
      </c>
      <c r="T1734">
        <v>0</v>
      </c>
      <c r="U1734">
        <f t="shared" si="109"/>
        <v>11.626254150277232</v>
      </c>
      <c r="V1734">
        <f t="shared" si="110"/>
        <v>7.633369649679584</v>
      </c>
      <c r="W1734">
        <v>0</v>
      </c>
      <c r="X1734">
        <v>0</v>
      </c>
      <c r="Y1734">
        <v>0</v>
      </c>
      <c r="Z1734">
        <f>'Résultat (Ln)'!F$30+'Résultat (Ln)'!F$31*Données!S1734+'Résultat (Ln)'!F$32*Données!T1734+'Résultat (Ln)'!F$33*Données!U1734+'Résultat (Ln)'!F$34*Données!V1734+'Résultat (Ln)'!F$35*Données!W1734+'Résultat (Ln)'!F$36*Données!X1734+'Résultat (Ln)'!F$37*Données!Y1734</f>
        <v>73308.210779557994</v>
      </c>
      <c r="AA1734">
        <f t="shared" si="111"/>
        <v>30691.789220442006</v>
      </c>
    </row>
    <row r="1735" spans="1:27" x14ac:dyDescent="0.25">
      <c r="A1735">
        <v>140000</v>
      </c>
      <c r="B1735">
        <v>1</v>
      </c>
      <c r="C1735">
        <v>36</v>
      </c>
      <c r="D1735">
        <v>0</v>
      </c>
      <c r="E1735">
        <v>140000</v>
      </c>
      <c r="F1735">
        <v>3600</v>
      </c>
      <c r="G1735">
        <v>1</v>
      </c>
      <c r="H1735">
        <v>0</v>
      </c>
      <c r="I1735">
        <v>0</v>
      </c>
      <c r="J1735">
        <v>35</v>
      </c>
      <c r="K1735">
        <v>1</v>
      </c>
      <c r="L1735">
        <f>Résultats!G$32+Résultats!G$33*Données!C1735+Résultats!G$34*Données!D1735+Résultats!G$35*Données!E1735+Résultats!G$36*Données!F1735+Résultats!G$37*Données!G1735+Résultats!G$38*Données!H1735+Résultats!G$39*Données!I1735</f>
        <v>117279.85025606005</v>
      </c>
      <c r="M1735">
        <f t="shared" si="108"/>
        <v>22720.149743939954</v>
      </c>
      <c r="Q1735">
        <v>128000</v>
      </c>
      <c r="R1735">
        <v>1</v>
      </c>
      <c r="S1735">
        <v>31.89999961853027</v>
      </c>
      <c r="T1735">
        <v>0</v>
      </c>
      <c r="U1735">
        <f t="shared" si="109"/>
        <v>11.986049221552207</v>
      </c>
      <c r="V1735">
        <f t="shared" si="110"/>
        <v>7.7137846165987547</v>
      </c>
      <c r="W1735">
        <v>1</v>
      </c>
      <c r="X1735">
        <v>0</v>
      </c>
      <c r="Y1735">
        <v>0</v>
      </c>
      <c r="Z1735">
        <f>'Résultat (Ln)'!F$30+'Résultat (Ln)'!F$31*Données!S1735+'Résultat (Ln)'!F$32*Données!T1735+'Résultat (Ln)'!F$33*Données!U1735+'Résultat (Ln)'!F$34*Données!V1735+'Résultat (Ln)'!F$35*Données!W1735+'Résultat (Ln)'!F$36*Données!X1735+'Résultat (Ln)'!F$37*Données!Y1735</f>
        <v>114857.65212746857</v>
      </c>
      <c r="AA1735">
        <f t="shared" si="111"/>
        <v>13142.347872531434</v>
      </c>
    </row>
    <row r="1736" spans="1:27" x14ac:dyDescent="0.25">
      <c r="A1736">
        <v>102000</v>
      </c>
      <c r="B1736">
        <v>1</v>
      </c>
      <c r="C1736">
        <v>34</v>
      </c>
      <c r="D1736">
        <v>0</v>
      </c>
      <c r="E1736">
        <v>128000</v>
      </c>
      <c r="F1736">
        <v>3017</v>
      </c>
      <c r="G1736">
        <v>1</v>
      </c>
      <c r="H1736">
        <v>0</v>
      </c>
      <c r="I1736">
        <v>0</v>
      </c>
      <c r="J1736">
        <v>30</v>
      </c>
      <c r="K1736">
        <v>0</v>
      </c>
      <c r="L1736">
        <f>Résultats!G$32+Résultats!G$33*Données!C1736+Résultats!G$34*Données!D1736+Résultats!G$35*Données!E1736+Résultats!G$36*Données!F1736+Résultats!G$37*Données!G1736+Résultats!G$38*Données!H1736+Résultats!G$39*Données!I1736</f>
        <v>108249.34023951749</v>
      </c>
      <c r="M1736">
        <f t="shared" si="108"/>
        <v>-6249.3402395174926</v>
      </c>
      <c r="Q1736">
        <v>140000</v>
      </c>
      <c r="R1736">
        <v>1</v>
      </c>
      <c r="S1736">
        <v>36</v>
      </c>
      <c r="T1736">
        <v>0</v>
      </c>
      <c r="U1736">
        <f t="shared" si="109"/>
        <v>11.849397701591441</v>
      </c>
      <c r="V1736">
        <f t="shared" si="110"/>
        <v>8.1886891244442008</v>
      </c>
      <c r="W1736">
        <v>1</v>
      </c>
      <c r="X1736">
        <v>0</v>
      </c>
      <c r="Y1736">
        <v>0</v>
      </c>
      <c r="Z1736">
        <f>'Résultat (Ln)'!F$30+'Résultat (Ln)'!F$31*Données!S1736+'Résultat (Ln)'!F$32*Données!T1736+'Résultat (Ln)'!F$33*Données!U1736+'Résultat (Ln)'!F$34*Données!V1736+'Résultat (Ln)'!F$35*Données!W1736+'Résultat (Ln)'!F$36*Données!X1736+'Résultat (Ln)'!F$37*Données!Y1736</f>
        <v>118538.65695457302</v>
      </c>
      <c r="AA1736">
        <f t="shared" si="111"/>
        <v>21461.343045426984</v>
      </c>
    </row>
    <row r="1737" spans="1:27" x14ac:dyDescent="0.25">
      <c r="A1737">
        <v>100000</v>
      </c>
      <c r="B1737">
        <v>1</v>
      </c>
      <c r="C1737">
        <v>28</v>
      </c>
      <c r="D1737">
        <v>0</v>
      </c>
      <c r="E1737">
        <v>111000</v>
      </c>
      <c r="F1737">
        <v>3666</v>
      </c>
      <c r="G1737">
        <v>1</v>
      </c>
      <c r="H1737">
        <v>0</v>
      </c>
      <c r="I1737">
        <v>0</v>
      </c>
      <c r="J1737">
        <v>23</v>
      </c>
      <c r="K1737">
        <v>1</v>
      </c>
      <c r="L1737">
        <f>Résultats!G$32+Résultats!G$33*Données!C1737+Résultats!G$34*Données!D1737+Résultats!G$35*Données!E1737+Résultats!G$36*Données!F1737+Résultats!G$37*Données!G1737+Résultats!G$38*Données!H1737+Résultats!G$39*Données!I1737</f>
        <v>94676.736397752087</v>
      </c>
      <c r="M1737">
        <f t="shared" si="108"/>
        <v>5323.2636022479128</v>
      </c>
      <c r="Q1737">
        <v>102000</v>
      </c>
      <c r="R1737">
        <v>1</v>
      </c>
      <c r="S1737">
        <v>34</v>
      </c>
      <c r="T1737">
        <v>0</v>
      </c>
      <c r="U1737">
        <f t="shared" si="109"/>
        <v>11.759785542901755</v>
      </c>
      <c r="V1737">
        <f t="shared" si="110"/>
        <v>8.0120182391590617</v>
      </c>
      <c r="W1737">
        <v>1</v>
      </c>
      <c r="X1737">
        <v>0</v>
      </c>
      <c r="Y1737">
        <v>0</v>
      </c>
      <c r="Z1737">
        <f>'Résultat (Ln)'!F$30+'Résultat (Ln)'!F$31*Données!S1737+'Résultat (Ln)'!F$32*Données!T1737+'Résultat (Ln)'!F$33*Données!U1737+'Résultat (Ln)'!F$34*Données!V1737+'Résultat (Ln)'!F$35*Données!W1737+'Résultat (Ln)'!F$36*Données!X1737+'Résultat (Ln)'!F$37*Données!Y1737</f>
        <v>101533.67385247855</v>
      </c>
      <c r="AA1737">
        <f t="shared" si="111"/>
        <v>466.32614752145309</v>
      </c>
    </row>
    <row r="1738" spans="1:27" x14ac:dyDescent="0.25">
      <c r="A1738">
        <v>149000</v>
      </c>
      <c r="B1738">
        <v>1</v>
      </c>
      <c r="C1738">
        <v>38</v>
      </c>
      <c r="D1738">
        <v>0</v>
      </c>
      <c r="E1738">
        <v>168000</v>
      </c>
      <c r="F1738">
        <v>5000</v>
      </c>
      <c r="G1738">
        <v>1</v>
      </c>
      <c r="H1738">
        <v>0</v>
      </c>
      <c r="I1738">
        <v>0</v>
      </c>
      <c r="J1738">
        <v>31</v>
      </c>
      <c r="K1738">
        <v>1</v>
      </c>
      <c r="L1738">
        <f>Résultats!G$32+Résultats!G$33*Données!C1738+Résultats!G$34*Données!D1738+Résultats!G$35*Données!E1738+Résultats!G$36*Données!F1738+Résultats!G$37*Données!G1738+Résultats!G$38*Données!H1738+Résultats!G$39*Données!I1738</f>
        <v>135364.78484918701</v>
      </c>
      <c r="M1738">
        <f t="shared" si="108"/>
        <v>13635.21515081299</v>
      </c>
      <c r="Q1738">
        <v>100000</v>
      </c>
      <c r="R1738">
        <v>1</v>
      </c>
      <c r="S1738">
        <v>28</v>
      </c>
      <c r="T1738">
        <v>0</v>
      </c>
      <c r="U1738">
        <f t="shared" si="109"/>
        <v>11.617285480294472</v>
      </c>
      <c r="V1738">
        <f t="shared" si="110"/>
        <v>8.2068564283996501</v>
      </c>
      <c r="W1738">
        <v>1</v>
      </c>
      <c r="X1738">
        <v>0</v>
      </c>
      <c r="Y1738">
        <v>0</v>
      </c>
      <c r="Z1738">
        <f>'Résultat (Ln)'!F$30+'Résultat (Ln)'!F$31*Données!S1738+'Résultat (Ln)'!F$32*Données!T1738+'Résultat (Ln)'!F$33*Données!U1738+'Résultat (Ln)'!F$34*Données!V1738+'Résultat (Ln)'!F$35*Données!W1738+'Résultat (Ln)'!F$36*Données!X1738+'Résultat (Ln)'!F$37*Données!Y1738</f>
        <v>84390.44461504124</v>
      </c>
      <c r="AA1738">
        <f t="shared" si="111"/>
        <v>15609.55538495876</v>
      </c>
    </row>
    <row r="1739" spans="1:27" x14ac:dyDescent="0.25">
      <c r="A1739">
        <v>134000</v>
      </c>
      <c r="B1739">
        <v>1</v>
      </c>
      <c r="C1739">
        <v>46</v>
      </c>
      <c r="D1739">
        <v>0</v>
      </c>
      <c r="E1739">
        <v>125000</v>
      </c>
      <c r="F1739">
        <v>3767</v>
      </c>
      <c r="G1739">
        <v>0</v>
      </c>
      <c r="H1739">
        <v>0</v>
      </c>
      <c r="I1739">
        <v>1</v>
      </c>
      <c r="J1739">
        <v>36</v>
      </c>
      <c r="K1739">
        <v>0</v>
      </c>
      <c r="L1739">
        <f>Résultats!G$32+Résultats!G$33*Données!C1739+Résultats!G$34*Données!D1739+Résultats!G$35*Données!E1739+Résultats!G$36*Données!F1739+Résultats!G$37*Données!G1739+Résultats!G$38*Données!H1739+Résultats!G$39*Données!I1739</f>
        <v>124994.70388314947</v>
      </c>
      <c r="M1739">
        <f t="shared" si="108"/>
        <v>9005.2961168505281</v>
      </c>
      <c r="Q1739">
        <v>149000</v>
      </c>
      <c r="R1739">
        <v>1</v>
      </c>
      <c r="S1739">
        <v>38</v>
      </c>
      <c r="T1739">
        <v>0</v>
      </c>
      <c r="U1739">
        <f t="shared" si="109"/>
        <v>12.031719258385396</v>
      </c>
      <c r="V1739">
        <f t="shared" si="110"/>
        <v>8.5171931914162382</v>
      </c>
      <c r="W1739">
        <v>1</v>
      </c>
      <c r="X1739">
        <v>0</v>
      </c>
      <c r="Y1739">
        <v>0</v>
      </c>
      <c r="Z1739">
        <f>'Résultat (Ln)'!F$30+'Résultat (Ln)'!F$31*Données!S1739+'Résultat (Ln)'!F$32*Données!T1739+'Résultat (Ln)'!F$33*Données!U1739+'Résultat (Ln)'!F$34*Données!V1739+'Résultat (Ln)'!F$35*Données!W1739+'Résultat (Ln)'!F$36*Données!X1739+'Résultat (Ln)'!F$37*Données!Y1739</f>
        <v>149739.958462273</v>
      </c>
      <c r="AA1739">
        <f t="shared" si="111"/>
        <v>-739.95846227300353</v>
      </c>
    </row>
    <row r="1740" spans="1:27" x14ac:dyDescent="0.25">
      <c r="A1740">
        <v>129000</v>
      </c>
      <c r="B1740">
        <v>1</v>
      </c>
      <c r="C1740">
        <v>34</v>
      </c>
      <c r="D1740">
        <v>0</v>
      </c>
      <c r="E1740">
        <v>143000</v>
      </c>
      <c r="F1740">
        <v>2708</v>
      </c>
      <c r="G1740">
        <v>0</v>
      </c>
      <c r="H1740">
        <v>1</v>
      </c>
      <c r="I1740">
        <v>0</v>
      </c>
      <c r="J1740">
        <v>28</v>
      </c>
      <c r="K1740">
        <v>1</v>
      </c>
      <c r="L1740">
        <f>Résultats!G$32+Résultats!G$33*Données!C1740+Résultats!G$34*Données!D1740+Résultats!G$35*Données!E1740+Résultats!G$36*Données!F1740+Résultats!G$37*Données!G1740+Résultats!G$38*Données!H1740+Résultats!G$39*Données!I1740</f>
        <v>106012.96801336223</v>
      </c>
      <c r="M1740">
        <f t="shared" si="108"/>
        <v>22987.031986637769</v>
      </c>
      <c r="Q1740">
        <v>134000</v>
      </c>
      <c r="R1740">
        <v>1</v>
      </c>
      <c r="S1740">
        <v>46</v>
      </c>
      <c r="T1740">
        <v>0</v>
      </c>
      <c r="U1740">
        <f t="shared" si="109"/>
        <v>11.736069016284437</v>
      </c>
      <c r="V1740">
        <f t="shared" si="110"/>
        <v>8.2340342076920408</v>
      </c>
      <c r="W1740">
        <v>0</v>
      </c>
      <c r="X1740">
        <v>0</v>
      </c>
      <c r="Y1740">
        <v>1</v>
      </c>
      <c r="Z1740">
        <f>'Résultat (Ln)'!F$30+'Résultat (Ln)'!F$31*Données!S1740+'Résultat (Ln)'!F$32*Données!T1740+'Résultat (Ln)'!F$33*Données!U1740+'Résultat (Ln)'!F$34*Données!V1740+'Résultat (Ln)'!F$35*Données!W1740+'Résultat (Ln)'!F$36*Données!X1740+'Résultat (Ln)'!F$37*Données!Y1740</f>
        <v>129455.3729097227</v>
      </c>
      <c r="AA1740">
        <f t="shared" si="111"/>
        <v>4544.6270902772958</v>
      </c>
    </row>
    <row r="1741" spans="1:27" x14ac:dyDescent="0.25">
      <c r="A1741">
        <v>126000</v>
      </c>
      <c r="B1741">
        <v>1</v>
      </c>
      <c r="C1741">
        <v>38</v>
      </c>
      <c r="D1741">
        <v>0</v>
      </c>
      <c r="E1741">
        <v>168000</v>
      </c>
      <c r="F1741">
        <v>3256</v>
      </c>
      <c r="G1741">
        <v>0</v>
      </c>
      <c r="H1741">
        <v>0</v>
      </c>
      <c r="I1741">
        <v>1</v>
      </c>
      <c r="J1741">
        <v>37</v>
      </c>
      <c r="K1741">
        <v>1</v>
      </c>
      <c r="L1741">
        <f>Résultats!G$32+Résultats!G$33*Données!C1741+Résultats!G$34*Données!D1741+Résultats!G$35*Données!E1741+Résultats!G$36*Données!F1741+Résultats!G$37*Données!G1741+Résultats!G$38*Données!H1741+Résultats!G$39*Données!I1741</f>
        <v>134894.12205922906</v>
      </c>
      <c r="M1741">
        <f t="shared" si="108"/>
        <v>-8894.1220592290629</v>
      </c>
      <c r="Q1741">
        <v>129000</v>
      </c>
      <c r="R1741">
        <v>1</v>
      </c>
      <c r="S1741">
        <v>34</v>
      </c>
      <c r="T1741">
        <v>0</v>
      </c>
      <c r="U1741">
        <f t="shared" si="109"/>
        <v>11.870599909242044</v>
      </c>
      <c r="V1741">
        <f t="shared" si="110"/>
        <v>7.9039656340321658</v>
      </c>
      <c r="W1741">
        <v>0</v>
      </c>
      <c r="X1741">
        <v>1</v>
      </c>
      <c r="Y1741">
        <v>0</v>
      </c>
      <c r="Z1741">
        <f>'Résultat (Ln)'!F$30+'Résultat (Ln)'!F$31*Données!S1741+'Résultat (Ln)'!F$32*Données!T1741+'Résultat (Ln)'!F$33*Données!U1741+'Résultat (Ln)'!F$34*Données!V1741+'Résultat (Ln)'!F$35*Données!W1741+'Résultat (Ln)'!F$36*Données!X1741+'Résultat (Ln)'!F$37*Données!Y1741</f>
        <v>105690.49169632299</v>
      </c>
      <c r="AA1741">
        <f t="shared" si="111"/>
        <v>23309.508303677008</v>
      </c>
    </row>
    <row r="1742" spans="1:27" x14ac:dyDescent="0.25">
      <c r="A1742">
        <v>100000</v>
      </c>
      <c r="B1742">
        <v>1</v>
      </c>
      <c r="C1742">
        <v>26.60000038146973</v>
      </c>
      <c r="D1742">
        <v>0</v>
      </c>
      <c r="E1742">
        <v>395000</v>
      </c>
      <c r="F1742">
        <v>5083</v>
      </c>
      <c r="G1742">
        <v>0</v>
      </c>
      <c r="H1742">
        <v>0</v>
      </c>
      <c r="I1742">
        <v>0</v>
      </c>
      <c r="J1742">
        <v>24.180000305175781</v>
      </c>
      <c r="K1742">
        <v>0</v>
      </c>
      <c r="L1742">
        <f>Résultats!G$32+Résultats!G$33*Données!C1742+Résultats!G$34*Données!D1742+Résultats!G$35*Données!E1742+Résultats!G$36*Données!F1742+Résultats!G$37*Données!G1742+Résultats!G$38*Données!H1742+Résultats!G$39*Données!I1742</f>
        <v>221412.5528244217</v>
      </c>
      <c r="M1742">
        <f t="shared" si="108"/>
        <v>-121412.5528244217</v>
      </c>
      <c r="Q1742">
        <v>126000</v>
      </c>
      <c r="R1742">
        <v>1</v>
      </c>
      <c r="S1742">
        <v>38</v>
      </c>
      <c r="T1742">
        <v>0</v>
      </c>
      <c r="U1742">
        <f t="shared" si="109"/>
        <v>12.031719258385396</v>
      </c>
      <c r="V1742">
        <f t="shared" si="110"/>
        <v>8.0882547271224308</v>
      </c>
      <c r="W1742">
        <v>0</v>
      </c>
      <c r="X1742">
        <v>0</v>
      </c>
      <c r="Y1742">
        <v>1</v>
      </c>
      <c r="Z1742">
        <f>'Résultat (Ln)'!F$30+'Résultat (Ln)'!F$31*Données!S1742+'Résultat (Ln)'!F$32*Données!T1742+'Résultat (Ln)'!F$33*Données!U1742+'Résultat (Ln)'!F$34*Données!V1742+'Résultat (Ln)'!F$35*Données!W1742+'Résultat (Ln)'!F$36*Données!X1742+'Résultat (Ln)'!F$37*Données!Y1742</f>
        <v>147282.93919007704</v>
      </c>
      <c r="AA1742">
        <f t="shared" si="111"/>
        <v>-21282.939190077042</v>
      </c>
    </row>
    <row r="1743" spans="1:27" x14ac:dyDescent="0.25">
      <c r="A1743">
        <v>80000</v>
      </c>
      <c r="B1743">
        <v>1</v>
      </c>
      <c r="C1743">
        <v>35</v>
      </c>
      <c r="D1743">
        <v>0</v>
      </c>
      <c r="E1743">
        <v>80000</v>
      </c>
      <c r="F1743">
        <v>1053</v>
      </c>
      <c r="G1743">
        <v>0</v>
      </c>
      <c r="H1743">
        <v>6</v>
      </c>
      <c r="I1743">
        <v>1</v>
      </c>
      <c r="J1743">
        <v>27</v>
      </c>
      <c r="K1743">
        <v>0</v>
      </c>
      <c r="L1743">
        <f>Résultats!G$32+Résultats!G$33*Données!C1743+Résultats!G$34*Données!D1743+Résultats!G$35*Données!E1743+Résultats!G$36*Données!F1743+Résultats!G$37*Données!G1743+Résultats!G$38*Données!H1743+Résultats!G$39*Données!I1743</f>
        <v>76335.618836861002</v>
      </c>
      <c r="M1743">
        <f t="shared" si="108"/>
        <v>3664.3811631389981</v>
      </c>
      <c r="Q1743">
        <v>100000</v>
      </c>
      <c r="R1743">
        <v>1</v>
      </c>
      <c r="S1743">
        <v>26.60000038146973</v>
      </c>
      <c r="T1743">
        <v>0</v>
      </c>
      <c r="U1743">
        <f t="shared" si="109"/>
        <v>12.886641043883259</v>
      </c>
      <c r="V1743">
        <f t="shared" si="110"/>
        <v>8.533656917446903</v>
      </c>
      <c r="W1743">
        <v>0</v>
      </c>
      <c r="X1743">
        <v>0</v>
      </c>
      <c r="Y1743">
        <v>0</v>
      </c>
      <c r="Z1743">
        <f>'Résultat (Ln)'!F$30+'Résultat (Ln)'!F$31*Données!S1743+'Résultat (Ln)'!F$32*Données!T1743+'Résultat (Ln)'!F$33*Données!U1743+'Résultat (Ln)'!F$34*Données!V1743+'Résultat (Ln)'!F$35*Données!W1743+'Résultat (Ln)'!F$36*Données!X1743+'Résultat (Ln)'!F$37*Données!Y1743</f>
        <v>223400.22427719276</v>
      </c>
      <c r="AA1743">
        <f t="shared" si="111"/>
        <v>-123400.22427719276</v>
      </c>
    </row>
    <row r="1744" spans="1:27" x14ac:dyDescent="0.25">
      <c r="A1744">
        <v>130000</v>
      </c>
      <c r="B1744">
        <v>1</v>
      </c>
      <c r="C1744">
        <v>32</v>
      </c>
      <c r="D1744">
        <v>0</v>
      </c>
      <c r="E1744">
        <v>198000</v>
      </c>
      <c r="F1744">
        <v>2600</v>
      </c>
      <c r="G1744">
        <v>1</v>
      </c>
      <c r="H1744">
        <v>0</v>
      </c>
      <c r="I1744">
        <v>0</v>
      </c>
      <c r="J1744">
        <v>18</v>
      </c>
      <c r="K1744">
        <v>1</v>
      </c>
      <c r="L1744">
        <f>Résultats!G$32+Résultats!G$33*Données!C1744+Résultats!G$34*Données!D1744+Résultats!G$35*Données!E1744+Résultats!G$36*Données!F1744+Résultats!G$37*Données!G1744+Résultats!G$38*Données!H1744+Résultats!G$39*Données!I1744</f>
        <v>137830.67095684525</v>
      </c>
      <c r="M1744">
        <f t="shared" si="108"/>
        <v>-7830.6709568452497</v>
      </c>
      <c r="Q1744">
        <v>80000</v>
      </c>
      <c r="R1744">
        <v>1</v>
      </c>
      <c r="S1744">
        <v>35</v>
      </c>
      <c r="T1744">
        <v>0</v>
      </c>
      <c r="U1744">
        <f t="shared" si="109"/>
        <v>11.289781913656018</v>
      </c>
      <c r="V1744">
        <f t="shared" si="110"/>
        <v>6.9593985121339754</v>
      </c>
      <c r="W1744">
        <v>0</v>
      </c>
      <c r="X1744">
        <v>6</v>
      </c>
      <c r="Y1744">
        <v>1</v>
      </c>
      <c r="Z1744">
        <f>'Résultat (Ln)'!F$30+'Résultat (Ln)'!F$31*Données!S1744+'Résultat (Ln)'!F$32*Données!T1744+'Résultat (Ln)'!F$33*Données!U1744+'Résultat (Ln)'!F$34*Données!V1744+'Résultat (Ln)'!F$35*Données!W1744+'Résultat (Ln)'!F$36*Données!X1744+'Résultat (Ln)'!F$37*Données!Y1744</f>
        <v>31359.520353393069</v>
      </c>
      <c r="AA1744">
        <f t="shared" si="111"/>
        <v>48640.479646606931</v>
      </c>
    </row>
    <row r="1745" spans="1:27" x14ac:dyDescent="0.25">
      <c r="A1745">
        <v>165000</v>
      </c>
      <c r="B1745">
        <v>1</v>
      </c>
      <c r="C1745">
        <v>45</v>
      </c>
      <c r="D1745">
        <v>0</v>
      </c>
      <c r="E1745">
        <v>273000</v>
      </c>
      <c r="F1745">
        <v>7859</v>
      </c>
      <c r="G1745">
        <v>1</v>
      </c>
      <c r="H1745">
        <v>0</v>
      </c>
      <c r="I1745">
        <v>0</v>
      </c>
      <c r="J1745">
        <v>23.79999923706055</v>
      </c>
      <c r="K1745">
        <v>0</v>
      </c>
      <c r="L1745">
        <f>Résultats!G$32+Résultats!G$33*Données!C1745+Résultats!G$34*Données!D1745+Résultats!G$35*Données!E1745+Résultats!G$36*Données!F1745+Résultats!G$37*Données!G1745+Résultats!G$38*Données!H1745+Résultats!G$39*Données!I1745</f>
        <v>197975.70479233214</v>
      </c>
      <c r="M1745">
        <f t="shared" si="108"/>
        <v>-32975.704792332137</v>
      </c>
      <c r="Q1745">
        <v>130000</v>
      </c>
      <c r="R1745">
        <v>1</v>
      </c>
      <c r="S1745">
        <v>32</v>
      </c>
      <c r="T1745">
        <v>0</v>
      </c>
      <c r="U1745">
        <f t="shared" si="109"/>
        <v>12.196022309676673</v>
      </c>
      <c r="V1745">
        <f t="shared" si="110"/>
        <v>7.8632667240095735</v>
      </c>
      <c r="W1745">
        <v>1</v>
      </c>
      <c r="X1745">
        <v>0</v>
      </c>
      <c r="Y1745">
        <v>0</v>
      </c>
      <c r="Z1745">
        <f>'Résultat (Ln)'!F$30+'Résultat (Ln)'!F$31*Données!S1745+'Résultat (Ln)'!F$32*Données!T1745+'Résultat (Ln)'!F$33*Données!U1745+'Résultat (Ln)'!F$34*Données!V1745+'Résultat (Ln)'!F$35*Données!W1745+'Résultat (Ln)'!F$36*Données!X1745+'Résultat (Ln)'!F$37*Données!Y1745</f>
        <v>141680.38502249753</v>
      </c>
      <c r="AA1745">
        <f t="shared" si="111"/>
        <v>-11680.385022497532</v>
      </c>
    </row>
    <row r="1746" spans="1:27" x14ac:dyDescent="0.25">
      <c r="A1746">
        <v>155000</v>
      </c>
      <c r="B1746">
        <v>1</v>
      </c>
      <c r="C1746">
        <v>40.599998474121087</v>
      </c>
      <c r="D1746">
        <v>0</v>
      </c>
      <c r="E1746">
        <v>194000</v>
      </c>
      <c r="F1746">
        <v>2768</v>
      </c>
      <c r="G1746">
        <v>1</v>
      </c>
      <c r="H1746">
        <v>1</v>
      </c>
      <c r="I1746">
        <v>0</v>
      </c>
      <c r="J1746">
        <v>34.619998931884773</v>
      </c>
      <c r="K1746">
        <v>1</v>
      </c>
      <c r="L1746">
        <f>Résultats!G$32+Résultats!G$33*Données!C1746+Résultats!G$34*Données!D1746+Résultats!G$35*Données!E1746+Résultats!G$36*Données!F1746+Résultats!G$37*Données!G1746+Résultats!G$38*Données!H1746+Résultats!G$39*Données!I1746</f>
        <v>144541.69318810498</v>
      </c>
      <c r="M1746">
        <f t="shared" si="108"/>
        <v>10458.306811895018</v>
      </c>
      <c r="Q1746">
        <v>165000</v>
      </c>
      <c r="R1746">
        <v>1</v>
      </c>
      <c r="S1746">
        <v>45</v>
      </c>
      <c r="T1746">
        <v>0</v>
      </c>
      <c r="U1746">
        <f t="shared" si="109"/>
        <v>12.517227074167097</v>
      </c>
      <c r="V1746">
        <f t="shared" si="110"/>
        <v>8.9694146508661756</v>
      </c>
      <c r="W1746">
        <v>1</v>
      </c>
      <c r="X1746">
        <v>0</v>
      </c>
      <c r="Y1746">
        <v>0</v>
      </c>
      <c r="Z1746">
        <f>'Résultat (Ln)'!F$30+'Résultat (Ln)'!F$31*Données!S1746+'Résultat (Ln)'!F$32*Données!T1746+'Résultat (Ln)'!F$33*Données!U1746+'Résultat (Ln)'!F$34*Données!V1746+'Résultat (Ln)'!F$35*Données!W1746+'Résultat (Ln)'!F$36*Données!X1746+'Résultat (Ln)'!F$37*Données!Y1746</f>
        <v>223021.43993618488</v>
      </c>
      <c r="AA1746">
        <f t="shared" si="111"/>
        <v>-58021.439936184877</v>
      </c>
    </row>
    <row r="1747" spans="1:27" x14ac:dyDescent="0.25">
      <c r="A1747">
        <v>80000</v>
      </c>
      <c r="B1747">
        <v>1</v>
      </c>
      <c r="C1747">
        <v>36</v>
      </c>
      <c r="D1747">
        <v>0</v>
      </c>
      <c r="E1747">
        <v>100000</v>
      </c>
      <c r="F1747">
        <v>3358</v>
      </c>
      <c r="G1747">
        <v>0</v>
      </c>
      <c r="H1747">
        <v>0</v>
      </c>
      <c r="I1747">
        <v>0</v>
      </c>
      <c r="J1747">
        <v>24</v>
      </c>
      <c r="K1747">
        <v>1</v>
      </c>
      <c r="L1747">
        <f>Résultats!G$32+Résultats!G$33*Données!C1747+Résultats!G$34*Données!D1747+Résultats!G$35*Données!E1747+Résultats!G$36*Données!F1747+Résultats!G$37*Données!G1747+Résultats!G$38*Données!H1747+Résultats!G$39*Données!I1747</f>
        <v>91116.156485593674</v>
      </c>
      <c r="M1747">
        <f t="shared" si="108"/>
        <v>-11116.156485593674</v>
      </c>
      <c r="Q1747">
        <v>155000</v>
      </c>
      <c r="R1747">
        <v>1</v>
      </c>
      <c r="S1747">
        <v>40.599998474121087</v>
      </c>
      <c r="T1747">
        <v>0</v>
      </c>
      <c r="U1747">
        <f t="shared" si="109"/>
        <v>12.175613438045465</v>
      </c>
      <c r="V1747">
        <f t="shared" si="110"/>
        <v>7.92588031673756</v>
      </c>
      <c r="W1747">
        <v>1</v>
      </c>
      <c r="X1747">
        <v>1</v>
      </c>
      <c r="Y1747">
        <v>0</v>
      </c>
      <c r="Z1747">
        <f>'Résultat (Ln)'!F$30+'Résultat (Ln)'!F$31*Données!S1747+'Résultat (Ln)'!F$32*Données!T1747+'Résultat (Ln)'!F$33*Données!U1747+'Résultat (Ln)'!F$34*Données!V1747+'Résultat (Ln)'!F$35*Données!W1747+'Résultat (Ln)'!F$36*Données!X1747+'Résultat (Ln)'!F$37*Données!Y1747</f>
        <v>151580.70372227186</v>
      </c>
      <c r="AA1747">
        <f t="shared" si="111"/>
        <v>3419.2962777281355</v>
      </c>
    </row>
    <row r="1748" spans="1:27" x14ac:dyDescent="0.25">
      <c r="A1748">
        <v>120000</v>
      </c>
      <c r="B1748">
        <v>1</v>
      </c>
      <c r="C1748">
        <v>30.89999961853027</v>
      </c>
      <c r="D1748">
        <v>0</v>
      </c>
      <c r="E1748">
        <v>170000</v>
      </c>
      <c r="F1748">
        <v>4283</v>
      </c>
      <c r="G1748">
        <v>1</v>
      </c>
      <c r="H1748">
        <v>0</v>
      </c>
      <c r="I1748">
        <v>1</v>
      </c>
      <c r="J1748">
        <v>28.309999465942379</v>
      </c>
      <c r="K1748">
        <v>0</v>
      </c>
      <c r="L1748">
        <f>Résultats!G$32+Résultats!G$33*Données!C1748+Résultats!G$34*Données!D1748+Résultats!G$35*Données!E1748+Résultats!G$36*Données!F1748+Résultats!G$37*Données!G1748+Résultats!G$38*Données!H1748+Résultats!G$39*Données!I1748</f>
        <v>136679.19457233525</v>
      </c>
      <c r="M1748">
        <f t="shared" si="108"/>
        <v>-16679.194572335255</v>
      </c>
      <c r="Q1748">
        <v>80000</v>
      </c>
      <c r="R1748">
        <v>1</v>
      </c>
      <c r="S1748">
        <v>36</v>
      </c>
      <c r="T1748">
        <v>0</v>
      </c>
      <c r="U1748">
        <f t="shared" si="109"/>
        <v>11.512925464970229</v>
      </c>
      <c r="V1748">
        <f t="shared" si="110"/>
        <v>8.119100837637486</v>
      </c>
      <c r="W1748">
        <v>0</v>
      </c>
      <c r="X1748">
        <v>0</v>
      </c>
      <c r="Y1748">
        <v>0</v>
      </c>
      <c r="Z1748">
        <f>'Résultat (Ln)'!F$30+'Résultat (Ln)'!F$31*Données!S1748+'Résultat (Ln)'!F$32*Données!T1748+'Résultat (Ln)'!F$33*Données!U1748+'Résultat (Ln)'!F$34*Données!V1748+'Résultat (Ln)'!F$35*Données!W1748+'Résultat (Ln)'!F$36*Données!X1748+'Résultat (Ln)'!F$37*Données!Y1748</f>
        <v>76004.635433604271</v>
      </c>
      <c r="AA1748">
        <f t="shared" si="111"/>
        <v>3995.3645663957286</v>
      </c>
    </row>
    <row r="1749" spans="1:27" x14ac:dyDescent="0.25">
      <c r="A1749">
        <v>130000</v>
      </c>
      <c r="B1749">
        <v>1</v>
      </c>
      <c r="C1749">
        <v>38.900001525878913</v>
      </c>
      <c r="D1749">
        <v>0</v>
      </c>
      <c r="E1749">
        <v>137000</v>
      </c>
      <c r="F1749">
        <v>2667</v>
      </c>
      <c r="G1749">
        <v>1</v>
      </c>
      <c r="H1749">
        <v>0</v>
      </c>
      <c r="I1749">
        <v>0</v>
      </c>
      <c r="J1749">
        <v>27.10000038146973</v>
      </c>
      <c r="K1749">
        <v>1</v>
      </c>
      <c r="L1749">
        <f>Résultats!G$32+Résultats!G$33*Données!C1749+Résultats!G$34*Données!D1749+Résultats!G$35*Données!E1749+Résultats!G$36*Données!F1749+Résultats!G$37*Données!G1749+Résultats!G$38*Données!H1749+Résultats!G$39*Données!I1749</f>
        <v>117402.18068996535</v>
      </c>
      <c r="M1749">
        <f t="shared" si="108"/>
        <v>12597.819310034654</v>
      </c>
      <c r="Q1749">
        <v>120000</v>
      </c>
      <c r="R1749">
        <v>1</v>
      </c>
      <c r="S1749">
        <v>30.89999961853027</v>
      </c>
      <c r="T1749">
        <v>0</v>
      </c>
      <c r="U1749">
        <f t="shared" si="109"/>
        <v>12.043553716032399</v>
      </c>
      <c r="V1749">
        <f t="shared" si="110"/>
        <v>8.3624089776153703</v>
      </c>
      <c r="W1749">
        <v>1</v>
      </c>
      <c r="X1749">
        <v>0</v>
      </c>
      <c r="Y1749">
        <v>1</v>
      </c>
      <c r="Z1749">
        <f>'Résultat (Ln)'!F$30+'Résultat (Ln)'!F$31*Données!S1749+'Résultat (Ln)'!F$32*Données!T1749+'Résultat (Ln)'!F$33*Données!U1749+'Résultat (Ln)'!F$34*Données!V1749+'Résultat (Ln)'!F$35*Données!W1749+'Résultat (Ln)'!F$36*Données!X1749+'Résultat (Ln)'!F$37*Données!Y1749</f>
        <v>152077.95342167831</v>
      </c>
      <c r="AA1749">
        <f t="shared" si="111"/>
        <v>-32077.953421678307</v>
      </c>
    </row>
    <row r="1750" spans="1:27" x14ac:dyDescent="0.25">
      <c r="A1750">
        <v>187000</v>
      </c>
      <c r="B1750">
        <v>1</v>
      </c>
      <c r="C1750">
        <v>24</v>
      </c>
      <c r="D1750">
        <v>0</v>
      </c>
      <c r="E1750">
        <v>270000</v>
      </c>
      <c r="F1750">
        <v>7155</v>
      </c>
      <c r="G1750">
        <v>1</v>
      </c>
      <c r="H1750">
        <v>0</v>
      </c>
      <c r="I1750">
        <v>0</v>
      </c>
      <c r="J1750">
        <v>24</v>
      </c>
      <c r="K1750">
        <v>1</v>
      </c>
      <c r="L1750">
        <f>Résultats!G$32+Résultats!G$33*Données!C1750+Résultats!G$34*Données!D1750+Résultats!G$35*Données!E1750+Résultats!G$36*Données!F1750+Résultats!G$37*Données!G1750+Résultats!G$38*Données!H1750+Résultats!G$39*Données!I1750</f>
        <v>171088.56471934979</v>
      </c>
      <c r="M1750">
        <f t="shared" si="108"/>
        <v>15911.435280650214</v>
      </c>
      <c r="Q1750">
        <v>130000</v>
      </c>
      <c r="R1750">
        <v>1</v>
      </c>
      <c r="S1750">
        <v>38.900001525878913</v>
      </c>
      <c r="T1750">
        <v>0</v>
      </c>
      <c r="U1750">
        <f t="shared" si="109"/>
        <v>11.827736204810263</v>
      </c>
      <c r="V1750">
        <f t="shared" si="110"/>
        <v>7.8887095241820147</v>
      </c>
      <c r="W1750">
        <v>1</v>
      </c>
      <c r="X1750">
        <v>0</v>
      </c>
      <c r="Y1750">
        <v>0</v>
      </c>
      <c r="Z1750">
        <f>'Résultat (Ln)'!F$30+'Résultat (Ln)'!F$31*Données!S1750+'Résultat (Ln)'!F$32*Données!T1750+'Résultat (Ln)'!F$33*Données!U1750+'Résultat (Ln)'!F$34*Données!V1750+'Résultat (Ln)'!F$35*Données!W1750+'Résultat (Ln)'!F$36*Données!X1750+'Résultat (Ln)'!F$37*Données!Y1750</f>
        <v>111347.39547654423</v>
      </c>
      <c r="AA1750">
        <f t="shared" si="111"/>
        <v>18652.604523455768</v>
      </c>
    </row>
    <row r="1751" spans="1:27" x14ac:dyDescent="0.25">
      <c r="A1751">
        <v>145000</v>
      </c>
      <c r="B1751">
        <v>1</v>
      </c>
      <c r="C1751">
        <v>46.799999237060547</v>
      </c>
      <c r="D1751">
        <v>0</v>
      </c>
      <c r="E1751">
        <v>185000</v>
      </c>
      <c r="F1751">
        <v>2526</v>
      </c>
      <c r="G1751">
        <v>0</v>
      </c>
      <c r="H1751">
        <v>0</v>
      </c>
      <c r="I1751">
        <v>1</v>
      </c>
      <c r="J1751">
        <v>36.200000762939453</v>
      </c>
      <c r="K1751">
        <v>1</v>
      </c>
      <c r="L1751">
        <f>Résultats!G$32+Résultats!G$33*Données!C1751+Résultats!G$34*Données!D1751+Résultats!G$35*Données!E1751+Résultats!G$36*Données!F1751+Résultats!G$37*Données!G1751+Résultats!G$38*Données!H1751+Résultats!G$39*Données!I1751</f>
        <v>151526.04130953195</v>
      </c>
      <c r="M1751">
        <f t="shared" si="108"/>
        <v>-6526.0413095319527</v>
      </c>
      <c r="Q1751">
        <v>187000</v>
      </c>
      <c r="R1751">
        <v>1</v>
      </c>
      <c r="S1751">
        <v>24</v>
      </c>
      <c r="T1751">
        <v>0</v>
      </c>
      <c r="U1751">
        <f t="shared" si="109"/>
        <v>12.506177237980511</v>
      </c>
      <c r="V1751">
        <f t="shared" si="110"/>
        <v>8.8755666919905511</v>
      </c>
      <c r="W1751">
        <v>1</v>
      </c>
      <c r="X1751">
        <v>0</v>
      </c>
      <c r="Y1751">
        <v>0</v>
      </c>
      <c r="Z1751">
        <f>'Résultat (Ln)'!F$30+'Résultat (Ln)'!F$31*Données!S1751+'Résultat (Ln)'!F$32*Données!T1751+'Résultat (Ln)'!F$33*Données!U1751+'Résultat (Ln)'!F$34*Données!V1751+'Résultat (Ln)'!F$35*Données!W1751+'Résultat (Ln)'!F$36*Données!X1751+'Résultat (Ln)'!F$37*Données!Y1751</f>
        <v>193542.04571129952</v>
      </c>
      <c r="AA1751">
        <f t="shared" si="111"/>
        <v>-6542.0457112995209</v>
      </c>
    </row>
    <row r="1752" spans="1:27" x14ac:dyDescent="0.25">
      <c r="A1752">
        <v>131000</v>
      </c>
      <c r="B1752">
        <v>1</v>
      </c>
      <c r="C1752">
        <v>32</v>
      </c>
      <c r="D1752">
        <v>0</v>
      </c>
      <c r="E1752">
        <v>146000</v>
      </c>
      <c r="F1752">
        <v>2235</v>
      </c>
      <c r="G1752">
        <v>0</v>
      </c>
      <c r="H1752">
        <v>0</v>
      </c>
      <c r="I1752">
        <v>0</v>
      </c>
      <c r="J1752">
        <v>28</v>
      </c>
      <c r="K1752">
        <v>1</v>
      </c>
      <c r="L1752">
        <f>Résultats!G$32+Résultats!G$33*Données!C1752+Résultats!G$34*Données!D1752+Résultats!G$35*Données!E1752+Résultats!G$36*Données!F1752+Résultats!G$37*Données!G1752+Résultats!G$38*Données!H1752+Résultats!G$39*Données!I1752</f>
        <v>105825.1901163195</v>
      </c>
      <c r="M1752">
        <f t="shared" si="108"/>
        <v>25174.8098836805</v>
      </c>
      <c r="Q1752">
        <v>145000</v>
      </c>
      <c r="R1752">
        <v>1</v>
      </c>
      <c r="S1752">
        <v>46.799999237060547</v>
      </c>
      <c r="T1752">
        <v>0</v>
      </c>
      <c r="U1752">
        <f t="shared" si="109"/>
        <v>12.128111104060462</v>
      </c>
      <c r="V1752">
        <f t="shared" si="110"/>
        <v>7.8343923029104365</v>
      </c>
      <c r="W1752">
        <v>0</v>
      </c>
      <c r="X1752">
        <v>0</v>
      </c>
      <c r="Y1752">
        <v>1</v>
      </c>
      <c r="Z1752">
        <f>'Résultat (Ln)'!F$30+'Résultat (Ln)'!F$31*Données!S1752+'Résultat (Ln)'!F$32*Données!T1752+'Résultat (Ln)'!F$33*Données!U1752+'Résultat (Ln)'!F$34*Données!V1752+'Résultat (Ln)'!F$35*Données!W1752+'Résultat (Ln)'!F$36*Données!X1752+'Résultat (Ln)'!F$37*Données!Y1752</f>
        <v>161249.90431147569</v>
      </c>
      <c r="AA1752">
        <f t="shared" si="111"/>
        <v>-16249.904311475693</v>
      </c>
    </row>
    <row r="1753" spans="1:27" x14ac:dyDescent="0.25">
      <c r="A1753">
        <v>67000</v>
      </c>
      <c r="B1753">
        <v>1</v>
      </c>
      <c r="C1753">
        <v>36</v>
      </c>
      <c r="D1753">
        <v>0</v>
      </c>
      <c r="E1753">
        <v>87000</v>
      </c>
      <c r="F1753">
        <v>1700</v>
      </c>
      <c r="G1753">
        <v>1</v>
      </c>
      <c r="H1753">
        <v>0</v>
      </c>
      <c r="I1753">
        <v>0</v>
      </c>
      <c r="J1753">
        <v>22</v>
      </c>
      <c r="K1753">
        <v>1</v>
      </c>
      <c r="L1753">
        <f>Résultats!G$32+Résultats!G$33*Données!C1753+Résultats!G$34*Données!D1753+Résultats!G$35*Données!E1753+Résultats!G$36*Données!F1753+Résultats!G$37*Données!G1753+Résultats!G$38*Données!H1753+Résultats!G$39*Données!I1753</f>
        <v>88849.531021475123</v>
      </c>
      <c r="M1753">
        <f t="shared" si="108"/>
        <v>-21849.531021475123</v>
      </c>
      <c r="Q1753">
        <v>131000</v>
      </c>
      <c r="R1753">
        <v>1</v>
      </c>
      <c r="S1753">
        <v>32</v>
      </c>
      <c r="T1753">
        <v>0</v>
      </c>
      <c r="U1753">
        <f t="shared" si="109"/>
        <v>11.891361900690473</v>
      </c>
      <c r="V1753">
        <f t="shared" si="110"/>
        <v>7.7119965070476688</v>
      </c>
      <c r="W1753">
        <v>0</v>
      </c>
      <c r="X1753">
        <v>0</v>
      </c>
      <c r="Y1753">
        <v>0</v>
      </c>
      <c r="Z1753">
        <f>'Résultat (Ln)'!F$30+'Résultat (Ln)'!F$31*Données!S1753+'Résultat (Ln)'!F$32*Données!T1753+'Résultat (Ln)'!F$33*Données!U1753+'Résultat (Ln)'!F$34*Données!V1753+'Résultat (Ln)'!F$35*Données!W1753+'Résultat (Ln)'!F$36*Données!X1753+'Résultat (Ln)'!F$37*Données!Y1753</f>
        <v>100265.61588732869</v>
      </c>
      <c r="AA1753">
        <f t="shared" si="111"/>
        <v>30734.384112671309</v>
      </c>
    </row>
    <row r="1754" spans="1:27" x14ac:dyDescent="0.25">
      <c r="A1754">
        <v>125000</v>
      </c>
      <c r="B1754">
        <v>1</v>
      </c>
      <c r="C1754">
        <v>33.299999237060547</v>
      </c>
      <c r="D1754">
        <v>0</v>
      </c>
      <c r="E1754">
        <v>175000</v>
      </c>
      <c r="F1754">
        <v>4768</v>
      </c>
      <c r="G1754">
        <v>0</v>
      </c>
      <c r="H1754">
        <v>0</v>
      </c>
      <c r="I1754">
        <v>0</v>
      </c>
      <c r="J1754">
        <v>26.770000457763668</v>
      </c>
      <c r="K1754">
        <v>1</v>
      </c>
      <c r="L1754">
        <f>Résultats!G$32+Résultats!G$33*Données!C1754+Résultats!G$34*Données!D1754+Résultats!G$35*Données!E1754+Résultats!G$36*Données!F1754+Résultats!G$37*Données!G1754+Résultats!G$38*Données!H1754+Résultats!G$39*Données!I1754</f>
        <v>125768.52092177207</v>
      </c>
      <c r="M1754">
        <f t="shared" si="108"/>
        <v>-768.52092177206941</v>
      </c>
      <c r="Q1754">
        <v>67000</v>
      </c>
      <c r="R1754">
        <v>1</v>
      </c>
      <c r="S1754">
        <v>36</v>
      </c>
      <c r="T1754">
        <v>0</v>
      </c>
      <c r="U1754">
        <f t="shared" si="109"/>
        <v>11.373663397636721</v>
      </c>
      <c r="V1754">
        <f t="shared" si="110"/>
        <v>7.4383835300443071</v>
      </c>
      <c r="W1754">
        <v>1</v>
      </c>
      <c r="X1754">
        <v>0</v>
      </c>
      <c r="Y1754">
        <v>0</v>
      </c>
      <c r="Z1754">
        <f>'Résultat (Ln)'!F$30+'Résultat (Ln)'!F$31*Données!S1754+'Résultat (Ln)'!F$32*Données!T1754+'Résultat (Ln)'!F$33*Données!U1754+'Résultat (Ln)'!F$34*Données!V1754+'Résultat (Ln)'!F$35*Données!W1754+'Résultat (Ln)'!F$36*Données!X1754+'Résultat (Ln)'!F$37*Données!Y1754</f>
        <v>46499.13349259094</v>
      </c>
      <c r="AA1754">
        <f t="shared" si="111"/>
        <v>20500.86650740906</v>
      </c>
    </row>
    <row r="1755" spans="1:27" x14ac:dyDescent="0.25">
      <c r="A1755">
        <v>103000</v>
      </c>
      <c r="B1755">
        <v>1</v>
      </c>
      <c r="C1755">
        <v>36.700000762939453</v>
      </c>
      <c r="D1755">
        <v>1</v>
      </c>
      <c r="E1755">
        <v>128000</v>
      </c>
      <c r="F1755">
        <v>5000</v>
      </c>
      <c r="G1755">
        <v>0</v>
      </c>
      <c r="H1755">
        <v>0</v>
      </c>
      <c r="I1755">
        <v>0</v>
      </c>
      <c r="J1755">
        <v>23</v>
      </c>
      <c r="K1755">
        <v>0</v>
      </c>
      <c r="L1755">
        <f>Résultats!G$32+Résultats!G$33*Données!C1755+Résultats!G$34*Données!D1755+Résultats!G$35*Données!E1755+Résultats!G$36*Données!F1755+Résultats!G$37*Données!G1755+Résultats!G$38*Données!H1755+Résultats!G$39*Données!I1755</f>
        <v>113025.01372003702</v>
      </c>
      <c r="M1755">
        <f t="shared" si="108"/>
        <v>-10025.013720037023</v>
      </c>
      <c r="Q1755">
        <v>125000</v>
      </c>
      <c r="R1755">
        <v>1</v>
      </c>
      <c r="S1755">
        <v>33.299999237060547</v>
      </c>
      <c r="T1755">
        <v>0</v>
      </c>
      <c r="U1755">
        <f t="shared" si="109"/>
        <v>12.072541252905651</v>
      </c>
      <c r="V1755">
        <f t="shared" si="110"/>
        <v>8.4696822087451853</v>
      </c>
      <c r="W1755">
        <v>0</v>
      </c>
      <c r="X1755">
        <v>0</v>
      </c>
      <c r="Y1755">
        <v>0</v>
      </c>
      <c r="Z1755">
        <f>'Résultat (Ln)'!F$30+'Résultat (Ln)'!F$31*Données!S1755+'Résultat (Ln)'!F$32*Données!T1755+'Résultat (Ln)'!F$33*Données!U1755+'Résultat (Ln)'!F$34*Données!V1755+'Résultat (Ln)'!F$35*Données!W1755+'Résultat (Ln)'!F$36*Données!X1755+'Résultat (Ln)'!F$37*Données!Y1755</f>
        <v>142525.78775381568</v>
      </c>
      <c r="AA1755">
        <f t="shared" si="111"/>
        <v>-17525.787753815675</v>
      </c>
    </row>
    <row r="1756" spans="1:27" x14ac:dyDescent="0.25">
      <c r="A1756">
        <v>110000</v>
      </c>
      <c r="B1756">
        <v>1</v>
      </c>
      <c r="C1756">
        <v>31</v>
      </c>
      <c r="D1756">
        <v>0</v>
      </c>
      <c r="E1756">
        <v>175000</v>
      </c>
      <c r="F1756">
        <v>2785</v>
      </c>
      <c r="G1756">
        <v>1</v>
      </c>
      <c r="H1756">
        <v>0</v>
      </c>
      <c r="I1756">
        <v>0</v>
      </c>
      <c r="J1756">
        <v>24</v>
      </c>
      <c r="K1756">
        <v>1</v>
      </c>
      <c r="L1756">
        <f>Résultats!G$32+Résultats!G$33*Données!C1756+Résultats!G$34*Données!D1756+Résultats!G$35*Données!E1756+Résultats!G$36*Données!F1756+Résultats!G$37*Données!G1756+Résultats!G$38*Données!H1756+Résultats!G$39*Données!I1756</f>
        <v>126300.56606092206</v>
      </c>
      <c r="M1756">
        <f t="shared" si="108"/>
        <v>-16300.566060922065</v>
      </c>
      <c r="Q1756">
        <v>103000</v>
      </c>
      <c r="R1756">
        <v>1</v>
      </c>
      <c r="S1756">
        <v>36.700000762939453</v>
      </c>
      <c r="T1756">
        <v>1</v>
      </c>
      <c r="U1756">
        <f t="shared" si="109"/>
        <v>11.759785542901755</v>
      </c>
      <c r="V1756">
        <f t="shared" si="110"/>
        <v>8.5171931914162382</v>
      </c>
      <c r="W1756">
        <v>0</v>
      </c>
      <c r="X1756">
        <v>0</v>
      </c>
      <c r="Y1756">
        <v>0</v>
      </c>
      <c r="Z1756">
        <f>'Résultat (Ln)'!F$30+'Résultat (Ln)'!F$31*Données!S1756+'Résultat (Ln)'!F$32*Données!T1756+'Résultat (Ln)'!F$33*Données!U1756+'Résultat (Ln)'!F$34*Données!V1756+'Résultat (Ln)'!F$35*Données!W1756+'Résultat (Ln)'!F$36*Données!X1756+'Résultat (Ln)'!F$37*Données!Y1756</f>
        <v>118835.99861610713</v>
      </c>
      <c r="AA1756">
        <f t="shared" si="111"/>
        <v>-15835.998616107128</v>
      </c>
    </row>
    <row r="1757" spans="1:27" x14ac:dyDescent="0.25">
      <c r="A1757">
        <v>320000</v>
      </c>
      <c r="B1757">
        <v>1</v>
      </c>
      <c r="C1757">
        <v>43</v>
      </c>
      <c r="D1757">
        <v>1</v>
      </c>
      <c r="E1757">
        <v>400000</v>
      </c>
      <c r="F1757">
        <v>6633</v>
      </c>
      <c r="G1757">
        <v>1</v>
      </c>
      <c r="H1757">
        <v>0</v>
      </c>
      <c r="I1757">
        <v>1</v>
      </c>
      <c r="J1757">
        <v>43</v>
      </c>
      <c r="K1757">
        <v>1</v>
      </c>
      <c r="L1757">
        <f>Résultats!G$32+Résultats!G$33*Données!C1757+Résultats!G$34*Données!D1757+Résultats!G$35*Données!E1757+Résultats!G$36*Données!F1757+Résultats!G$37*Données!G1757+Résultats!G$38*Données!H1757+Résultats!G$39*Données!I1757</f>
        <v>267379.40741736215</v>
      </c>
      <c r="M1757">
        <f t="shared" si="108"/>
        <v>52620.592582637852</v>
      </c>
      <c r="Q1757">
        <v>110000</v>
      </c>
      <c r="R1757">
        <v>1</v>
      </c>
      <c r="S1757">
        <v>31</v>
      </c>
      <c r="T1757">
        <v>0</v>
      </c>
      <c r="U1757">
        <f t="shared" si="109"/>
        <v>12.072541252905651</v>
      </c>
      <c r="V1757">
        <f t="shared" si="110"/>
        <v>7.9320031523613848</v>
      </c>
      <c r="W1757">
        <v>1</v>
      </c>
      <c r="X1757">
        <v>0</v>
      </c>
      <c r="Y1757">
        <v>0</v>
      </c>
      <c r="Z1757">
        <f>'Résultat (Ln)'!F$30+'Résultat (Ln)'!F$31*Données!S1757+'Résultat (Ln)'!F$32*Données!T1757+'Résultat (Ln)'!F$33*Données!U1757+'Résultat (Ln)'!F$34*Données!V1757+'Résultat (Ln)'!F$35*Données!W1757+'Résultat (Ln)'!F$36*Données!X1757+'Résultat (Ln)'!F$37*Données!Y1757</f>
        <v>129149.48986725246</v>
      </c>
      <c r="AA1757">
        <f t="shared" si="111"/>
        <v>-19149.489867252458</v>
      </c>
    </row>
    <row r="1758" spans="1:27" x14ac:dyDescent="0.25">
      <c r="A1758">
        <v>61000</v>
      </c>
      <c r="B1758">
        <v>1</v>
      </c>
      <c r="C1758">
        <v>14.60000038146973</v>
      </c>
      <c r="D1758">
        <v>0</v>
      </c>
      <c r="E1758">
        <v>90000</v>
      </c>
      <c r="F1758">
        <v>2687</v>
      </c>
      <c r="G1758">
        <v>1</v>
      </c>
      <c r="H1758">
        <v>0</v>
      </c>
      <c r="I1758">
        <v>1</v>
      </c>
      <c r="J1758">
        <v>13.89999961853027</v>
      </c>
      <c r="K1758">
        <v>1</v>
      </c>
      <c r="L1758">
        <f>Résultats!G$32+Résultats!G$33*Données!C1758+Résultats!G$34*Données!D1758+Résultats!G$35*Données!E1758+Résultats!G$36*Données!F1758+Résultats!G$37*Données!G1758+Résultats!G$38*Données!H1758+Résultats!G$39*Données!I1758</f>
        <v>77506.898139526282</v>
      </c>
      <c r="M1758">
        <f t="shared" si="108"/>
        <v>-16506.898139526282</v>
      </c>
      <c r="Q1758">
        <v>320000</v>
      </c>
      <c r="R1758">
        <v>1</v>
      </c>
      <c r="S1758">
        <v>43</v>
      </c>
      <c r="T1758">
        <v>1</v>
      </c>
      <c r="U1758">
        <f t="shared" si="109"/>
        <v>12.899219826090119</v>
      </c>
      <c r="V1758">
        <f t="shared" si="110"/>
        <v>8.7998124695255555</v>
      </c>
      <c r="W1758">
        <v>1</v>
      </c>
      <c r="X1758">
        <v>0</v>
      </c>
      <c r="Y1758">
        <v>1</v>
      </c>
      <c r="Z1758">
        <f>'Résultat (Ln)'!F$30+'Résultat (Ln)'!F$31*Données!S1758+'Résultat (Ln)'!F$32*Données!T1758+'Résultat (Ln)'!F$33*Données!U1758+'Résultat (Ln)'!F$34*Données!V1758+'Résultat (Ln)'!F$35*Données!W1758+'Résultat (Ln)'!F$36*Données!X1758+'Résultat (Ln)'!F$37*Données!Y1758</f>
        <v>275204.40266260947</v>
      </c>
      <c r="AA1758">
        <f t="shared" si="111"/>
        <v>44795.597337390529</v>
      </c>
    </row>
    <row r="1759" spans="1:27" x14ac:dyDescent="0.25">
      <c r="A1759">
        <v>140000</v>
      </c>
      <c r="B1759">
        <v>1</v>
      </c>
      <c r="C1759">
        <v>33.299999237060547</v>
      </c>
      <c r="D1759">
        <v>0</v>
      </c>
      <c r="E1759">
        <v>175000</v>
      </c>
      <c r="F1759">
        <v>2917</v>
      </c>
      <c r="G1759">
        <v>1</v>
      </c>
      <c r="H1759">
        <v>0</v>
      </c>
      <c r="I1759">
        <v>1</v>
      </c>
      <c r="J1759">
        <v>16.889999389648441</v>
      </c>
      <c r="K1759">
        <v>1</v>
      </c>
      <c r="L1759">
        <f>Résultats!G$32+Résultats!G$33*Données!C1759+Résultats!G$34*Données!D1759+Résultats!G$35*Données!E1759+Résultats!G$36*Données!F1759+Résultats!G$37*Données!G1759+Résultats!G$38*Données!H1759+Résultats!G$39*Données!I1759</f>
        <v>139123.75184577549</v>
      </c>
      <c r="M1759">
        <f t="shared" si="108"/>
        <v>876.24815422450774</v>
      </c>
      <c r="Q1759">
        <v>61000</v>
      </c>
      <c r="R1759">
        <v>1</v>
      </c>
      <c r="S1759">
        <v>14.60000038146973</v>
      </c>
      <c r="T1759">
        <v>0</v>
      </c>
      <c r="U1759">
        <f t="shared" si="109"/>
        <v>11.407564949312402</v>
      </c>
      <c r="V1759">
        <f t="shared" si="110"/>
        <v>7.8961806086154915</v>
      </c>
      <c r="W1759">
        <v>1</v>
      </c>
      <c r="X1759">
        <v>0</v>
      </c>
      <c r="Y1759">
        <v>1</v>
      </c>
      <c r="Z1759">
        <f>'Résultat (Ln)'!F$30+'Résultat (Ln)'!F$31*Données!S1759+'Résultat (Ln)'!F$32*Données!T1759+'Résultat (Ln)'!F$33*Données!U1759+'Résultat (Ln)'!F$34*Données!V1759+'Résultat (Ln)'!F$35*Données!W1759+'Résultat (Ln)'!F$36*Données!X1759+'Résultat (Ln)'!F$37*Données!Y1759</f>
        <v>50907.766213205752</v>
      </c>
      <c r="AA1759">
        <f t="shared" si="111"/>
        <v>10092.233786794248</v>
      </c>
    </row>
    <row r="1760" spans="1:27" x14ac:dyDescent="0.25">
      <c r="A1760">
        <v>120000</v>
      </c>
      <c r="B1760">
        <v>1</v>
      </c>
      <c r="C1760">
        <v>23</v>
      </c>
      <c r="D1760">
        <v>0</v>
      </c>
      <c r="E1760">
        <v>165000</v>
      </c>
      <c r="F1760">
        <v>3083</v>
      </c>
      <c r="G1760">
        <v>0</v>
      </c>
      <c r="H1760">
        <v>0</v>
      </c>
      <c r="I1760">
        <v>0</v>
      </c>
      <c r="J1760">
        <v>21</v>
      </c>
      <c r="K1760">
        <v>1</v>
      </c>
      <c r="L1760">
        <f>Résultats!G$32+Résultats!G$33*Données!C1760+Résultats!G$34*Données!D1760+Résultats!G$35*Données!E1760+Résultats!G$36*Données!F1760+Résultats!G$37*Données!G1760+Résultats!G$38*Données!H1760+Résultats!G$39*Données!I1760</f>
        <v>106002.51249520062</v>
      </c>
      <c r="M1760">
        <f t="shared" si="108"/>
        <v>13997.487504799385</v>
      </c>
      <c r="Q1760">
        <v>140000</v>
      </c>
      <c r="R1760">
        <v>1</v>
      </c>
      <c r="S1760">
        <v>33.299999237060547</v>
      </c>
      <c r="T1760">
        <v>0</v>
      </c>
      <c r="U1760">
        <f t="shared" si="109"/>
        <v>12.072541252905651</v>
      </c>
      <c r="V1760">
        <f t="shared" si="110"/>
        <v>7.9783109698677217</v>
      </c>
      <c r="W1760">
        <v>1</v>
      </c>
      <c r="X1760">
        <v>0</v>
      </c>
      <c r="Y1760">
        <v>1</v>
      </c>
      <c r="Z1760">
        <f>'Résultat (Ln)'!F$30+'Résultat (Ln)'!F$31*Données!S1760+'Résultat (Ln)'!F$32*Données!T1760+'Résultat (Ln)'!F$33*Données!U1760+'Résultat (Ln)'!F$34*Données!V1760+'Résultat (Ln)'!F$35*Données!W1760+'Résultat (Ln)'!F$36*Données!X1760+'Résultat (Ln)'!F$37*Données!Y1760</f>
        <v>147345.85354370365</v>
      </c>
      <c r="AA1760">
        <f t="shared" si="111"/>
        <v>-7345.853543703648</v>
      </c>
    </row>
    <row r="1761" spans="1:27" x14ac:dyDescent="0.25">
      <c r="A1761">
        <v>148000</v>
      </c>
      <c r="B1761">
        <v>1</v>
      </c>
      <c r="C1761">
        <v>38</v>
      </c>
      <c r="D1761">
        <v>0</v>
      </c>
      <c r="E1761">
        <v>185000</v>
      </c>
      <c r="F1761">
        <v>2667</v>
      </c>
      <c r="G1761">
        <v>1</v>
      </c>
      <c r="H1761">
        <v>0</v>
      </c>
      <c r="I1761">
        <v>1</v>
      </c>
      <c r="J1761">
        <v>34</v>
      </c>
      <c r="K1761">
        <v>1</v>
      </c>
      <c r="L1761">
        <f>Résultats!G$32+Résultats!G$33*Données!C1761+Résultats!G$34*Données!D1761+Résultats!G$35*Données!E1761+Résultats!G$36*Données!F1761+Résultats!G$37*Données!G1761+Résultats!G$38*Données!H1761+Résultats!G$39*Données!I1761</f>
        <v>148707.58934928203</v>
      </c>
      <c r="M1761">
        <f t="shared" si="108"/>
        <v>-707.58934928203234</v>
      </c>
      <c r="Q1761">
        <v>120000</v>
      </c>
      <c r="R1761">
        <v>1</v>
      </c>
      <c r="S1761">
        <v>23</v>
      </c>
      <c r="T1761">
        <v>0</v>
      </c>
      <c r="U1761">
        <f t="shared" si="109"/>
        <v>12.013700752882718</v>
      </c>
      <c r="V1761">
        <f t="shared" si="110"/>
        <v>8.0336584278861505</v>
      </c>
      <c r="W1761">
        <v>0</v>
      </c>
      <c r="X1761">
        <v>0</v>
      </c>
      <c r="Y1761">
        <v>0</v>
      </c>
      <c r="Z1761">
        <f>'Résultat (Ln)'!F$30+'Résultat (Ln)'!F$31*Données!S1761+'Résultat (Ln)'!F$32*Données!T1761+'Résultat (Ln)'!F$33*Données!U1761+'Résultat (Ln)'!F$34*Données!V1761+'Résultat (Ln)'!F$35*Données!W1761+'Résultat (Ln)'!F$36*Données!X1761+'Résultat (Ln)'!F$37*Données!Y1761</f>
        <v>111402.69332402255</v>
      </c>
      <c r="AA1761">
        <f t="shared" si="111"/>
        <v>8597.306675977452</v>
      </c>
    </row>
    <row r="1762" spans="1:27" x14ac:dyDescent="0.25">
      <c r="A1762">
        <v>103000</v>
      </c>
      <c r="B1762">
        <v>1</v>
      </c>
      <c r="C1762">
        <v>26</v>
      </c>
      <c r="D1762">
        <v>0</v>
      </c>
      <c r="E1762">
        <v>129000</v>
      </c>
      <c r="F1762">
        <v>4417</v>
      </c>
      <c r="G1762">
        <v>0</v>
      </c>
      <c r="H1762">
        <v>0</v>
      </c>
      <c r="I1762">
        <v>0</v>
      </c>
      <c r="J1762">
        <v>26</v>
      </c>
      <c r="K1762">
        <v>0</v>
      </c>
      <c r="L1762">
        <f>Résultats!G$32+Résultats!G$33*Données!C1762+Résultats!G$34*Données!D1762+Résultats!G$35*Données!E1762+Résultats!G$36*Données!F1762+Résultats!G$37*Données!G1762+Résultats!G$38*Données!H1762+Résultats!G$39*Données!I1762</f>
        <v>95223.214306257752</v>
      </c>
      <c r="M1762">
        <f t="shared" si="108"/>
        <v>7776.7856937422475</v>
      </c>
      <c r="Q1762">
        <v>148000</v>
      </c>
      <c r="R1762">
        <v>1</v>
      </c>
      <c r="S1762">
        <v>38</v>
      </c>
      <c r="T1762">
        <v>0</v>
      </c>
      <c r="U1762">
        <f t="shared" si="109"/>
        <v>12.128111104060462</v>
      </c>
      <c r="V1762">
        <f t="shared" si="110"/>
        <v>7.8887095241820147</v>
      </c>
      <c r="W1762">
        <v>1</v>
      </c>
      <c r="X1762">
        <v>0</v>
      </c>
      <c r="Y1762">
        <v>1</v>
      </c>
      <c r="Z1762">
        <f>'Résultat (Ln)'!F$30+'Résultat (Ln)'!F$31*Données!S1762+'Résultat (Ln)'!F$32*Données!T1762+'Résultat (Ln)'!F$33*Données!U1762+'Résultat (Ln)'!F$34*Données!V1762+'Résultat (Ln)'!F$35*Données!W1762+'Résultat (Ln)'!F$36*Données!X1762+'Résultat (Ln)'!F$37*Données!Y1762</f>
        <v>156533.34511362141</v>
      </c>
      <c r="AA1762">
        <f t="shared" si="111"/>
        <v>-8533.3451136214135</v>
      </c>
    </row>
    <row r="1763" spans="1:27" x14ac:dyDescent="0.25">
      <c r="A1763">
        <v>122000</v>
      </c>
      <c r="B1763">
        <v>1</v>
      </c>
      <c r="C1763">
        <v>35.599998474121087</v>
      </c>
      <c r="D1763">
        <v>0</v>
      </c>
      <c r="E1763">
        <v>137000</v>
      </c>
      <c r="F1763">
        <v>2492</v>
      </c>
      <c r="G1763">
        <v>1</v>
      </c>
      <c r="H1763">
        <v>0</v>
      </c>
      <c r="I1763">
        <v>0</v>
      </c>
      <c r="J1763">
        <v>26.430000305175781</v>
      </c>
      <c r="K1763">
        <v>1</v>
      </c>
      <c r="L1763">
        <f>Résultats!G$32+Résultats!G$33*Données!C1763+Résultats!G$34*Données!D1763+Résultats!G$35*Données!E1763+Résultats!G$36*Données!F1763+Résultats!G$37*Données!G1763+Résultats!G$38*Données!H1763+Résultats!G$39*Données!I1763</f>
        <v>113272.45214440572</v>
      </c>
      <c r="M1763">
        <f t="shared" si="108"/>
        <v>8727.5478555942827</v>
      </c>
      <c r="Q1763">
        <v>103000</v>
      </c>
      <c r="R1763">
        <v>1</v>
      </c>
      <c r="S1763">
        <v>26</v>
      </c>
      <c r="T1763">
        <v>0</v>
      </c>
      <c r="U1763">
        <f t="shared" si="109"/>
        <v>11.76756768334381</v>
      </c>
      <c r="V1763">
        <f t="shared" si="110"/>
        <v>8.3932160115965271</v>
      </c>
      <c r="W1763">
        <v>0</v>
      </c>
      <c r="X1763">
        <v>0</v>
      </c>
      <c r="Y1763">
        <v>0</v>
      </c>
      <c r="Z1763">
        <f>'Résultat (Ln)'!F$30+'Résultat (Ln)'!F$31*Données!S1763+'Résultat (Ln)'!F$32*Données!T1763+'Résultat (Ln)'!F$33*Données!U1763+'Résultat (Ln)'!F$34*Données!V1763+'Résultat (Ln)'!F$35*Données!W1763+'Résultat (Ln)'!F$36*Données!X1763+'Résultat (Ln)'!F$37*Données!Y1763</f>
        <v>98768.519958478108</v>
      </c>
      <c r="AA1763">
        <f t="shared" si="111"/>
        <v>4231.4800415218924</v>
      </c>
    </row>
    <row r="1764" spans="1:27" x14ac:dyDescent="0.25">
      <c r="A1764">
        <v>158000</v>
      </c>
      <c r="B1764">
        <v>1</v>
      </c>
      <c r="C1764">
        <v>36</v>
      </c>
      <c r="D1764">
        <v>1</v>
      </c>
      <c r="E1764">
        <v>175000</v>
      </c>
      <c r="F1764">
        <v>3333</v>
      </c>
      <c r="G1764">
        <v>1</v>
      </c>
      <c r="H1764">
        <v>0</v>
      </c>
      <c r="I1764">
        <v>0</v>
      </c>
      <c r="J1764">
        <v>27</v>
      </c>
      <c r="K1764">
        <v>1</v>
      </c>
      <c r="L1764">
        <f>Résultats!G$32+Résultats!G$33*Données!C1764+Résultats!G$34*Données!D1764+Résultats!G$35*Données!E1764+Résultats!G$36*Données!F1764+Résultats!G$37*Données!G1764+Résultats!G$38*Données!H1764+Résultats!G$39*Données!I1764</f>
        <v>137954.07414823546</v>
      </c>
      <c r="M1764">
        <f t="shared" si="108"/>
        <v>20045.925851764536</v>
      </c>
      <c r="Q1764">
        <v>122000</v>
      </c>
      <c r="R1764">
        <v>1</v>
      </c>
      <c r="S1764">
        <v>35.599998474121087</v>
      </c>
      <c r="T1764">
        <v>0</v>
      </c>
      <c r="U1764">
        <f t="shared" si="109"/>
        <v>11.827736204810263</v>
      </c>
      <c r="V1764">
        <f t="shared" si="110"/>
        <v>7.8208408799073439</v>
      </c>
      <c r="W1764">
        <v>1</v>
      </c>
      <c r="X1764">
        <v>0</v>
      </c>
      <c r="Y1764">
        <v>0</v>
      </c>
      <c r="Z1764">
        <f>'Résultat (Ln)'!F$30+'Résultat (Ln)'!F$31*Données!S1764+'Résultat (Ln)'!F$32*Données!T1764+'Résultat (Ln)'!F$33*Données!U1764+'Résultat (Ln)'!F$34*Données!V1764+'Résultat (Ln)'!F$35*Données!W1764+'Résultat (Ln)'!F$36*Données!X1764+'Résultat (Ln)'!F$37*Données!Y1764</f>
        <v>105411.2266073046</v>
      </c>
      <c r="AA1764">
        <f t="shared" si="111"/>
        <v>16588.773392695395</v>
      </c>
    </row>
    <row r="1765" spans="1:27" x14ac:dyDescent="0.25">
      <c r="A1765">
        <v>181000</v>
      </c>
      <c r="B1765">
        <v>1</v>
      </c>
      <c r="C1765">
        <v>35</v>
      </c>
      <c r="D1765">
        <v>0</v>
      </c>
      <c r="E1765">
        <v>226000</v>
      </c>
      <c r="F1765">
        <v>1647</v>
      </c>
      <c r="G1765">
        <v>1</v>
      </c>
      <c r="H1765">
        <v>1</v>
      </c>
      <c r="I1765">
        <v>0</v>
      </c>
      <c r="J1765">
        <v>26.79000091552734</v>
      </c>
      <c r="K1765">
        <v>0</v>
      </c>
      <c r="L1765">
        <f>Résultats!G$32+Résultats!G$33*Données!C1765+Résultats!G$34*Données!D1765+Résultats!G$35*Données!E1765+Résultats!G$36*Données!F1765+Résultats!G$37*Données!G1765+Résultats!G$38*Données!H1765+Résultats!G$39*Données!I1765</f>
        <v>150879.38577828911</v>
      </c>
      <c r="M1765">
        <f t="shared" si="108"/>
        <v>30120.614221710886</v>
      </c>
      <c r="Q1765">
        <v>158000</v>
      </c>
      <c r="R1765">
        <v>1</v>
      </c>
      <c r="S1765">
        <v>36</v>
      </c>
      <c r="T1765">
        <v>1</v>
      </c>
      <c r="U1765">
        <f t="shared" si="109"/>
        <v>12.072541252905651</v>
      </c>
      <c r="V1765">
        <f t="shared" si="110"/>
        <v>8.1116280783077404</v>
      </c>
      <c r="W1765">
        <v>1</v>
      </c>
      <c r="X1765">
        <v>0</v>
      </c>
      <c r="Y1765">
        <v>0</v>
      </c>
      <c r="Z1765">
        <f>'Résultat (Ln)'!F$30+'Résultat (Ln)'!F$31*Données!S1765+'Résultat (Ln)'!F$32*Données!T1765+'Résultat (Ln)'!F$33*Données!U1765+'Résultat (Ln)'!F$34*Données!V1765+'Résultat (Ln)'!F$35*Données!W1765+'Résultat (Ln)'!F$36*Données!X1765+'Résultat (Ln)'!F$37*Données!Y1765</f>
        <v>144646.23018109781</v>
      </c>
      <c r="AA1765">
        <f t="shared" si="111"/>
        <v>13353.76981890219</v>
      </c>
    </row>
    <row r="1766" spans="1:27" x14ac:dyDescent="0.25">
      <c r="A1766">
        <v>139000</v>
      </c>
      <c r="B1766">
        <v>1</v>
      </c>
      <c r="C1766">
        <v>35.799999237060547</v>
      </c>
      <c r="D1766">
        <v>0</v>
      </c>
      <c r="E1766">
        <v>146000</v>
      </c>
      <c r="F1766">
        <v>2079</v>
      </c>
      <c r="G1766">
        <v>1</v>
      </c>
      <c r="H1766">
        <v>0</v>
      </c>
      <c r="I1766">
        <v>0</v>
      </c>
      <c r="J1766">
        <v>23.10000038146973</v>
      </c>
      <c r="K1766">
        <v>1</v>
      </c>
      <c r="L1766">
        <f>Résultats!G$32+Résultats!G$33*Données!C1766+Résultats!G$34*Données!D1766+Résultats!G$35*Données!E1766+Résultats!G$36*Données!F1766+Résultats!G$37*Données!G1766+Résultats!G$38*Données!H1766+Résultats!G$39*Données!I1766</f>
        <v>116904.46033259167</v>
      </c>
      <c r="M1766">
        <f t="shared" si="108"/>
        <v>22095.539667408331</v>
      </c>
      <c r="Q1766">
        <v>181000</v>
      </c>
      <c r="R1766">
        <v>1</v>
      </c>
      <c r="S1766">
        <v>35</v>
      </c>
      <c r="T1766">
        <v>0</v>
      </c>
      <c r="U1766">
        <f t="shared" si="109"/>
        <v>12.328290278254423</v>
      </c>
      <c r="V1766">
        <f t="shared" si="110"/>
        <v>7.4067107301776405</v>
      </c>
      <c r="W1766">
        <v>1</v>
      </c>
      <c r="X1766">
        <v>1</v>
      </c>
      <c r="Y1766">
        <v>0</v>
      </c>
      <c r="Z1766">
        <f>'Résultat (Ln)'!F$30+'Résultat (Ln)'!F$31*Données!S1766+'Résultat (Ln)'!F$32*Données!T1766+'Résultat (Ln)'!F$33*Données!U1766+'Résultat (Ln)'!F$34*Données!V1766+'Résultat (Ln)'!F$35*Données!W1766+'Résultat (Ln)'!F$36*Données!X1766+'Résultat (Ln)'!F$37*Données!Y1766</f>
        <v>146543.03382279212</v>
      </c>
      <c r="AA1766">
        <f t="shared" si="111"/>
        <v>34456.966177207883</v>
      </c>
    </row>
    <row r="1767" spans="1:27" x14ac:dyDescent="0.25">
      <c r="A1767">
        <v>181000</v>
      </c>
      <c r="B1767">
        <v>1</v>
      </c>
      <c r="C1767">
        <v>49</v>
      </c>
      <c r="D1767">
        <v>1</v>
      </c>
      <c r="E1767">
        <v>190000</v>
      </c>
      <c r="F1767">
        <v>2454</v>
      </c>
      <c r="G1767">
        <v>1</v>
      </c>
      <c r="H1767">
        <v>0</v>
      </c>
      <c r="I1767">
        <v>0</v>
      </c>
      <c r="J1767">
        <v>40</v>
      </c>
      <c r="K1767">
        <v>1</v>
      </c>
      <c r="L1767">
        <f>Résultats!G$32+Résultats!G$33*Données!C1767+Résultats!G$34*Données!D1767+Résultats!G$35*Données!E1767+Résultats!G$36*Données!F1767+Résultats!G$37*Données!G1767+Résultats!G$38*Données!H1767+Résultats!G$39*Données!I1767</f>
        <v>158187.77301235593</v>
      </c>
      <c r="M1767">
        <f t="shared" si="108"/>
        <v>22812.22698764407</v>
      </c>
      <c r="Q1767">
        <v>139000</v>
      </c>
      <c r="R1767">
        <v>1</v>
      </c>
      <c r="S1767">
        <v>35.799999237060547</v>
      </c>
      <c r="T1767">
        <v>0</v>
      </c>
      <c r="U1767">
        <f t="shared" si="109"/>
        <v>11.891361900690473</v>
      </c>
      <c r="V1767">
        <f t="shared" si="110"/>
        <v>7.6396422878580132</v>
      </c>
      <c r="W1767">
        <v>1</v>
      </c>
      <c r="X1767">
        <v>0</v>
      </c>
      <c r="Y1767">
        <v>0</v>
      </c>
      <c r="Z1767">
        <f>'Résultat (Ln)'!F$30+'Résultat (Ln)'!F$31*Données!S1767+'Résultat (Ln)'!F$32*Données!T1767+'Résultat (Ln)'!F$33*Données!U1767+'Résultat (Ln)'!F$34*Données!V1767+'Résultat (Ln)'!F$35*Données!W1767+'Résultat (Ln)'!F$36*Données!X1767+'Résultat (Ln)'!F$37*Données!Y1767</f>
        <v>107394.17005704289</v>
      </c>
      <c r="AA1767">
        <f t="shared" si="111"/>
        <v>31605.829942957105</v>
      </c>
    </row>
    <row r="1768" spans="1:27" x14ac:dyDescent="0.25">
      <c r="A1768">
        <v>132000</v>
      </c>
      <c r="B1768">
        <v>1</v>
      </c>
      <c r="C1768">
        <v>38</v>
      </c>
      <c r="D1768">
        <v>1</v>
      </c>
      <c r="E1768">
        <v>165000</v>
      </c>
      <c r="F1768">
        <v>3593</v>
      </c>
      <c r="G1768">
        <v>1</v>
      </c>
      <c r="H1768">
        <v>0</v>
      </c>
      <c r="I1768">
        <v>0</v>
      </c>
      <c r="J1768">
        <v>17</v>
      </c>
      <c r="K1768">
        <v>1</v>
      </c>
      <c r="L1768">
        <f>Résultats!G$32+Résultats!G$33*Données!C1768+Résultats!G$34*Données!D1768+Résultats!G$35*Données!E1768+Résultats!G$36*Données!F1768+Résultats!G$37*Données!G1768+Résultats!G$38*Données!H1768+Résultats!G$39*Données!I1768</f>
        <v>136085.70693484126</v>
      </c>
      <c r="M1768">
        <f t="shared" si="108"/>
        <v>-4085.7069348412624</v>
      </c>
      <c r="Q1768">
        <v>181000</v>
      </c>
      <c r="R1768">
        <v>1</v>
      </c>
      <c r="S1768">
        <v>49</v>
      </c>
      <c r="T1768">
        <v>1</v>
      </c>
      <c r="U1768">
        <f t="shared" si="109"/>
        <v>12.154779351142624</v>
      </c>
      <c r="V1768">
        <f t="shared" si="110"/>
        <v>7.8054746252708567</v>
      </c>
      <c r="W1768">
        <v>1</v>
      </c>
      <c r="X1768">
        <v>0</v>
      </c>
      <c r="Y1768">
        <v>0</v>
      </c>
      <c r="Z1768">
        <f>'Résultat (Ln)'!F$30+'Résultat (Ln)'!F$31*Données!S1768+'Résultat (Ln)'!F$32*Données!T1768+'Résultat (Ln)'!F$33*Données!U1768+'Résultat (Ln)'!F$34*Données!V1768+'Résultat (Ln)'!F$35*Données!W1768+'Résultat (Ln)'!F$36*Données!X1768+'Résultat (Ln)'!F$37*Données!Y1768</f>
        <v>160762.00596951149</v>
      </c>
      <c r="AA1768">
        <f t="shared" si="111"/>
        <v>20237.994030488509</v>
      </c>
    </row>
    <row r="1769" spans="1:27" x14ac:dyDescent="0.25">
      <c r="A1769">
        <v>80000</v>
      </c>
      <c r="B1769">
        <v>1</v>
      </c>
      <c r="C1769">
        <v>52</v>
      </c>
      <c r="D1769">
        <v>0</v>
      </c>
      <c r="E1769">
        <v>150000</v>
      </c>
      <c r="F1769">
        <v>3400</v>
      </c>
      <c r="G1769">
        <v>1</v>
      </c>
      <c r="H1769">
        <v>0</v>
      </c>
      <c r="I1769">
        <v>1</v>
      </c>
      <c r="J1769">
        <v>35</v>
      </c>
      <c r="K1769">
        <v>1</v>
      </c>
      <c r="L1769">
        <f>Résultats!G$32+Résultats!G$33*Données!C1769+Résultats!G$34*Données!D1769+Résultats!G$35*Données!E1769+Résultats!G$36*Données!F1769+Résultats!G$37*Données!G1769+Résultats!G$38*Données!H1769+Résultats!G$39*Données!I1769</f>
        <v>149866.00839248762</v>
      </c>
      <c r="M1769">
        <f t="shared" si="108"/>
        <v>-69866.008392487623</v>
      </c>
      <c r="Q1769">
        <v>132000</v>
      </c>
      <c r="R1769">
        <v>1</v>
      </c>
      <c r="S1769">
        <v>38</v>
      </c>
      <c r="T1769">
        <v>1</v>
      </c>
      <c r="U1769">
        <f t="shared" si="109"/>
        <v>12.013700752882718</v>
      </c>
      <c r="V1769">
        <f t="shared" si="110"/>
        <v>8.1867427871135181</v>
      </c>
      <c r="W1769">
        <v>1</v>
      </c>
      <c r="X1769">
        <v>0</v>
      </c>
      <c r="Y1769">
        <v>0</v>
      </c>
      <c r="Z1769">
        <f>'Résultat (Ln)'!F$30+'Résultat (Ln)'!F$31*Données!S1769+'Résultat (Ln)'!F$32*Données!T1769+'Résultat (Ln)'!F$33*Données!U1769+'Résultat (Ln)'!F$34*Données!V1769+'Résultat (Ln)'!F$35*Données!W1769+'Résultat (Ln)'!F$36*Données!X1769+'Résultat (Ln)'!F$37*Données!Y1769</f>
        <v>142889.52295914941</v>
      </c>
      <c r="AA1769">
        <f t="shared" si="111"/>
        <v>-10889.522959149414</v>
      </c>
    </row>
    <row r="1770" spans="1:27" x14ac:dyDescent="0.25">
      <c r="A1770">
        <v>40000</v>
      </c>
      <c r="B1770">
        <v>1</v>
      </c>
      <c r="C1770">
        <v>16.5</v>
      </c>
      <c r="D1770">
        <v>0</v>
      </c>
      <c r="E1770">
        <v>363000</v>
      </c>
      <c r="F1770">
        <v>16000</v>
      </c>
      <c r="G1770">
        <v>0</v>
      </c>
      <c r="H1770">
        <v>0</v>
      </c>
      <c r="I1770">
        <v>1</v>
      </c>
      <c r="J1770">
        <v>5.4000000953674316</v>
      </c>
      <c r="K1770">
        <v>1</v>
      </c>
      <c r="L1770">
        <f>Résultats!G$32+Résultats!G$33*Données!C1770+Résultats!G$34*Données!D1770+Résultats!G$35*Données!E1770+Résultats!G$36*Données!F1770+Résultats!G$37*Données!G1770+Résultats!G$38*Données!H1770+Résultats!G$39*Données!I1770</f>
        <v>225948.75848855087</v>
      </c>
      <c r="M1770">
        <f t="shared" si="108"/>
        <v>-185948.75848855087</v>
      </c>
      <c r="Q1770">
        <v>80000</v>
      </c>
      <c r="R1770">
        <v>1</v>
      </c>
      <c r="S1770">
        <v>52</v>
      </c>
      <c r="T1770">
        <v>0</v>
      </c>
      <c r="U1770">
        <f t="shared" si="109"/>
        <v>11.918390573078392</v>
      </c>
      <c r="V1770">
        <f t="shared" si="110"/>
        <v>8.1315307106042525</v>
      </c>
      <c r="W1770">
        <v>1</v>
      </c>
      <c r="X1770">
        <v>0</v>
      </c>
      <c r="Y1770">
        <v>1</v>
      </c>
      <c r="Z1770">
        <f>'Résultat (Ln)'!F$30+'Résultat (Ln)'!F$31*Données!S1770+'Résultat (Ln)'!F$32*Données!T1770+'Résultat (Ln)'!F$33*Données!U1770+'Résultat (Ln)'!F$34*Données!V1770+'Résultat (Ln)'!F$35*Données!W1770+'Résultat (Ln)'!F$36*Données!X1770+'Résultat (Ln)'!F$37*Données!Y1770</f>
        <v>157970.92028649783</v>
      </c>
      <c r="AA1770">
        <f t="shared" si="111"/>
        <v>-77970.920286497829</v>
      </c>
    </row>
    <row r="1771" spans="1:27" x14ac:dyDescent="0.25">
      <c r="A1771">
        <v>26000</v>
      </c>
      <c r="B1771">
        <v>1</v>
      </c>
      <c r="C1771">
        <v>38</v>
      </c>
      <c r="D1771">
        <v>0</v>
      </c>
      <c r="E1771">
        <v>104000</v>
      </c>
      <c r="F1771">
        <v>5468</v>
      </c>
      <c r="G1771">
        <v>1</v>
      </c>
      <c r="H1771">
        <v>0</v>
      </c>
      <c r="I1771">
        <v>1</v>
      </c>
      <c r="J1771">
        <v>23</v>
      </c>
      <c r="K1771">
        <v>1</v>
      </c>
      <c r="L1771">
        <f>Résultats!G$32+Résultats!G$33*Données!C1771+Résultats!G$34*Données!D1771+Résultats!G$35*Données!E1771+Résultats!G$36*Données!F1771+Résultats!G$37*Données!G1771+Résultats!G$38*Données!H1771+Résultats!G$39*Données!I1771</f>
        <v>116312.11699828187</v>
      </c>
      <c r="M1771">
        <f t="shared" si="108"/>
        <v>-90312.116998281868</v>
      </c>
      <c r="Q1771">
        <v>40000</v>
      </c>
      <c r="R1771">
        <v>1</v>
      </c>
      <c r="S1771">
        <v>16.5</v>
      </c>
      <c r="T1771">
        <v>0</v>
      </c>
      <c r="U1771">
        <f t="shared" si="109"/>
        <v>12.802158113246987</v>
      </c>
      <c r="V1771">
        <f t="shared" si="110"/>
        <v>9.6803440012219184</v>
      </c>
      <c r="W1771">
        <v>0</v>
      </c>
      <c r="X1771">
        <v>0</v>
      </c>
      <c r="Y1771">
        <v>1</v>
      </c>
      <c r="Z1771">
        <f>'Résultat (Ln)'!F$30+'Résultat (Ln)'!F$31*Données!S1771+'Résultat (Ln)'!F$32*Données!T1771+'Résultat (Ln)'!F$33*Données!U1771+'Résultat (Ln)'!F$34*Données!V1771+'Résultat (Ln)'!F$35*Données!W1771+'Résultat (Ln)'!F$36*Données!X1771+'Résultat (Ln)'!F$37*Données!Y1771</f>
        <v>248248.09379251895</v>
      </c>
      <c r="AA1771">
        <f t="shared" si="111"/>
        <v>-208248.09379251895</v>
      </c>
    </row>
    <row r="1772" spans="1:27" x14ac:dyDescent="0.25">
      <c r="A1772">
        <v>90000</v>
      </c>
      <c r="B1772">
        <v>1</v>
      </c>
      <c r="C1772">
        <v>32.599998474121087</v>
      </c>
      <c r="D1772">
        <v>0</v>
      </c>
      <c r="E1772">
        <v>233000</v>
      </c>
      <c r="F1772">
        <v>5333</v>
      </c>
      <c r="G1772">
        <v>1</v>
      </c>
      <c r="H1772">
        <v>0</v>
      </c>
      <c r="I1772">
        <v>0</v>
      </c>
      <c r="J1772">
        <v>19.889999389648441</v>
      </c>
      <c r="K1772">
        <v>1</v>
      </c>
      <c r="L1772">
        <f>Résultats!G$32+Résultats!G$33*Données!C1772+Résultats!G$34*Données!D1772+Résultats!G$35*Données!E1772+Résultats!G$36*Données!F1772+Résultats!G$37*Données!G1772+Résultats!G$38*Données!H1772+Résultats!G$39*Données!I1772</f>
        <v>160159.20870573632</v>
      </c>
      <c r="M1772">
        <f t="shared" si="108"/>
        <v>-70159.208705736324</v>
      </c>
      <c r="Q1772">
        <v>26000</v>
      </c>
      <c r="R1772">
        <v>1</v>
      </c>
      <c r="S1772">
        <v>38</v>
      </c>
      <c r="T1772">
        <v>0</v>
      </c>
      <c r="U1772">
        <f t="shared" si="109"/>
        <v>11.552146178123509</v>
      </c>
      <c r="V1772">
        <f t="shared" si="110"/>
        <v>8.60666819784384</v>
      </c>
      <c r="W1772">
        <v>1</v>
      </c>
      <c r="X1772">
        <v>0</v>
      </c>
      <c r="Y1772">
        <v>1</v>
      </c>
      <c r="Z1772">
        <f>'Résultat (Ln)'!F$30+'Résultat (Ln)'!F$31*Données!S1772+'Résultat (Ln)'!F$32*Données!T1772+'Résultat (Ln)'!F$33*Données!U1772+'Résultat (Ln)'!F$34*Données!V1772+'Résultat (Ln)'!F$35*Données!W1772+'Résultat (Ln)'!F$36*Données!X1772+'Résultat (Ln)'!F$37*Données!Y1772</f>
        <v>114928.17891777885</v>
      </c>
      <c r="AA1772">
        <f t="shared" si="111"/>
        <v>-88928.178917778845</v>
      </c>
    </row>
    <row r="1773" spans="1:27" x14ac:dyDescent="0.25">
      <c r="A1773">
        <v>84000</v>
      </c>
      <c r="B1773">
        <v>1</v>
      </c>
      <c r="C1773">
        <v>31</v>
      </c>
      <c r="D1773">
        <v>0</v>
      </c>
      <c r="E1773">
        <v>105000</v>
      </c>
      <c r="F1773">
        <v>2667</v>
      </c>
      <c r="G1773">
        <v>0</v>
      </c>
      <c r="H1773">
        <v>0</v>
      </c>
      <c r="I1773">
        <v>0</v>
      </c>
      <c r="J1773">
        <v>21</v>
      </c>
      <c r="K1773">
        <v>0</v>
      </c>
      <c r="L1773">
        <f>Résultats!G$32+Résultats!G$33*Données!C1773+Résultats!G$34*Données!D1773+Résultats!G$35*Données!E1773+Résultats!G$36*Données!F1773+Résultats!G$37*Données!G1773+Résultats!G$38*Données!H1773+Résultats!G$39*Données!I1773</f>
        <v>86368.559863630857</v>
      </c>
      <c r="M1773">
        <f t="shared" si="108"/>
        <v>-2368.5598636308569</v>
      </c>
      <c r="Q1773">
        <v>90000</v>
      </c>
      <c r="R1773">
        <v>1</v>
      </c>
      <c r="S1773">
        <v>32.599998474121087</v>
      </c>
      <c r="T1773">
        <v>0</v>
      </c>
      <c r="U1773">
        <f t="shared" si="109"/>
        <v>12.358793732547838</v>
      </c>
      <c r="V1773">
        <f t="shared" si="110"/>
        <v>8.5816692106006016</v>
      </c>
      <c r="W1773">
        <v>1</v>
      </c>
      <c r="X1773">
        <v>0</v>
      </c>
      <c r="Y1773">
        <v>0</v>
      </c>
      <c r="Z1773">
        <f>'Résultat (Ln)'!F$30+'Résultat (Ln)'!F$31*Données!S1773+'Résultat (Ln)'!F$32*Données!T1773+'Résultat (Ln)'!F$33*Données!U1773+'Résultat (Ln)'!F$34*Données!V1773+'Résultat (Ln)'!F$35*Données!W1773+'Résultat (Ln)'!F$36*Données!X1773+'Résultat (Ln)'!F$37*Données!Y1773</f>
        <v>180010.14995129133</v>
      </c>
      <c r="AA1773">
        <f t="shared" si="111"/>
        <v>-90010.149951291329</v>
      </c>
    </row>
    <row r="1774" spans="1:27" x14ac:dyDescent="0.25">
      <c r="A1774">
        <v>260000</v>
      </c>
      <c r="B1774">
        <v>1</v>
      </c>
      <c r="C1774">
        <v>35</v>
      </c>
      <c r="D1774">
        <v>0</v>
      </c>
      <c r="E1774">
        <v>495000</v>
      </c>
      <c r="F1774">
        <v>10139</v>
      </c>
      <c r="G1774">
        <v>1</v>
      </c>
      <c r="H1774">
        <v>0</v>
      </c>
      <c r="I1774">
        <v>1</v>
      </c>
      <c r="J1774">
        <v>30</v>
      </c>
      <c r="K1774">
        <v>1</v>
      </c>
      <c r="L1774">
        <f>Résultats!G$32+Résultats!G$33*Données!C1774+Résultats!G$34*Données!D1774+Résultats!G$35*Données!E1774+Résultats!G$36*Données!F1774+Résultats!G$37*Données!G1774+Résultats!G$38*Données!H1774+Résultats!G$39*Données!I1774</f>
        <v>304496.23869736854</v>
      </c>
      <c r="M1774">
        <f t="shared" si="108"/>
        <v>-44496.238697368535</v>
      </c>
      <c r="Q1774">
        <v>84000</v>
      </c>
      <c r="R1774">
        <v>1</v>
      </c>
      <c r="S1774">
        <v>31</v>
      </c>
      <c r="T1774">
        <v>0</v>
      </c>
      <c r="U1774">
        <f t="shared" si="109"/>
        <v>11.561715629139661</v>
      </c>
      <c r="V1774">
        <f t="shared" si="110"/>
        <v>7.8887095241820147</v>
      </c>
      <c r="W1774">
        <v>0</v>
      </c>
      <c r="X1774">
        <v>0</v>
      </c>
      <c r="Y1774">
        <v>0</v>
      </c>
      <c r="Z1774">
        <f>'Résultat (Ln)'!F$30+'Résultat (Ln)'!F$31*Données!S1774+'Résultat (Ln)'!F$32*Données!T1774+'Résultat (Ln)'!F$33*Données!U1774+'Résultat (Ln)'!F$34*Données!V1774+'Résultat (Ln)'!F$35*Données!W1774+'Résultat (Ln)'!F$36*Données!X1774+'Résultat (Ln)'!F$37*Données!Y1774</f>
        <v>68663.012809355336</v>
      </c>
      <c r="AA1774">
        <f t="shared" si="111"/>
        <v>15336.987190644664</v>
      </c>
    </row>
    <row r="1775" spans="1:27" x14ac:dyDescent="0.25">
      <c r="A1775">
        <v>128000</v>
      </c>
      <c r="B1775">
        <v>1</v>
      </c>
      <c r="C1775">
        <v>35</v>
      </c>
      <c r="D1775">
        <v>0</v>
      </c>
      <c r="E1775">
        <v>160000</v>
      </c>
      <c r="F1775">
        <v>3594</v>
      </c>
      <c r="G1775">
        <v>1</v>
      </c>
      <c r="H1775">
        <v>0</v>
      </c>
      <c r="I1775">
        <v>0</v>
      </c>
      <c r="J1775">
        <v>22</v>
      </c>
      <c r="K1775">
        <v>1</v>
      </c>
      <c r="L1775">
        <f>Résultats!G$32+Résultats!G$33*Données!C1775+Résultats!G$34*Données!D1775+Résultats!G$35*Données!E1775+Résultats!G$36*Données!F1775+Résultats!G$37*Données!G1775+Résultats!G$38*Données!H1775+Résultats!G$39*Données!I1775</f>
        <v>125458.61852620017</v>
      </c>
      <c r="M1775">
        <f t="shared" si="108"/>
        <v>2541.3814737998327</v>
      </c>
      <c r="Q1775">
        <v>260000</v>
      </c>
      <c r="R1775">
        <v>1</v>
      </c>
      <c r="S1775">
        <v>35</v>
      </c>
      <c r="T1775">
        <v>0</v>
      </c>
      <c r="U1775">
        <f t="shared" si="109"/>
        <v>13.112313041550827</v>
      </c>
      <c r="V1775">
        <f t="shared" si="110"/>
        <v>9.2241446529525799</v>
      </c>
      <c r="W1775">
        <v>1</v>
      </c>
      <c r="X1775">
        <v>0</v>
      </c>
      <c r="Y1775">
        <v>1</v>
      </c>
      <c r="Z1775">
        <f>'Résultat (Ln)'!F$30+'Résultat (Ln)'!F$31*Données!S1775+'Résultat (Ln)'!F$32*Données!T1775+'Résultat (Ln)'!F$33*Données!U1775+'Résultat (Ln)'!F$34*Données!V1775+'Résultat (Ln)'!F$35*Données!W1775+'Résultat (Ln)'!F$36*Données!X1775+'Résultat (Ln)'!F$37*Données!Y1775</f>
        <v>295822.64336457633</v>
      </c>
      <c r="AA1775">
        <f t="shared" si="111"/>
        <v>-35822.643364576332</v>
      </c>
    </row>
    <row r="1776" spans="1:27" x14ac:dyDescent="0.25">
      <c r="A1776">
        <v>177000</v>
      </c>
      <c r="B1776">
        <v>1</v>
      </c>
      <c r="C1776">
        <v>41</v>
      </c>
      <c r="D1776">
        <v>0</v>
      </c>
      <c r="E1776">
        <v>221000</v>
      </c>
      <c r="F1776">
        <v>5580</v>
      </c>
      <c r="G1776">
        <v>1</v>
      </c>
      <c r="H1776">
        <v>0</v>
      </c>
      <c r="I1776">
        <v>0</v>
      </c>
      <c r="J1776">
        <v>23</v>
      </c>
      <c r="K1776">
        <v>1</v>
      </c>
      <c r="L1776">
        <f>Résultats!G$32+Résultats!G$33*Données!C1776+Résultats!G$34*Données!D1776+Résultats!G$35*Données!E1776+Résultats!G$36*Données!F1776+Résultats!G$37*Données!G1776+Résultats!G$38*Données!H1776+Résultats!G$39*Données!I1776</f>
        <v>164683.23589832743</v>
      </c>
      <c r="M1776">
        <f t="shared" si="108"/>
        <v>12316.764101672568</v>
      </c>
      <c r="Q1776">
        <v>128000</v>
      </c>
      <c r="R1776">
        <v>1</v>
      </c>
      <c r="S1776">
        <v>35</v>
      </c>
      <c r="T1776">
        <v>0</v>
      </c>
      <c r="U1776">
        <f t="shared" si="109"/>
        <v>11.982929094215963</v>
      </c>
      <c r="V1776">
        <f t="shared" si="110"/>
        <v>8.1870210673435047</v>
      </c>
      <c r="W1776">
        <v>1</v>
      </c>
      <c r="X1776">
        <v>0</v>
      </c>
      <c r="Y1776">
        <v>0</v>
      </c>
      <c r="Z1776">
        <f>'Résultat (Ln)'!F$30+'Résultat (Ln)'!F$31*Données!S1776+'Résultat (Ln)'!F$32*Données!T1776+'Résultat (Ln)'!F$33*Données!U1776+'Résultat (Ln)'!F$34*Données!V1776+'Résultat (Ln)'!F$35*Données!W1776+'Résultat (Ln)'!F$36*Données!X1776+'Résultat (Ln)'!F$37*Données!Y1776</f>
        <v>131583.80726412972</v>
      </c>
      <c r="AA1776">
        <f t="shared" si="111"/>
        <v>-3583.8072641297185</v>
      </c>
    </row>
    <row r="1777" spans="1:27" x14ac:dyDescent="0.25">
      <c r="A1777">
        <v>162000</v>
      </c>
      <c r="B1777">
        <v>1</v>
      </c>
      <c r="C1777">
        <v>35</v>
      </c>
      <c r="D1777">
        <v>0</v>
      </c>
      <c r="E1777">
        <v>180000</v>
      </c>
      <c r="F1777">
        <v>3887</v>
      </c>
      <c r="G1777">
        <v>1</v>
      </c>
      <c r="H1777">
        <v>0</v>
      </c>
      <c r="I1777">
        <v>0</v>
      </c>
      <c r="J1777">
        <v>23.70000076293945</v>
      </c>
      <c r="K1777">
        <v>1</v>
      </c>
      <c r="L1777">
        <f>Résultats!G$32+Résultats!G$33*Données!C1777+Résultats!G$34*Données!D1777+Résultats!G$35*Données!E1777+Résultats!G$36*Données!F1777+Résultats!G$37*Données!G1777+Résultats!G$38*Données!H1777+Résultats!G$39*Données!I1777</f>
        <v>135365.45559781903</v>
      </c>
      <c r="M1777">
        <f t="shared" si="108"/>
        <v>26634.544402180967</v>
      </c>
      <c r="Q1777">
        <v>177000</v>
      </c>
      <c r="R1777">
        <v>1</v>
      </c>
      <c r="S1777">
        <v>41</v>
      </c>
      <c r="T1777">
        <v>0</v>
      </c>
      <c r="U1777">
        <f t="shared" si="109"/>
        <v>12.30591798049989</v>
      </c>
      <c r="V1777">
        <f t="shared" si="110"/>
        <v>8.6269440553753558</v>
      </c>
      <c r="W1777">
        <v>1</v>
      </c>
      <c r="X1777">
        <v>0</v>
      </c>
      <c r="Y1777">
        <v>0</v>
      </c>
      <c r="Z1777">
        <f>'Résultat (Ln)'!F$30+'Résultat (Ln)'!F$31*Données!S1777+'Résultat (Ln)'!F$32*Données!T1777+'Résultat (Ln)'!F$33*Données!U1777+'Résultat (Ln)'!F$34*Données!V1777+'Résultat (Ln)'!F$35*Données!W1777+'Résultat (Ln)'!F$36*Données!X1777+'Résultat (Ln)'!F$37*Données!Y1777</f>
        <v>185877.01869004744</v>
      </c>
      <c r="AA1777">
        <f t="shared" si="111"/>
        <v>-8877.0186900474364</v>
      </c>
    </row>
    <row r="1778" spans="1:27" x14ac:dyDescent="0.25">
      <c r="A1778">
        <v>122000</v>
      </c>
      <c r="B1778">
        <v>1</v>
      </c>
      <c r="C1778">
        <v>39</v>
      </c>
      <c r="D1778">
        <v>0</v>
      </c>
      <c r="E1778">
        <v>135000</v>
      </c>
      <c r="F1778">
        <v>3633</v>
      </c>
      <c r="G1778">
        <v>0</v>
      </c>
      <c r="H1778">
        <v>0</v>
      </c>
      <c r="I1778">
        <v>1</v>
      </c>
      <c r="J1778">
        <v>32</v>
      </c>
      <c r="K1778">
        <v>0</v>
      </c>
      <c r="L1778">
        <f>Résultats!G$32+Résultats!G$33*Données!C1778+Résultats!G$34*Données!D1778+Résultats!G$35*Données!E1778+Résultats!G$36*Données!F1778+Résultats!G$37*Données!G1778+Résultats!G$38*Données!H1778+Résultats!G$39*Données!I1778</f>
        <v>121363.88040904026</v>
      </c>
      <c r="M1778">
        <f t="shared" si="108"/>
        <v>636.11959095974453</v>
      </c>
      <c r="Q1778">
        <v>162000</v>
      </c>
      <c r="R1778">
        <v>1</v>
      </c>
      <c r="S1778">
        <v>35</v>
      </c>
      <c r="T1778">
        <v>0</v>
      </c>
      <c r="U1778">
        <f t="shared" si="109"/>
        <v>12.100712129872347</v>
      </c>
      <c r="V1778">
        <f t="shared" si="110"/>
        <v>8.265392930852224</v>
      </c>
      <c r="W1778">
        <v>1</v>
      </c>
      <c r="X1778">
        <v>0</v>
      </c>
      <c r="Y1778">
        <v>0</v>
      </c>
      <c r="Z1778">
        <f>'Résultat (Ln)'!F$30+'Résultat (Ln)'!F$31*Données!S1778+'Résultat (Ln)'!F$32*Données!T1778+'Résultat (Ln)'!F$33*Données!U1778+'Résultat (Ln)'!F$34*Données!V1778+'Résultat (Ln)'!F$35*Données!W1778+'Résultat (Ln)'!F$36*Données!X1778+'Résultat (Ln)'!F$37*Données!Y1778</f>
        <v>146407.6275340424</v>
      </c>
      <c r="AA1778">
        <f t="shared" si="111"/>
        <v>15592.372465957596</v>
      </c>
    </row>
    <row r="1779" spans="1:27" x14ac:dyDescent="0.25">
      <c r="A1779">
        <v>140000</v>
      </c>
      <c r="B1779">
        <v>1</v>
      </c>
      <c r="C1779">
        <v>36</v>
      </c>
      <c r="D1779">
        <v>0</v>
      </c>
      <c r="E1779">
        <v>175000</v>
      </c>
      <c r="F1779">
        <v>4489</v>
      </c>
      <c r="G1779">
        <v>0</v>
      </c>
      <c r="H1779">
        <v>0</v>
      </c>
      <c r="I1779">
        <v>0</v>
      </c>
      <c r="J1779">
        <v>33</v>
      </c>
      <c r="K1779">
        <v>0</v>
      </c>
      <c r="L1779">
        <f>Résultats!G$32+Résultats!G$33*Données!C1779+Résultats!G$34*Données!D1779+Résultats!G$35*Données!E1779+Résultats!G$36*Données!F1779+Résultats!G$37*Données!G1779+Résultats!G$38*Données!H1779+Résultats!G$39*Données!I1779</f>
        <v>128329.28914671003</v>
      </c>
      <c r="M1779">
        <f t="shared" si="108"/>
        <v>11670.710853289973</v>
      </c>
      <c r="Q1779">
        <v>122000</v>
      </c>
      <c r="R1779">
        <v>1</v>
      </c>
      <c r="S1779">
        <v>39</v>
      </c>
      <c r="T1779">
        <v>0</v>
      </c>
      <c r="U1779">
        <f t="shared" si="109"/>
        <v>11.813030057420567</v>
      </c>
      <c r="V1779">
        <f t="shared" si="110"/>
        <v>8.1978140322212028</v>
      </c>
      <c r="W1779">
        <v>0</v>
      </c>
      <c r="X1779">
        <v>0</v>
      </c>
      <c r="Y1779">
        <v>1</v>
      </c>
      <c r="Z1779">
        <f>'Résultat (Ln)'!F$30+'Résultat (Ln)'!F$31*Données!S1779+'Résultat (Ln)'!F$32*Données!T1779+'Résultat (Ln)'!F$33*Données!U1779+'Résultat (Ln)'!F$34*Données!V1779+'Résultat (Ln)'!F$35*Données!W1779+'Résultat (Ln)'!F$36*Données!X1779+'Résultat (Ln)'!F$37*Données!Y1779</f>
        <v>128135.14497829121</v>
      </c>
      <c r="AA1779">
        <f t="shared" si="111"/>
        <v>-6135.1449782912096</v>
      </c>
    </row>
    <row r="1780" spans="1:27" x14ac:dyDescent="0.25">
      <c r="A1780">
        <v>180000</v>
      </c>
      <c r="B1780">
        <v>1</v>
      </c>
      <c r="C1780">
        <v>28</v>
      </c>
      <c r="D1780">
        <v>0</v>
      </c>
      <c r="E1780">
        <v>380000</v>
      </c>
      <c r="F1780">
        <v>8140</v>
      </c>
      <c r="G1780">
        <v>1</v>
      </c>
      <c r="H1780">
        <v>0</v>
      </c>
      <c r="I1780">
        <v>1</v>
      </c>
      <c r="J1780">
        <v>22</v>
      </c>
      <c r="K1780">
        <v>1</v>
      </c>
      <c r="L1780">
        <f>Résultats!G$32+Résultats!G$33*Données!C1780+Résultats!G$34*Données!D1780+Résultats!G$35*Données!E1780+Résultats!G$36*Données!F1780+Résultats!G$37*Données!G1780+Résultats!G$38*Données!H1780+Résultats!G$39*Données!I1780</f>
        <v>238882.2832020472</v>
      </c>
      <c r="M1780">
        <f t="shared" si="108"/>
        <v>-58882.283202047198</v>
      </c>
      <c r="Q1780">
        <v>140000</v>
      </c>
      <c r="R1780">
        <v>1</v>
      </c>
      <c r="S1780">
        <v>36</v>
      </c>
      <c r="T1780">
        <v>0</v>
      </c>
      <c r="U1780">
        <f t="shared" si="109"/>
        <v>12.072541252905651</v>
      </c>
      <c r="V1780">
        <f t="shared" si="110"/>
        <v>8.4093852387819314</v>
      </c>
      <c r="W1780">
        <v>0</v>
      </c>
      <c r="X1780">
        <v>0</v>
      </c>
      <c r="Y1780">
        <v>0</v>
      </c>
      <c r="Z1780">
        <f>'Résultat (Ln)'!F$30+'Résultat (Ln)'!F$31*Données!S1780+'Résultat (Ln)'!F$32*Données!T1780+'Résultat (Ln)'!F$33*Données!U1780+'Résultat (Ln)'!F$34*Données!V1780+'Résultat (Ln)'!F$35*Données!W1780+'Résultat (Ln)'!F$36*Données!X1780+'Résultat (Ln)'!F$37*Données!Y1780</f>
        <v>144134.22297274365</v>
      </c>
      <c r="AA1780">
        <f t="shared" si="111"/>
        <v>-4134.2229727436497</v>
      </c>
    </row>
    <row r="1781" spans="1:27" x14ac:dyDescent="0.25">
      <c r="A1781">
        <v>95000</v>
      </c>
      <c r="B1781">
        <v>1</v>
      </c>
      <c r="C1781">
        <v>35.099998474121087</v>
      </c>
      <c r="D1781">
        <v>0</v>
      </c>
      <c r="E1781">
        <v>175000</v>
      </c>
      <c r="F1781">
        <v>2875</v>
      </c>
      <c r="G1781">
        <v>0</v>
      </c>
      <c r="H1781">
        <v>0</v>
      </c>
      <c r="I1781">
        <v>1</v>
      </c>
      <c r="J1781">
        <v>25.690000534057621</v>
      </c>
      <c r="K1781">
        <v>1</v>
      </c>
      <c r="L1781">
        <f>Résultats!G$32+Résultats!G$33*Données!C1781+Résultats!G$34*Données!D1781+Résultats!G$35*Données!E1781+Résultats!G$36*Données!F1781+Résultats!G$37*Données!G1781+Résultats!G$38*Données!H1781+Résultats!G$39*Données!I1781</f>
        <v>134093.35210141109</v>
      </c>
      <c r="M1781">
        <f t="shared" si="108"/>
        <v>-39093.352101411088</v>
      </c>
      <c r="Q1781">
        <v>180000</v>
      </c>
      <c r="R1781">
        <v>1</v>
      </c>
      <c r="S1781">
        <v>28</v>
      </c>
      <c r="T1781">
        <v>0</v>
      </c>
      <c r="U1781">
        <f t="shared" si="109"/>
        <v>12.847926531702569</v>
      </c>
      <c r="V1781">
        <f t="shared" si="110"/>
        <v>9.0045454589965868</v>
      </c>
      <c r="W1781">
        <v>1</v>
      </c>
      <c r="X1781">
        <v>0</v>
      </c>
      <c r="Y1781">
        <v>1</v>
      </c>
      <c r="Z1781">
        <f>'Résultat (Ln)'!F$30+'Résultat (Ln)'!F$31*Données!S1781+'Résultat (Ln)'!F$32*Données!T1781+'Résultat (Ln)'!F$33*Données!U1781+'Résultat (Ln)'!F$34*Données!V1781+'Résultat (Ln)'!F$35*Données!W1781+'Résultat (Ln)'!F$36*Données!X1781+'Résultat (Ln)'!F$37*Données!Y1781</f>
        <v>252768.4613986531</v>
      </c>
      <c r="AA1781">
        <f t="shared" si="111"/>
        <v>-72768.461398653104</v>
      </c>
    </row>
    <row r="1782" spans="1:27" x14ac:dyDescent="0.25">
      <c r="A1782">
        <v>122000</v>
      </c>
      <c r="B1782">
        <v>1</v>
      </c>
      <c r="C1782">
        <v>35</v>
      </c>
      <c r="D1782">
        <v>0</v>
      </c>
      <c r="E1782">
        <v>135000</v>
      </c>
      <c r="F1782">
        <v>2600</v>
      </c>
      <c r="G1782">
        <v>1</v>
      </c>
      <c r="H1782">
        <v>0</v>
      </c>
      <c r="I1782">
        <v>1</v>
      </c>
      <c r="J1782">
        <v>29</v>
      </c>
      <c r="K1782">
        <v>1</v>
      </c>
      <c r="L1782">
        <f>Résultats!G$32+Résultats!G$33*Données!C1782+Résultats!G$34*Données!D1782+Résultats!G$35*Données!E1782+Résultats!G$36*Données!F1782+Résultats!G$37*Données!G1782+Résultats!G$38*Données!H1782+Résultats!G$39*Données!I1782</f>
        <v>121784.08302479221</v>
      </c>
      <c r="M1782">
        <f t="shared" si="108"/>
        <v>215.91697520778689</v>
      </c>
      <c r="Q1782">
        <v>95000</v>
      </c>
      <c r="R1782">
        <v>1</v>
      </c>
      <c r="S1782">
        <v>35.099998474121087</v>
      </c>
      <c r="T1782">
        <v>0</v>
      </c>
      <c r="U1782">
        <f t="shared" si="109"/>
        <v>12.072541252905651</v>
      </c>
      <c r="V1782">
        <f t="shared" si="110"/>
        <v>7.9638079532314512</v>
      </c>
      <c r="W1782">
        <v>0</v>
      </c>
      <c r="X1782">
        <v>0</v>
      </c>
      <c r="Y1782">
        <v>1</v>
      </c>
      <c r="Z1782">
        <f>'Résultat (Ln)'!F$30+'Résultat (Ln)'!F$31*Données!S1782+'Résultat (Ln)'!F$32*Données!T1782+'Résultat (Ln)'!F$33*Données!U1782+'Résultat (Ln)'!F$34*Données!V1782+'Résultat (Ln)'!F$35*Données!W1782+'Résultat (Ln)'!F$36*Données!X1782+'Résultat (Ln)'!F$37*Données!Y1782</f>
        <v>144624.74689211656</v>
      </c>
      <c r="AA1782">
        <f t="shared" si="111"/>
        <v>-49624.746892116556</v>
      </c>
    </row>
    <row r="1783" spans="1:27" x14ac:dyDescent="0.25">
      <c r="A1783">
        <v>182000</v>
      </c>
      <c r="B1783">
        <v>1</v>
      </c>
      <c r="C1783">
        <v>30.20000076293945</v>
      </c>
      <c r="D1783">
        <v>0</v>
      </c>
      <c r="E1783">
        <v>232000</v>
      </c>
      <c r="F1783">
        <v>4180</v>
      </c>
      <c r="G1783">
        <v>1</v>
      </c>
      <c r="H1783">
        <v>0</v>
      </c>
      <c r="I1783">
        <v>0</v>
      </c>
      <c r="J1783">
        <v>28.5</v>
      </c>
      <c r="K1783">
        <v>0</v>
      </c>
      <c r="L1783">
        <f>Résultats!G$32+Résultats!G$33*Données!C1783+Résultats!G$34*Données!D1783+Résultats!G$35*Données!E1783+Résultats!G$36*Données!F1783+Résultats!G$37*Données!G1783+Résultats!G$38*Données!H1783+Résultats!G$39*Données!I1783</f>
        <v>154701.18032356256</v>
      </c>
      <c r="M1783">
        <f t="shared" si="108"/>
        <v>27298.819676437444</v>
      </c>
      <c r="Q1783">
        <v>122000</v>
      </c>
      <c r="R1783">
        <v>1</v>
      </c>
      <c r="S1783">
        <v>35</v>
      </c>
      <c r="T1783">
        <v>0</v>
      </c>
      <c r="U1783">
        <f t="shared" si="109"/>
        <v>11.813030057420567</v>
      </c>
      <c r="V1783">
        <f t="shared" si="110"/>
        <v>7.8632667240095735</v>
      </c>
      <c r="W1783">
        <v>1</v>
      </c>
      <c r="X1783">
        <v>0</v>
      </c>
      <c r="Y1783">
        <v>1</v>
      </c>
      <c r="Z1783">
        <f>'Résultat (Ln)'!F$30+'Résultat (Ln)'!F$31*Données!S1783+'Résultat (Ln)'!F$32*Données!T1783+'Résultat (Ln)'!F$33*Données!U1783+'Résultat (Ln)'!F$34*Données!V1783+'Résultat (Ln)'!F$35*Données!W1783+'Résultat (Ln)'!F$36*Données!X1783+'Résultat (Ln)'!F$37*Données!Y1783</f>
        <v>118378.36744836917</v>
      </c>
      <c r="AA1783">
        <f t="shared" si="111"/>
        <v>3621.6325516308279</v>
      </c>
    </row>
    <row r="1784" spans="1:27" x14ac:dyDescent="0.25">
      <c r="A1784">
        <v>150000</v>
      </c>
      <c r="B1784">
        <v>1</v>
      </c>
      <c r="C1784">
        <v>32.400001525878913</v>
      </c>
      <c r="D1784">
        <v>0</v>
      </c>
      <c r="E1784">
        <v>209899.9938964844</v>
      </c>
      <c r="F1784">
        <v>5041</v>
      </c>
      <c r="G1784">
        <v>1</v>
      </c>
      <c r="H1784">
        <v>0</v>
      </c>
      <c r="I1784">
        <v>0</v>
      </c>
      <c r="J1784">
        <v>26.5</v>
      </c>
      <c r="K1784">
        <v>1</v>
      </c>
      <c r="L1784">
        <f>Résultats!G$32+Résultats!G$33*Données!C1784+Résultats!G$34*Données!D1784+Résultats!G$35*Données!E1784+Résultats!G$36*Données!F1784+Résultats!G$37*Données!G1784+Résultats!G$38*Données!H1784+Résultats!G$39*Données!I1784</f>
        <v>148577.02086818183</v>
      </c>
      <c r="M1784">
        <f t="shared" si="108"/>
        <v>1422.9791318181669</v>
      </c>
      <c r="Q1784">
        <v>182000</v>
      </c>
      <c r="R1784">
        <v>1</v>
      </c>
      <c r="S1784">
        <v>30.20000076293945</v>
      </c>
      <c r="T1784">
        <v>0</v>
      </c>
      <c r="U1784">
        <f t="shared" si="109"/>
        <v>12.354492650648448</v>
      </c>
      <c r="V1784">
        <f t="shared" si="110"/>
        <v>8.3380665255188013</v>
      </c>
      <c r="W1784">
        <v>1</v>
      </c>
      <c r="X1784">
        <v>0</v>
      </c>
      <c r="Y1784">
        <v>0</v>
      </c>
      <c r="Z1784">
        <f>'Résultat (Ln)'!F$30+'Résultat (Ln)'!F$31*Données!S1784+'Résultat (Ln)'!F$32*Données!T1784+'Résultat (Ln)'!F$33*Données!U1784+'Résultat (Ln)'!F$34*Données!V1784+'Résultat (Ln)'!F$35*Données!W1784+'Résultat (Ln)'!F$36*Données!X1784+'Résultat (Ln)'!F$37*Données!Y1784</f>
        <v>169784.16705980842</v>
      </c>
      <c r="AA1784">
        <f t="shared" si="111"/>
        <v>12215.832940191583</v>
      </c>
    </row>
    <row r="1785" spans="1:27" x14ac:dyDescent="0.25">
      <c r="A1785">
        <v>150000</v>
      </c>
      <c r="B1785">
        <v>1</v>
      </c>
      <c r="C1785">
        <v>20</v>
      </c>
      <c r="D1785">
        <v>0</v>
      </c>
      <c r="E1785">
        <v>285000</v>
      </c>
      <c r="F1785">
        <v>6958</v>
      </c>
      <c r="G1785">
        <v>1</v>
      </c>
      <c r="H1785">
        <v>0</v>
      </c>
      <c r="I1785">
        <v>0</v>
      </c>
      <c r="J1785">
        <v>20</v>
      </c>
      <c r="K1785">
        <v>1</v>
      </c>
      <c r="L1785">
        <f>Résultats!G$32+Résultats!G$33*Données!C1785+Résultats!G$34*Données!D1785+Résultats!G$35*Données!E1785+Résultats!G$36*Données!F1785+Résultats!G$37*Données!G1785+Résultats!G$38*Données!H1785+Résultats!G$39*Données!I1785</f>
        <v>173116.43812191425</v>
      </c>
      <c r="M1785">
        <f t="shared" si="108"/>
        <v>-23116.438121914252</v>
      </c>
      <c r="Q1785">
        <v>150000</v>
      </c>
      <c r="R1785">
        <v>1</v>
      </c>
      <c r="S1785">
        <v>32.400001525878913</v>
      </c>
      <c r="T1785">
        <v>0</v>
      </c>
      <c r="U1785">
        <f t="shared" si="109"/>
        <v>12.254386476730517</v>
      </c>
      <c r="V1785">
        <f t="shared" si="110"/>
        <v>8.5253597540826309</v>
      </c>
      <c r="W1785">
        <v>1</v>
      </c>
      <c r="X1785">
        <v>0</v>
      </c>
      <c r="Y1785">
        <v>0</v>
      </c>
      <c r="Z1785">
        <f>'Résultat (Ln)'!F$30+'Résultat (Ln)'!F$31*Données!S1785+'Résultat (Ln)'!F$32*Données!T1785+'Résultat (Ln)'!F$33*Données!U1785+'Résultat (Ln)'!F$34*Données!V1785+'Résultat (Ln)'!F$35*Données!W1785+'Résultat (Ln)'!F$36*Données!X1785+'Résultat (Ln)'!F$37*Données!Y1785</f>
        <v>166994.50720954192</v>
      </c>
      <c r="AA1785">
        <f t="shared" si="111"/>
        <v>-16994.507209541916</v>
      </c>
    </row>
    <row r="1786" spans="1:27" x14ac:dyDescent="0.25">
      <c r="A1786">
        <v>108000</v>
      </c>
      <c r="B1786">
        <v>1</v>
      </c>
      <c r="C1786">
        <v>33</v>
      </c>
      <c r="D1786">
        <v>0</v>
      </c>
      <c r="E1786">
        <v>120000</v>
      </c>
      <c r="F1786">
        <v>3675</v>
      </c>
      <c r="G1786">
        <v>1</v>
      </c>
      <c r="H1786">
        <v>0</v>
      </c>
      <c r="I1786">
        <v>0</v>
      </c>
      <c r="J1786">
        <v>30</v>
      </c>
      <c r="K1786">
        <v>1</v>
      </c>
      <c r="L1786">
        <f>Résultats!G$32+Résultats!G$33*Données!C1786+Résultats!G$34*Données!D1786+Résultats!G$35*Données!E1786+Résultats!G$36*Données!F1786+Résultats!G$37*Données!G1786+Résultats!G$38*Données!H1786+Résultats!G$39*Données!I1786</f>
        <v>104640.10779768613</v>
      </c>
      <c r="M1786">
        <f t="shared" si="108"/>
        <v>3359.892202313873</v>
      </c>
      <c r="Q1786">
        <v>150000</v>
      </c>
      <c r="R1786">
        <v>1</v>
      </c>
      <c r="S1786">
        <v>20</v>
      </c>
      <c r="T1786">
        <v>0</v>
      </c>
      <c r="U1786">
        <f t="shared" si="109"/>
        <v>12.560244459250788</v>
      </c>
      <c r="V1786">
        <f t="shared" si="110"/>
        <v>8.8476473557118869</v>
      </c>
      <c r="W1786">
        <v>1</v>
      </c>
      <c r="X1786">
        <v>0</v>
      </c>
      <c r="Y1786">
        <v>0</v>
      </c>
      <c r="Z1786">
        <f>'Résultat (Ln)'!F$30+'Résultat (Ln)'!F$31*Données!S1786+'Résultat (Ln)'!F$32*Données!T1786+'Résultat (Ln)'!F$33*Données!U1786+'Résultat (Ln)'!F$34*Données!V1786+'Résultat (Ln)'!F$35*Données!W1786+'Résultat (Ln)'!F$36*Données!X1786+'Résultat (Ln)'!F$37*Données!Y1786</f>
        <v>193666.6283177603</v>
      </c>
      <c r="AA1786">
        <f t="shared" si="111"/>
        <v>-43666.628317760304</v>
      </c>
    </row>
    <row r="1787" spans="1:27" x14ac:dyDescent="0.25">
      <c r="A1787">
        <v>170000</v>
      </c>
      <c r="B1787">
        <v>1</v>
      </c>
      <c r="C1787">
        <v>37.799999237060547</v>
      </c>
      <c r="D1787">
        <v>0</v>
      </c>
      <c r="E1787">
        <v>189000</v>
      </c>
      <c r="F1787">
        <v>8125</v>
      </c>
      <c r="G1787">
        <v>1</v>
      </c>
      <c r="H1787">
        <v>0</v>
      </c>
      <c r="I1787">
        <v>0</v>
      </c>
      <c r="J1787">
        <v>22.5</v>
      </c>
      <c r="K1787">
        <v>1</v>
      </c>
      <c r="L1787">
        <f>Résultats!G$32+Résultats!G$33*Données!C1787+Résultats!G$34*Données!D1787+Résultats!G$35*Données!E1787+Résultats!G$36*Données!F1787+Résultats!G$37*Données!G1787+Résultats!G$38*Données!H1787+Résultats!G$39*Données!I1787</f>
        <v>150996.65405710947</v>
      </c>
      <c r="M1787">
        <f t="shared" si="108"/>
        <v>19003.345942890533</v>
      </c>
      <c r="Q1787">
        <v>108000</v>
      </c>
      <c r="R1787">
        <v>1</v>
      </c>
      <c r="S1787">
        <v>33</v>
      </c>
      <c r="T1787">
        <v>0</v>
      </c>
      <c r="U1787">
        <f t="shared" si="109"/>
        <v>11.695247021764184</v>
      </c>
      <c r="V1787">
        <f t="shared" si="110"/>
        <v>8.209308411646937</v>
      </c>
      <c r="W1787">
        <v>1</v>
      </c>
      <c r="X1787">
        <v>0</v>
      </c>
      <c r="Y1787">
        <v>0</v>
      </c>
      <c r="Z1787">
        <f>'Résultat (Ln)'!F$30+'Résultat (Ln)'!F$31*Données!S1787+'Résultat (Ln)'!F$32*Données!T1787+'Résultat (Ln)'!F$33*Données!U1787+'Résultat (Ln)'!F$34*Données!V1787+'Résultat (Ln)'!F$35*Données!W1787+'Résultat (Ln)'!F$36*Données!X1787+'Résultat (Ln)'!F$37*Données!Y1787</f>
        <v>98926.548871148567</v>
      </c>
      <c r="AA1787">
        <f t="shared" si="111"/>
        <v>9073.4511288514332</v>
      </c>
    </row>
    <row r="1788" spans="1:27" x14ac:dyDescent="0.25">
      <c r="A1788">
        <v>159000</v>
      </c>
      <c r="B1788">
        <v>1</v>
      </c>
      <c r="C1788">
        <v>28</v>
      </c>
      <c r="D1788">
        <v>0</v>
      </c>
      <c r="E1788">
        <v>212000</v>
      </c>
      <c r="F1788">
        <v>7506</v>
      </c>
      <c r="G1788">
        <v>0</v>
      </c>
      <c r="H1788">
        <v>1</v>
      </c>
      <c r="I1788">
        <v>0</v>
      </c>
      <c r="J1788">
        <v>27</v>
      </c>
      <c r="K1788">
        <v>0</v>
      </c>
      <c r="L1788">
        <f>Résultats!G$32+Résultats!G$33*Données!C1788+Résultats!G$34*Données!D1788+Résultats!G$35*Données!E1788+Résultats!G$36*Données!F1788+Résultats!G$37*Données!G1788+Résultats!G$38*Données!H1788+Résultats!G$39*Données!I1788</f>
        <v>140638.22505796302</v>
      </c>
      <c r="M1788">
        <f t="shared" si="108"/>
        <v>18361.77494203698</v>
      </c>
      <c r="Q1788">
        <v>170000</v>
      </c>
      <c r="R1788">
        <v>1</v>
      </c>
      <c r="S1788">
        <v>37.799999237060547</v>
      </c>
      <c r="T1788">
        <v>0</v>
      </c>
      <c r="U1788">
        <f t="shared" si="109"/>
        <v>12.149502294041779</v>
      </c>
      <c r="V1788">
        <f t="shared" si="110"/>
        <v>9.0027010071979383</v>
      </c>
      <c r="W1788">
        <v>1</v>
      </c>
      <c r="X1788">
        <v>0</v>
      </c>
      <c r="Y1788">
        <v>0</v>
      </c>
      <c r="Z1788">
        <f>'Résultat (Ln)'!F$30+'Résultat (Ln)'!F$31*Données!S1788+'Résultat (Ln)'!F$32*Données!T1788+'Résultat (Ln)'!F$33*Données!U1788+'Résultat (Ln)'!F$34*Données!V1788+'Résultat (Ln)'!F$35*Données!W1788+'Résultat (Ln)'!F$36*Données!X1788+'Résultat (Ln)'!F$37*Données!Y1788</f>
        <v>175737.82019845236</v>
      </c>
      <c r="AA1788">
        <f t="shared" si="111"/>
        <v>-5737.8201984523621</v>
      </c>
    </row>
    <row r="1789" spans="1:27" x14ac:dyDescent="0.25">
      <c r="A1789">
        <v>100000</v>
      </c>
      <c r="B1789">
        <v>1</v>
      </c>
      <c r="C1789">
        <v>25</v>
      </c>
      <c r="D1789">
        <v>0</v>
      </c>
      <c r="E1789">
        <v>128000</v>
      </c>
      <c r="F1789">
        <v>4702</v>
      </c>
      <c r="G1789">
        <v>1</v>
      </c>
      <c r="H1789">
        <v>0</v>
      </c>
      <c r="I1789">
        <v>1</v>
      </c>
      <c r="J1789">
        <v>23</v>
      </c>
      <c r="K1789">
        <v>1</v>
      </c>
      <c r="L1789">
        <f>Résultats!G$32+Résultats!G$33*Données!C1789+Résultats!G$34*Données!D1789+Résultats!G$35*Données!E1789+Résultats!G$36*Données!F1789+Résultats!G$37*Données!G1789+Résultats!G$38*Données!H1789+Résultats!G$39*Données!I1789</f>
        <v>111101.93539572526</v>
      </c>
      <c r="M1789">
        <f t="shared" si="108"/>
        <v>-11101.935395725261</v>
      </c>
      <c r="Q1789">
        <v>159000</v>
      </c>
      <c r="R1789">
        <v>1</v>
      </c>
      <c r="S1789">
        <v>28</v>
      </c>
      <c r="T1789">
        <v>0</v>
      </c>
      <c r="U1789">
        <f t="shared" si="109"/>
        <v>12.26434155365415</v>
      </c>
      <c r="V1789">
        <f t="shared" si="110"/>
        <v>8.923457979694966</v>
      </c>
      <c r="W1789">
        <v>0</v>
      </c>
      <c r="X1789">
        <v>1</v>
      </c>
      <c r="Y1789">
        <v>0</v>
      </c>
      <c r="Z1789">
        <f>'Résultat (Ln)'!F$30+'Résultat (Ln)'!F$31*Données!S1789+'Résultat (Ln)'!F$32*Données!T1789+'Résultat (Ln)'!F$33*Données!U1789+'Résultat (Ln)'!F$34*Données!V1789+'Résultat (Ln)'!F$35*Données!W1789+'Résultat (Ln)'!F$36*Données!X1789+'Résultat (Ln)'!F$37*Données!Y1789</f>
        <v>169158.07563466951</v>
      </c>
      <c r="AA1789">
        <f t="shared" si="111"/>
        <v>-10158.075634669513</v>
      </c>
    </row>
    <row r="1790" spans="1:27" x14ac:dyDescent="0.25">
      <c r="A1790">
        <v>135000</v>
      </c>
      <c r="B1790">
        <v>1</v>
      </c>
      <c r="C1790">
        <v>43</v>
      </c>
      <c r="D1790">
        <v>0</v>
      </c>
      <c r="E1790">
        <v>150000</v>
      </c>
      <c r="F1790">
        <v>3103</v>
      </c>
      <c r="G1790">
        <v>0</v>
      </c>
      <c r="H1790">
        <v>0</v>
      </c>
      <c r="I1790">
        <v>0</v>
      </c>
      <c r="J1790">
        <v>27</v>
      </c>
      <c r="K1790">
        <v>0</v>
      </c>
      <c r="L1790">
        <f>Résultats!G$32+Résultats!G$33*Données!C1790+Résultats!G$34*Données!D1790+Résultats!G$35*Données!E1790+Résultats!G$36*Données!F1790+Résultats!G$37*Données!G1790+Résultats!G$38*Données!H1790+Résultats!G$39*Données!I1790</f>
        <v>122010.3767947811</v>
      </c>
      <c r="M1790">
        <f t="shared" si="108"/>
        <v>12989.623205218901</v>
      </c>
      <c r="Q1790">
        <v>100000</v>
      </c>
      <c r="R1790">
        <v>1</v>
      </c>
      <c r="S1790">
        <v>25</v>
      </c>
      <c r="T1790">
        <v>0</v>
      </c>
      <c r="U1790">
        <f t="shared" si="109"/>
        <v>11.759785542901755</v>
      </c>
      <c r="V1790">
        <f t="shared" si="110"/>
        <v>8.4557432291000154</v>
      </c>
      <c r="W1790">
        <v>1</v>
      </c>
      <c r="X1790">
        <v>0</v>
      </c>
      <c r="Y1790">
        <v>1</v>
      </c>
      <c r="Z1790">
        <f>'Résultat (Ln)'!F$30+'Résultat (Ln)'!F$31*Données!S1790+'Résultat (Ln)'!F$32*Données!T1790+'Résultat (Ln)'!F$33*Données!U1790+'Résultat (Ln)'!F$34*Données!V1790+'Résultat (Ln)'!F$35*Données!W1790+'Résultat (Ln)'!F$36*Données!X1790+'Résultat (Ln)'!F$37*Données!Y1790</f>
        <v>117066.85521212818</v>
      </c>
      <c r="AA1790">
        <f t="shared" si="111"/>
        <v>-17066.855212128183</v>
      </c>
    </row>
    <row r="1791" spans="1:27" x14ac:dyDescent="0.25">
      <c r="A1791">
        <v>93000</v>
      </c>
      <c r="B1791">
        <v>1</v>
      </c>
      <c r="C1791">
        <v>33</v>
      </c>
      <c r="D1791">
        <v>0</v>
      </c>
      <c r="E1791">
        <v>128000</v>
      </c>
      <c r="F1791">
        <v>3292</v>
      </c>
      <c r="G1791">
        <v>0</v>
      </c>
      <c r="H1791">
        <v>0</v>
      </c>
      <c r="I1791">
        <v>0</v>
      </c>
      <c r="J1791">
        <v>32</v>
      </c>
      <c r="K1791">
        <v>0</v>
      </c>
      <c r="L1791">
        <f>Résultats!G$32+Résultats!G$33*Données!C1791+Résultats!G$34*Données!D1791+Résultats!G$35*Données!E1791+Résultats!G$36*Données!F1791+Résultats!G$37*Données!G1791+Résultats!G$38*Données!H1791+Résultats!G$39*Données!I1791</f>
        <v>100616.94290493397</v>
      </c>
      <c r="M1791">
        <f t="shared" si="108"/>
        <v>-7616.9429049339669</v>
      </c>
      <c r="Q1791">
        <v>135000</v>
      </c>
      <c r="R1791">
        <v>1</v>
      </c>
      <c r="S1791">
        <v>43</v>
      </c>
      <c r="T1791">
        <v>0</v>
      </c>
      <c r="U1791">
        <f t="shared" si="109"/>
        <v>11.918390573078392</v>
      </c>
      <c r="V1791">
        <f t="shared" si="110"/>
        <v>8.0401246644483795</v>
      </c>
      <c r="W1791">
        <v>0</v>
      </c>
      <c r="X1791">
        <v>0</v>
      </c>
      <c r="Y1791">
        <v>0</v>
      </c>
      <c r="Z1791">
        <f>'Résultat (Ln)'!F$30+'Résultat (Ln)'!F$31*Données!S1791+'Résultat (Ln)'!F$32*Données!T1791+'Résultat (Ln)'!F$33*Données!U1791+'Résultat (Ln)'!F$34*Données!V1791+'Résultat (Ln)'!F$35*Données!W1791+'Résultat (Ln)'!F$36*Données!X1791+'Résultat (Ln)'!F$37*Données!Y1791</f>
        <v>125808.03473847342</v>
      </c>
      <c r="AA1791">
        <f t="shared" si="111"/>
        <v>9191.9652615265804</v>
      </c>
    </row>
    <row r="1792" spans="1:27" x14ac:dyDescent="0.25">
      <c r="A1792">
        <v>600000</v>
      </c>
      <c r="B1792">
        <v>1</v>
      </c>
      <c r="C1792">
        <v>28</v>
      </c>
      <c r="D1792">
        <v>0</v>
      </c>
      <c r="E1792">
        <v>1000000</v>
      </c>
      <c r="F1792">
        <v>19484</v>
      </c>
      <c r="G1792">
        <v>1</v>
      </c>
      <c r="H1792">
        <v>0</v>
      </c>
      <c r="I1792">
        <v>1</v>
      </c>
      <c r="J1792">
        <v>28</v>
      </c>
      <c r="K1792">
        <v>0</v>
      </c>
      <c r="L1792">
        <f>Résultats!G$32+Résultats!G$33*Données!C1792+Résultats!G$34*Données!D1792+Résultats!G$35*Données!E1792+Résultats!G$36*Données!F1792+Résultats!G$37*Données!G1792+Résultats!G$38*Données!H1792+Résultats!G$39*Données!I1792</f>
        <v>550375.5696562056</v>
      </c>
      <c r="M1792">
        <f t="shared" si="108"/>
        <v>49624.430343794404</v>
      </c>
      <c r="Q1792">
        <v>93000</v>
      </c>
      <c r="R1792">
        <v>1</v>
      </c>
      <c r="S1792">
        <v>33</v>
      </c>
      <c r="T1792">
        <v>0</v>
      </c>
      <c r="U1792">
        <f t="shared" si="109"/>
        <v>11.759785542901755</v>
      </c>
      <c r="V1792">
        <f t="shared" si="110"/>
        <v>8.0992505617969606</v>
      </c>
      <c r="W1792">
        <v>0</v>
      </c>
      <c r="X1792">
        <v>0</v>
      </c>
      <c r="Y1792">
        <v>0</v>
      </c>
      <c r="Z1792">
        <f>'Résultat (Ln)'!F$30+'Résultat (Ln)'!F$31*Données!S1792+'Résultat (Ln)'!F$32*Données!T1792+'Résultat (Ln)'!F$33*Données!U1792+'Résultat (Ln)'!F$34*Données!V1792+'Résultat (Ln)'!F$35*Données!W1792+'Résultat (Ln)'!F$36*Données!X1792+'Résultat (Ln)'!F$37*Données!Y1792</f>
        <v>98244.101672787976</v>
      </c>
      <c r="AA1792">
        <f t="shared" si="111"/>
        <v>-5244.101672787976</v>
      </c>
    </row>
    <row r="1793" spans="1:27" x14ac:dyDescent="0.25">
      <c r="A1793">
        <v>80000</v>
      </c>
      <c r="B1793">
        <v>1</v>
      </c>
      <c r="C1793">
        <v>18</v>
      </c>
      <c r="D1793">
        <v>0</v>
      </c>
      <c r="E1793">
        <v>219000</v>
      </c>
      <c r="F1793">
        <v>2166</v>
      </c>
      <c r="G1793">
        <v>0</v>
      </c>
      <c r="H1793">
        <v>0</v>
      </c>
      <c r="I1793">
        <v>0</v>
      </c>
      <c r="J1793">
        <v>17</v>
      </c>
      <c r="K1793">
        <v>0</v>
      </c>
      <c r="L1793">
        <f>Résultats!G$32+Résultats!G$33*Données!C1793+Résultats!G$34*Données!D1793+Résultats!G$35*Données!E1793+Résultats!G$36*Données!F1793+Résultats!G$37*Données!G1793+Résultats!G$38*Données!H1793+Résultats!G$39*Données!I1793</f>
        <v>123697.68609353533</v>
      </c>
      <c r="M1793">
        <f t="shared" si="108"/>
        <v>-43697.686093535332</v>
      </c>
      <c r="Q1793">
        <v>600000</v>
      </c>
      <c r="R1793">
        <v>1</v>
      </c>
      <c r="S1793">
        <v>28</v>
      </c>
      <c r="T1793">
        <v>0</v>
      </c>
      <c r="U1793">
        <f t="shared" si="109"/>
        <v>13.815510557964274</v>
      </c>
      <c r="V1793">
        <f t="shared" si="110"/>
        <v>9.877348894926433</v>
      </c>
      <c r="W1793">
        <v>1</v>
      </c>
      <c r="X1793">
        <v>0</v>
      </c>
      <c r="Y1793">
        <v>1</v>
      </c>
      <c r="Z1793">
        <f>'Résultat (Ln)'!F$30+'Résultat (Ln)'!F$31*Données!S1793+'Résultat (Ln)'!F$32*Données!T1793+'Résultat (Ln)'!F$33*Données!U1793+'Résultat (Ln)'!F$34*Données!V1793+'Résultat (Ln)'!F$35*Données!W1793+'Résultat (Ln)'!F$36*Données!X1793+'Résultat (Ln)'!F$37*Données!Y1793</f>
        <v>380967.64351339277</v>
      </c>
      <c r="AA1793">
        <f t="shared" si="111"/>
        <v>219032.35648660723</v>
      </c>
    </row>
    <row r="1794" spans="1:27" x14ac:dyDescent="0.25">
      <c r="A1794">
        <v>148000</v>
      </c>
      <c r="B1794">
        <v>1</v>
      </c>
      <c r="C1794">
        <v>31</v>
      </c>
      <c r="D1794">
        <v>0</v>
      </c>
      <c r="E1794">
        <v>188000</v>
      </c>
      <c r="F1794">
        <v>2776</v>
      </c>
      <c r="G1794">
        <v>1</v>
      </c>
      <c r="H1794">
        <v>0</v>
      </c>
      <c r="I1794">
        <v>0</v>
      </c>
      <c r="J1794">
        <v>31</v>
      </c>
      <c r="K1794">
        <v>1</v>
      </c>
      <c r="L1794">
        <f>Résultats!G$32+Résultats!G$33*Données!C1794+Résultats!G$34*Données!D1794+Résultats!G$35*Données!E1794+Résultats!G$36*Données!F1794+Résultats!G$37*Données!G1794+Résultats!G$38*Données!H1794+Résultats!G$39*Données!I1794</f>
        <v>132353.51846737435</v>
      </c>
      <c r="M1794">
        <f t="shared" si="108"/>
        <v>15646.48153262565</v>
      </c>
      <c r="Q1794">
        <v>80000</v>
      </c>
      <c r="R1794">
        <v>1</v>
      </c>
      <c r="S1794">
        <v>18</v>
      </c>
      <c r="T1794">
        <v>0</v>
      </c>
      <c r="U1794">
        <f t="shared" si="109"/>
        <v>12.296827008798639</v>
      </c>
      <c r="V1794">
        <f t="shared" si="110"/>
        <v>7.6806374275609359</v>
      </c>
      <c r="W1794">
        <v>0</v>
      </c>
      <c r="X1794">
        <v>0</v>
      </c>
      <c r="Y1794">
        <v>0</v>
      </c>
      <c r="Z1794">
        <f>'Résultat (Ln)'!F$30+'Résultat (Ln)'!F$31*Données!S1794+'Résultat (Ln)'!F$32*Données!T1794+'Résultat (Ln)'!F$33*Données!U1794+'Résultat (Ln)'!F$34*Données!V1794+'Résultat (Ln)'!F$35*Données!W1794+'Résultat (Ln)'!F$36*Données!X1794+'Résultat (Ln)'!F$37*Données!Y1794</f>
        <v>125741.61398056091</v>
      </c>
      <c r="AA1794">
        <f t="shared" si="111"/>
        <v>-45741.613980560913</v>
      </c>
    </row>
    <row r="1795" spans="1:27" x14ac:dyDescent="0.25">
      <c r="A1795">
        <v>104000</v>
      </c>
      <c r="B1795">
        <v>1</v>
      </c>
      <c r="C1795">
        <v>37</v>
      </c>
      <c r="D1795">
        <v>1</v>
      </c>
      <c r="E1795">
        <v>130000</v>
      </c>
      <c r="F1795">
        <v>3500</v>
      </c>
      <c r="G1795">
        <v>1</v>
      </c>
      <c r="H1795">
        <v>0</v>
      </c>
      <c r="I1795">
        <v>0</v>
      </c>
      <c r="J1795">
        <v>24</v>
      </c>
      <c r="K1795">
        <v>1</v>
      </c>
      <c r="L1795">
        <f>Résultats!G$32+Résultats!G$33*Données!C1795+Résultats!G$34*Données!D1795+Résultats!G$35*Données!E1795+Résultats!G$36*Données!F1795+Résultats!G$37*Données!G1795+Résultats!G$38*Données!H1795+Résultats!G$39*Données!I1795</f>
        <v>118413.45792716653</v>
      </c>
      <c r="M1795">
        <f t="shared" ref="M1795:M1858" si="112">A1795-L1795</f>
        <v>-14413.457927166528</v>
      </c>
      <c r="Q1795">
        <v>148000</v>
      </c>
      <c r="R1795">
        <v>1</v>
      </c>
      <c r="S1795">
        <v>31</v>
      </c>
      <c r="T1795">
        <v>0</v>
      </c>
      <c r="U1795">
        <f t="shared" si="109"/>
        <v>12.144197241812087</v>
      </c>
      <c r="V1795">
        <f t="shared" si="110"/>
        <v>7.9287663216266955</v>
      </c>
      <c r="W1795">
        <v>1</v>
      </c>
      <c r="X1795">
        <v>0</v>
      </c>
      <c r="Y1795">
        <v>0</v>
      </c>
      <c r="Z1795">
        <f>'Résultat (Ln)'!F$30+'Résultat (Ln)'!F$31*Données!S1795+'Résultat (Ln)'!F$32*Données!T1795+'Résultat (Ln)'!F$33*Données!U1795+'Résultat (Ln)'!F$34*Données!V1795+'Résultat (Ln)'!F$35*Données!W1795+'Résultat (Ln)'!F$36*Données!X1795+'Résultat (Ln)'!F$37*Données!Y1795</f>
        <v>136739.91469881288</v>
      </c>
      <c r="AA1795">
        <f t="shared" si="111"/>
        <v>11260.085301187122</v>
      </c>
    </row>
    <row r="1796" spans="1:27" x14ac:dyDescent="0.25">
      <c r="A1796">
        <v>135000</v>
      </c>
      <c r="B1796">
        <v>1</v>
      </c>
      <c r="C1796">
        <v>30.10000038146973</v>
      </c>
      <c r="D1796">
        <v>0</v>
      </c>
      <c r="E1796">
        <v>150000</v>
      </c>
      <c r="F1796">
        <v>3493</v>
      </c>
      <c r="G1796">
        <v>0</v>
      </c>
      <c r="H1796">
        <v>0</v>
      </c>
      <c r="I1796">
        <v>0</v>
      </c>
      <c r="J1796">
        <v>22.29999923706055</v>
      </c>
      <c r="K1796">
        <v>1</v>
      </c>
      <c r="L1796">
        <f>Résultats!G$32+Résultats!G$33*Données!C1796+Résultats!G$34*Données!D1796+Résultats!G$35*Données!E1796+Résultats!G$36*Données!F1796+Résultats!G$37*Données!G1796+Résultats!G$38*Données!H1796+Résultats!G$39*Données!I1796</f>
        <v>107948.26641499008</v>
      </c>
      <c r="M1796">
        <f t="shared" si="112"/>
        <v>27051.733585009919</v>
      </c>
      <c r="Q1796">
        <v>104000</v>
      </c>
      <c r="R1796">
        <v>1</v>
      </c>
      <c r="S1796">
        <v>37</v>
      </c>
      <c r="T1796">
        <v>1</v>
      </c>
      <c r="U1796">
        <f t="shared" ref="U1796:U1859" si="113">LN(E1795)</f>
        <v>11.77528972943772</v>
      </c>
      <c r="V1796">
        <f t="shared" ref="V1796:V1859" si="114">LN(F1795)</f>
        <v>8.1605182474775049</v>
      </c>
      <c r="W1796">
        <v>1</v>
      </c>
      <c r="X1796">
        <v>0</v>
      </c>
      <c r="Y1796">
        <v>0</v>
      </c>
      <c r="Z1796">
        <f>'Résultat (Ln)'!F$30+'Résultat (Ln)'!F$31*Données!S1796+'Résultat (Ln)'!F$32*Données!T1796+'Résultat (Ln)'!F$33*Données!U1796+'Résultat (Ln)'!F$34*Données!V1796+'Résultat (Ln)'!F$35*Données!W1796+'Résultat (Ln)'!F$36*Données!X1796+'Résultat (Ln)'!F$37*Données!Y1796</f>
        <v>115375.38929117737</v>
      </c>
      <c r="AA1796">
        <f t="shared" ref="AA1796:AA1859" si="115">Q1796-Z1796</f>
        <v>-11375.389291177373</v>
      </c>
    </row>
    <row r="1797" spans="1:27" x14ac:dyDescent="0.25">
      <c r="A1797">
        <v>125000</v>
      </c>
      <c r="B1797">
        <v>1</v>
      </c>
      <c r="C1797">
        <v>30.79999923706055</v>
      </c>
      <c r="D1797">
        <v>0</v>
      </c>
      <c r="E1797">
        <v>215000</v>
      </c>
      <c r="F1797">
        <v>3792</v>
      </c>
      <c r="G1797">
        <v>1</v>
      </c>
      <c r="H1797">
        <v>0</v>
      </c>
      <c r="I1797">
        <v>1</v>
      </c>
      <c r="J1797">
        <v>28</v>
      </c>
      <c r="K1797">
        <v>1</v>
      </c>
      <c r="L1797">
        <f>Résultats!G$32+Résultats!G$33*Données!C1797+Résultats!G$34*Données!D1797+Résultats!G$35*Données!E1797+Résultats!G$36*Données!F1797+Résultats!G$37*Données!G1797+Résultats!G$38*Données!H1797+Résultats!G$39*Données!I1797</f>
        <v>156625.77058992232</v>
      </c>
      <c r="M1797">
        <f t="shared" si="112"/>
        <v>-31625.770589922322</v>
      </c>
      <c r="Q1797">
        <v>135000</v>
      </c>
      <c r="R1797">
        <v>1</v>
      </c>
      <c r="S1797">
        <v>30.10000038146973</v>
      </c>
      <c r="T1797">
        <v>0</v>
      </c>
      <c r="U1797">
        <f t="shared" si="113"/>
        <v>11.918390573078392</v>
      </c>
      <c r="V1797">
        <f t="shared" si="114"/>
        <v>8.1585162448068314</v>
      </c>
      <c r="W1797">
        <v>0</v>
      </c>
      <c r="X1797">
        <v>0</v>
      </c>
      <c r="Y1797">
        <v>0</v>
      </c>
      <c r="Z1797">
        <f>'Résultat (Ln)'!F$30+'Résultat (Ln)'!F$31*Données!S1797+'Résultat (Ln)'!F$32*Données!T1797+'Résultat (Ln)'!F$33*Données!U1797+'Résultat (Ln)'!F$34*Données!V1797+'Résultat (Ln)'!F$35*Données!W1797+'Résultat (Ln)'!F$36*Données!X1797+'Résultat (Ln)'!F$37*Données!Y1797</f>
        <v>113364.09244000379</v>
      </c>
      <c r="AA1797">
        <f t="shared" si="115"/>
        <v>21635.907559996209</v>
      </c>
    </row>
    <row r="1798" spans="1:27" x14ac:dyDescent="0.25">
      <c r="A1798">
        <v>124000</v>
      </c>
      <c r="B1798">
        <v>1</v>
      </c>
      <c r="C1798">
        <v>27</v>
      </c>
      <c r="D1798">
        <v>0</v>
      </c>
      <c r="E1798">
        <v>155000</v>
      </c>
      <c r="F1798">
        <v>2947</v>
      </c>
      <c r="G1798">
        <v>1</v>
      </c>
      <c r="H1798">
        <v>0</v>
      </c>
      <c r="I1798">
        <v>0</v>
      </c>
      <c r="J1798">
        <v>23</v>
      </c>
      <c r="K1798">
        <v>1</v>
      </c>
      <c r="L1798">
        <f>Résultats!G$32+Résultats!G$33*Données!C1798+Résultats!G$34*Données!D1798+Résultats!G$35*Données!E1798+Résultats!G$36*Données!F1798+Résultats!G$37*Données!G1798+Résultats!G$38*Données!H1798+Résultats!G$39*Données!I1798</f>
        <v>112680.7407242512</v>
      </c>
      <c r="M1798">
        <f t="shared" si="112"/>
        <v>11319.259275748802</v>
      </c>
      <c r="Q1798">
        <v>125000</v>
      </c>
      <c r="R1798">
        <v>1</v>
      </c>
      <c r="S1798">
        <v>30.79999923706055</v>
      </c>
      <c r="T1798">
        <v>0</v>
      </c>
      <c r="U1798">
        <f t="shared" si="113"/>
        <v>12.2783933071098</v>
      </c>
      <c r="V1798">
        <f t="shared" si="114"/>
        <v>8.2406488633749131</v>
      </c>
      <c r="W1798">
        <v>1</v>
      </c>
      <c r="X1798">
        <v>0</v>
      </c>
      <c r="Y1798">
        <v>1</v>
      </c>
      <c r="Z1798">
        <f>'Résultat (Ln)'!F$30+'Résultat (Ln)'!F$31*Données!S1798+'Résultat (Ln)'!F$32*Données!T1798+'Résultat (Ln)'!F$33*Données!U1798+'Résultat (Ln)'!F$34*Données!V1798+'Résultat (Ln)'!F$35*Données!W1798+'Résultat (Ln)'!F$36*Données!X1798+'Résultat (Ln)'!F$37*Données!Y1798</f>
        <v>173714.65288915543</v>
      </c>
      <c r="AA1798">
        <f t="shared" si="115"/>
        <v>-48714.652889155434</v>
      </c>
    </row>
    <row r="1799" spans="1:27" x14ac:dyDescent="0.25">
      <c r="A1799">
        <v>211000</v>
      </c>
      <c r="B1799">
        <v>1</v>
      </c>
      <c r="C1799">
        <v>33</v>
      </c>
      <c r="D1799">
        <v>0</v>
      </c>
      <c r="E1799">
        <v>234000</v>
      </c>
      <c r="F1799">
        <v>5923</v>
      </c>
      <c r="G1799">
        <v>1</v>
      </c>
      <c r="H1799">
        <v>0</v>
      </c>
      <c r="I1799">
        <v>0</v>
      </c>
      <c r="J1799">
        <v>28</v>
      </c>
      <c r="K1799">
        <v>1</v>
      </c>
      <c r="L1799">
        <f>Résultats!G$32+Résultats!G$33*Données!C1799+Résultats!G$34*Données!D1799+Résultats!G$35*Données!E1799+Résultats!G$36*Données!F1799+Résultats!G$37*Données!G1799+Résultats!G$38*Données!H1799+Résultats!G$39*Données!I1799</f>
        <v>162228.92642458389</v>
      </c>
      <c r="M1799">
        <f t="shared" si="112"/>
        <v>48771.073575416114</v>
      </c>
      <c r="Q1799">
        <v>124000</v>
      </c>
      <c r="R1799">
        <v>1</v>
      </c>
      <c r="S1799">
        <v>27</v>
      </c>
      <c r="T1799">
        <v>0</v>
      </c>
      <c r="U1799">
        <f t="shared" si="113"/>
        <v>11.951180395901384</v>
      </c>
      <c r="V1799">
        <f t="shared" si="114"/>
        <v>7.9885429827376946</v>
      </c>
      <c r="W1799">
        <v>1</v>
      </c>
      <c r="X1799">
        <v>0</v>
      </c>
      <c r="Y1799">
        <v>0</v>
      </c>
      <c r="Z1799">
        <f>'Résultat (Ln)'!F$30+'Résultat (Ln)'!F$31*Données!S1799+'Résultat (Ln)'!F$32*Données!T1799+'Résultat (Ln)'!F$33*Données!U1799+'Résultat (Ln)'!F$34*Données!V1799+'Résultat (Ln)'!F$35*Données!W1799+'Résultat (Ln)'!F$36*Données!X1799+'Résultat (Ln)'!F$37*Données!Y1799</f>
        <v>112837.68455769813</v>
      </c>
      <c r="AA1799">
        <f t="shared" si="115"/>
        <v>11162.315442301871</v>
      </c>
    </row>
    <row r="1800" spans="1:27" x14ac:dyDescent="0.25">
      <c r="A1800">
        <v>132000</v>
      </c>
      <c r="B1800">
        <v>1</v>
      </c>
      <c r="C1800">
        <v>34</v>
      </c>
      <c r="D1800">
        <v>0</v>
      </c>
      <c r="E1800">
        <v>165000</v>
      </c>
      <c r="F1800">
        <v>5800</v>
      </c>
      <c r="G1800">
        <v>0</v>
      </c>
      <c r="H1800">
        <v>0</v>
      </c>
      <c r="I1800">
        <v>0</v>
      </c>
      <c r="J1800">
        <v>27</v>
      </c>
      <c r="K1800">
        <v>1</v>
      </c>
      <c r="L1800">
        <f>Résultats!G$32+Résultats!G$33*Données!C1800+Résultats!G$34*Données!D1800+Résultats!G$35*Données!E1800+Résultats!G$36*Données!F1800+Résultats!G$37*Données!G1800+Résultats!G$38*Données!H1800+Résultats!G$39*Données!I1800</f>
        <v>123902.85493825423</v>
      </c>
      <c r="M1800">
        <f t="shared" si="112"/>
        <v>8097.145061745774</v>
      </c>
      <c r="Q1800">
        <v>211000</v>
      </c>
      <c r="R1800">
        <v>1</v>
      </c>
      <c r="S1800">
        <v>33</v>
      </c>
      <c r="T1800">
        <v>0</v>
      </c>
      <c r="U1800">
        <f t="shared" si="113"/>
        <v>12.363076394339839</v>
      </c>
      <c r="V1800">
        <f t="shared" si="114"/>
        <v>8.6865983562769653</v>
      </c>
      <c r="W1800">
        <v>1</v>
      </c>
      <c r="X1800">
        <v>0</v>
      </c>
      <c r="Y1800">
        <v>0</v>
      </c>
      <c r="Z1800">
        <f>'Résultat (Ln)'!F$30+'Résultat (Ln)'!F$31*Données!S1800+'Résultat (Ln)'!F$32*Données!T1800+'Résultat (Ln)'!F$33*Données!U1800+'Résultat (Ln)'!F$34*Données!V1800+'Résultat (Ln)'!F$35*Données!W1800+'Résultat (Ln)'!F$36*Données!X1800+'Résultat (Ln)'!F$37*Données!Y1800</f>
        <v>183900.87164720433</v>
      </c>
      <c r="AA1800">
        <f t="shared" si="115"/>
        <v>27099.128352795669</v>
      </c>
    </row>
    <row r="1801" spans="1:27" x14ac:dyDescent="0.25">
      <c r="A1801">
        <v>125000</v>
      </c>
      <c r="B1801">
        <v>1</v>
      </c>
      <c r="C1801">
        <v>25</v>
      </c>
      <c r="D1801">
        <v>0</v>
      </c>
      <c r="E1801">
        <v>138500</v>
      </c>
      <c r="F1801">
        <v>7500</v>
      </c>
      <c r="G1801">
        <v>1</v>
      </c>
      <c r="H1801">
        <v>0</v>
      </c>
      <c r="I1801">
        <v>1</v>
      </c>
      <c r="J1801">
        <v>14</v>
      </c>
      <c r="K1801">
        <v>1</v>
      </c>
      <c r="L1801">
        <f>Résultats!G$32+Résultats!G$33*Données!C1801+Résultats!G$34*Données!D1801+Résultats!G$35*Données!E1801+Résultats!G$36*Données!F1801+Résultats!G$37*Données!G1801+Résultats!G$38*Données!H1801+Résultats!G$39*Données!I1801</f>
        <v>121426.87376617256</v>
      </c>
      <c r="M1801">
        <f t="shared" si="112"/>
        <v>3573.1262338274391</v>
      </c>
      <c r="Q1801">
        <v>132000</v>
      </c>
      <c r="R1801">
        <v>1</v>
      </c>
      <c r="S1801">
        <v>34</v>
      </c>
      <c r="T1801">
        <v>0</v>
      </c>
      <c r="U1801">
        <f t="shared" si="113"/>
        <v>12.013700752882718</v>
      </c>
      <c r="V1801">
        <f t="shared" si="114"/>
        <v>8.66561319653451</v>
      </c>
      <c r="W1801">
        <v>0</v>
      </c>
      <c r="X1801">
        <v>0</v>
      </c>
      <c r="Y1801">
        <v>0</v>
      </c>
      <c r="Z1801">
        <f>'Résultat (Ln)'!F$30+'Résultat (Ln)'!F$31*Données!S1801+'Résultat (Ln)'!F$32*Données!T1801+'Résultat (Ln)'!F$33*Données!U1801+'Résultat (Ln)'!F$34*Données!V1801+'Résultat (Ln)'!F$35*Données!W1801+'Résultat (Ln)'!F$36*Données!X1801+'Résultat (Ln)'!F$37*Données!Y1801</f>
        <v>142568.81654109279</v>
      </c>
      <c r="AA1801">
        <f t="shared" si="115"/>
        <v>-10568.81654109279</v>
      </c>
    </row>
    <row r="1802" spans="1:27" x14ac:dyDescent="0.25">
      <c r="A1802">
        <v>143000</v>
      </c>
      <c r="B1802">
        <v>1</v>
      </c>
      <c r="C1802">
        <v>25.89999961853027</v>
      </c>
      <c r="D1802">
        <v>0</v>
      </c>
      <c r="E1802">
        <v>206000</v>
      </c>
      <c r="F1802">
        <v>5509</v>
      </c>
      <c r="G1802">
        <v>1</v>
      </c>
      <c r="H1802">
        <v>0</v>
      </c>
      <c r="I1802">
        <v>0</v>
      </c>
      <c r="J1802">
        <v>24.860000610351559</v>
      </c>
      <c r="K1802">
        <v>1</v>
      </c>
      <c r="L1802">
        <f>Résultats!G$32+Résultats!G$33*Données!C1802+Résultats!G$34*Données!D1802+Résultats!G$35*Données!E1802+Résultats!G$36*Données!F1802+Résultats!G$37*Données!G1802+Résultats!G$38*Données!H1802+Résultats!G$39*Données!I1802</f>
        <v>140196.43080240875</v>
      </c>
      <c r="M1802">
        <f t="shared" si="112"/>
        <v>2803.5691975912487</v>
      </c>
      <c r="Q1802">
        <v>125000</v>
      </c>
      <c r="R1802">
        <v>1</v>
      </c>
      <c r="S1802">
        <v>25</v>
      </c>
      <c r="T1802">
        <v>0</v>
      </c>
      <c r="U1802">
        <f t="shared" si="113"/>
        <v>11.838625604609531</v>
      </c>
      <c r="V1802">
        <f t="shared" si="114"/>
        <v>8.9226582995244019</v>
      </c>
      <c r="W1802">
        <v>1</v>
      </c>
      <c r="X1802">
        <v>0</v>
      </c>
      <c r="Y1802">
        <v>1</v>
      </c>
      <c r="Z1802">
        <f>'Résultat (Ln)'!F$30+'Résultat (Ln)'!F$31*Données!S1802+'Résultat (Ln)'!F$32*Données!T1802+'Résultat (Ln)'!F$33*Données!U1802+'Résultat (Ln)'!F$34*Données!V1802+'Résultat (Ln)'!F$35*Données!W1802+'Résultat (Ln)'!F$36*Données!X1802+'Résultat (Ln)'!F$37*Données!Y1802</f>
        <v>138613.1636398714</v>
      </c>
      <c r="AA1802">
        <f t="shared" si="115"/>
        <v>-13613.163639871404</v>
      </c>
    </row>
    <row r="1803" spans="1:27" x14ac:dyDescent="0.25">
      <c r="A1803">
        <v>40000</v>
      </c>
      <c r="B1803">
        <v>1</v>
      </c>
      <c r="C1803">
        <v>30</v>
      </c>
      <c r="D1803">
        <v>0</v>
      </c>
      <c r="E1803">
        <v>80000</v>
      </c>
      <c r="F1803">
        <v>3062</v>
      </c>
      <c r="G1803">
        <v>1</v>
      </c>
      <c r="H1803">
        <v>0</v>
      </c>
      <c r="I1803">
        <v>0</v>
      </c>
      <c r="J1803">
        <v>13</v>
      </c>
      <c r="K1803">
        <v>1</v>
      </c>
      <c r="L1803">
        <f>Résultats!G$32+Résultats!G$33*Données!C1803+Résultats!G$34*Données!D1803+Résultats!G$35*Données!E1803+Résultats!G$36*Données!F1803+Résultats!G$37*Données!G1803+Résultats!G$38*Données!H1803+Résultats!G$39*Données!I1803</f>
        <v>81328.102258219806</v>
      </c>
      <c r="M1803">
        <f t="shared" si="112"/>
        <v>-41328.102258219806</v>
      </c>
      <c r="Q1803">
        <v>143000</v>
      </c>
      <c r="R1803">
        <v>1</v>
      </c>
      <c r="S1803">
        <v>25.89999961853027</v>
      </c>
      <c r="T1803">
        <v>0</v>
      </c>
      <c r="U1803">
        <f t="shared" si="113"/>
        <v>12.235631447771718</v>
      </c>
      <c r="V1803">
        <f t="shared" si="114"/>
        <v>8.6141383974727166</v>
      </c>
      <c r="W1803">
        <v>1</v>
      </c>
      <c r="X1803">
        <v>0</v>
      </c>
      <c r="Y1803">
        <v>0</v>
      </c>
      <c r="Z1803">
        <f>'Résultat (Ln)'!F$30+'Résultat (Ln)'!F$31*Données!S1803+'Résultat (Ln)'!F$32*Données!T1803+'Résultat (Ln)'!F$33*Données!U1803+'Résultat (Ln)'!F$34*Données!V1803+'Résultat (Ln)'!F$35*Données!W1803+'Résultat (Ln)'!F$36*Données!X1803+'Résultat (Ln)'!F$37*Données!Y1803</f>
        <v>159530.65007004866</v>
      </c>
      <c r="AA1803">
        <f t="shared" si="115"/>
        <v>-16530.650070048665</v>
      </c>
    </row>
    <row r="1804" spans="1:27" x14ac:dyDescent="0.25">
      <c r="A1804">
        <v>300000</v>
      </c>
      <c r="B1804">
        <v>1</v>
      </c>
      <c r="C1804">
        <v>44</v>
      </c>
      <c r="D1804">
        <v>0</v>
      </c>
      <c r="E1804">
        <v>375000</v>
      </c>
      <c r="F1804">
        <v>9699</v>
      </c>
      <c r="G1804">
        <v>1</v>
      </c>
      <c r="H1804">
        <v>0</v>
      </c>
      <c r="I1804">
        <v>0</v>
      </c>
      <c r="J1804">
        <v>30</v>
      </c>
      <c r="K1804">
        <v>1</v>
      </c>
      <c r="L1804">
        <f>Résultats!G$32+Résultats!G$33*Données!C1804+Résultats!G$34*Données!D1804+Résultats!G$35*Données!E1804+Résultats!G$36*Données!F1804+Résultats!G$37*Données!G1804+Résultats!G$38*Données!H1804+Résultats!G$39*Données!I1804</f>
        <v>248021.79657081235</v>
      </c>
      <c r="M1804">
        <f t="shared" si="112"/>
        <v>51978.203429187648</v>
      </c>
      <c r="Q1804">
        <v>40000</v>
      </c>
      <c r="R1804">
        <v>1</v>
      </c>
      <c r="S1804">
        <v>30</v>
      </c>
      <c r="T1804">
        <v>0</v>
      </c>
      <c r="U1804">
        <f t="shared" si="113"/>
        <v>11.289781913656018</v>
      </c>
      <c r="V1804">
        <f t="shared" si="114"/>
        <v>8.0268235762176285</v>
      </c>
      <c r="W1804">
        <v>1</v>
      </c>
      <c r="X1804">
        <v>0</v>
      </c>
      <c r="Y1804">
        <v>0</v>
      </c>
      <c r="Z1804">
        <f>'Résultat (Ln)'!F$30+'Résultat (Ln)'!F$31*Données!S1804+'Résultat (Ln)'!F$32*Données!T1804+'Résultat (Ln)'!F$33*Données!U1804+'Résultat (Ln)'!F$34*Données!V1804+'Résultat (Ln)'!F$35*Données!W1804+'Résultat (Ln)'!F$36*Données!X1804+'Résultat (Ln)'!F$37*Données!Y1804</f>
        <v>46678.432149650958</v>
      </c>
      <c r="AA1804">
        <f t="shared" si="115"/>
        <v>-6678.4321496509583</v>
      </c>
    </row>
    <row r="1805" spans="1:27" x14ac:dyDescent="0.25">
      <c r="A1805">
        <v>171000</v>
      </c>
      <c r="B1805">
        <v>1</v>
      </c>
      <c r="C1805">
        <v>37.599998474121087</v>
      </c>
      <c r="D1805">
        <v>0</v>
      </c>
      <c r="E1805">
        <v>190000</v>
      </c>
      <c r="F1805">
        <v>3621</v>
      </c>
      <c r="G1805">
        <v>1</v>
      </c>
      <c r="H1805">
        <v>0</v>
      </c>
      <c r="I1805">
        <v>0</v>
      </c>
      <c r="J1805">
        <v>28.79999923706055</v>
      </c>
      <c r="K1805">
        <v>0</v>
      </c>
      <c r="L1805">
        <f>Résultats!G$32+Résultats!G$33*Données!C1805+Résultats!G$34*Données!D1805+Résultats!G$35*Données!E1805+Résultats!G$36*Données!F1805+Résultats!G$37*Données!G1805+Résultats!G$38*Données!H1805+Résultats!G$39*Données!I1805</f>
        <v>142506.07807822837</v>
      </c>
      <c r="M1805">
        <f t="shared" si="112"/>
        <v>28493.921921771631</v>
      </c>
      <c r="Q1805">
        <v>300000</v>
      </c>
      <c r="R1805">
        <v>1</v>
      </c>
      <c r="S1805">
        <v>44</v>
      </c>
      <c r="T1805">
        <v>0</v>
      </c>
      <c r="U1805">
        <f t="shared" si="113"/>
        <v>12.834681304952548</v>
      </c>
      <c r="V1805">
        <f t="shared" si="114"/>
        <v>9.179778066393542</v>
      </c>
      <c r="W1805">
        <v>1</v>
      </c>
      <c r="X1805">
        <v>0</v>
      </c>
      <c r="Y1805">
        <v>0</v>
      </c>
      <c r="Z1805">
        <f>'Résultat (Ln)'!F$30+'Résultat (Ln)'!F$31*Données!S1805+'Résultat (Ln)'!F$32*Données!T1805+'Résultat (Ln)'!F$33*Données!U1805+'Résultat (Ln)'!F$34*Données!V1805+'Résultat (Ln)'!F$35*Données!W1805+'Résultat (Ln)'!F$36*Données!X1805+'Résultat (Ln)'!F$37*Données!Y1805</f>
        <v>261728.89382007206</v>
      </c>
      <c r="AA1805">
        <f t="shared" si="115"/>
        <v>38271.106179927941</v>
      </c>
    </row>
    <row r="1806" spans="1:27" x14ac:dyDescent="0.25">
      <c r="A1806">
        <v>110000</v>
      </c>
      <c r="B1806">
        <v>1</v>
      </c>
      <c r="C1806">
        <v>26</v>
      </c>
      <c r="D1806">
        <v>0</v>
      </c>
      <c r="E1806">
        <v>270000</v>
      </c>
      <c r="F1806">
        <v>3500</v>
      </c>
      <c r="G1806">
        <v>1</v>
      </c>
      <c r="H1806">
        <v>0</v>
      </c>
      <c r="I1806">
        <v>0</v>
      </c>
      <c r="J1806">
        <v>26</v>
      </c>
      <c r="K1806">
        <v>1</v>
      </c>
      <c r="L1806">
        <f>Résultats!G$32+Résultats!G$33*Données!C1806+Résultats!G$34*Données!D1806+Résultats!G$35*Données!E1806+Résultats!G$36*Données!F1806+Résultats!G$37*Données!G1806+Résultats!G$38*Données!H1806+Résultats!G$39*Données!I1806</f>
        <v>166303.29265574773</v>
      </c>
      <c r="M1806">
        <f t="shared" si="112"/>
        <v>-56303.292655747733</v>
      </c>
      <c r="Q1806">
        <v>171000</v>
      </c>
      <c r="R1806">
        <v>1</v>
      </c>
      <c r="S1806">
        <v>37.599998474121087</v>
      </c>
      <c r="T1806">
        <v>0</v>
      </c>
      <c r="U1806">
        <f t="shared" si="113"/>
        <v>12.154779351142624</v>
      </c>
      <c r="V1806">
        <f t="shared" si="114"/>
        <v>8.1945055097656407</v>
      </c>
      <c r="W1806">
        <v>1</v>
      </c>
      <c r="X1806">
        <v>0</v>
      </c>
      <c r="Y1806">
        <v>0</v>
      </c>
      <c r="Z1806">
        <f>'Résultat (Ln)'!F$30+'Résultat (Ln)'!F$31*Données!S1806+'Résultat (Ln)'!F$32*Données!T1806+'Résultat (Ln)'!F$33*Données!U1806+'Résultat (Ln)'!F$34*Données!V1806+'Résultat (Ln)'!F$35*Données!W1806+'Résultat (Ln)'!F$36*Données!X1806+'Résultat (Ln)'!F$37*Données!Y1806</f>
        <v>153392.60466736404</v>
      </c>
      <c r="AA1806">
        <f t="shared" si="115"/>
        <v>17607.395332635962</v>
      </c>
    </row>
    <row r="1807" spans="1:27" x14ac:dyDescent="0.25">
      <c r="A1807">
        <v>40000</v>
      </c>
      <c r="B1807">
        <v>1</v>
      </c>
      <c r="C1807">
        <v>27</v>
      </c>
      <c r="D1807">
        <v>0</v>
      </c>
      <c r="E1807">
        <v>170000</v>
      </c>
      <c r="F1807">
        <v>3195</v>
      </c>
      <c r="G1807">
        <v>0</v>
      </c>
      <c r="H1807">
        <v>0</v>
      </c>
      <c r="I1807">
        <v>1</v>
      </c>
      <c r="J1807">
        <v>21</v>
      </c>
      <c r="K1807">
        <v>0</v>
      </c>
      <c r="L1807">
        <f>Résultats!G$32+Résultats!G$33*Données!C1807+Résultats!G$34*Données!D1807+Résultats!G$35*Données!E1807+Résultats!G$36*Données!F1807+Résultats!G$37*Données!G1807+Résultats!G$38*Données!H1807+Résultats!G$39*Données!I1807</f>
        <v>123074.44939696811</v>
      </c>
      <c r="M1807">
        <f t="shared" si="112"/>
        <v>-83074.449396968106</v>
      </c>
      <c r="Q1807">
        <v>110000</v>
      </c>
      <c r="R1807">
        <v>1</v>
      </c>
      <c r="S1807">
        <v>26</v>
      </c>
      <c r="T1807">
        <v>0</v>
      </c>
      <c r="U1807">
        <f t="shared" si="113"/>
        <v>12.506177237980511</v>
      </c>
      <c r="V1807">
        <f t="shared" si="114"/>
        <v>8.1605182474775049</v>
      </c>
      <c r="W1807">
        <v>1</v>
      </c>
      <c r="X1807">
        <v>0</v>
      </c>
      <c r="Y1807">
        <v>0</v>
      </c>
      <c r="Z1807">
        <f>'Résultat (Ln)'!F$30+'Résultat (Ln)'!F$31*Données!S1807+'Résultat (Ln)'!F$32*Données!T1807+'Résultat (Ln)'!F$33*Données!U1807+'Résultat (Ln)'!F$34*Données!V1807+'Résultat (Ln)'!F$35*Données!W1807+'Résultat (Ln)'!F$36*Données!X1807+'Résultat (Ln)'!F$37*Données!Y1807</f>
        <v>175932.02707444143</v>
      </c>
      <c r="AA1807">
        <f t="shared" si="115"/>
        <v>-65932.02707444143</v>
      </c>
    </row>
    <row r="1808" spans="1:27" x14ac:dyDescent="0.25">
      <c r="A1808">
        <v>126000</v>
      </c>
      <c r="B1808">
        <v>1</v>
      </c>
      <c r="C1808">
        <v>32.299999237060547</v>
      </c>
      <c r="D1808">
        <v>0</v>
      </c>
      <c r="E1808">
        <v>140000</v>
      </c>
      <c r="F1808">
        <v>1343</v>
      </c>
      <c r="G1808">
        <v>1</v>
      </c>
      <c r="H1808">
        <v>0</v>
      </c>
      <c r="I1808">
        <v>0</v>
      </c>
      <c r="J1808">
        <v>31.10000038146973</v>
      </c>
      <c r="K1808">
        <v>1</v>
      </c>
      <c r="L1808">
        <f>Résultats!G$32+Résultats!G$33*Données!C1808+Résultats!G$34*Données!D1808+Résultats!G$35*Données!E1808+Résultats!G$36*Données!F1808+Résultats!G$37*Données!G1808+Résultats!G$38*Données!H1808+Résultats!G$39*Données!I1808</f>
        <v>108656.18289244758</v>
      </c>
      <c r="M1808">
        <f t="shared" si="112"/>
        <v>17343.817107552415</v>
      </c>
      <c r="Q1808">
        <v>40000</v>
      </c>
      <c r="R1808">
        <v>1</v>
      </c>
      <c r="S1808">
        <v>27</v>
      </c>
      <c r="T1808">
        <v>0</v>
      </c>
      <c r="U1808">
        <f t="shared" si="113"/>
        <v>12.043553716032399</v>
      </c>
      <c r="V1808">
        <f t="shared" si="114"/>
        <v>8.069342366811636</v>
      </c>
      <c r="W1808">
        <v>0</v>
      </c>
      <c r="X1808">
        <v>0</v>
      </c>
      <c r="Y1808">
        <v>1</v>
      </c>
      <c r="Z1808">
        <f>'Résultat (Ln)'!F$30+'Résultat (Ln)'!F$31*Données!S1808+'Résultat (Ln)'!F$32*Données!T1808+'Résultat (Ln)'!F$33*Données!U1808+'Résultat (Ln)'!F$34*Données!V1808+'Résultat (Ln)'!F$35*Données!W1808+'Résultat (Ln)'!F$36*Données!X1808+'Résultat (Ln)'!F$37*Données!Y1808</f>
        <v>134578.67777586132</v>
      </c>
      <c r="AA1808">
        <f t="shared" si="115"/>
        <v>-94578.677775861317</v>
      </c>
    </row>
    <row r="1809" spans="1:27" x14ac:dyDescent="0.25">
      <c r="A1809">
        <v>126000</v>
      </c>
      <c r="B1809">
        <v>1</v>
      </c>
      <c r="C1809">
        <v>31.89999961853027</v>
      </c>
      <c r="D1809">
        <v>0</v>
      </c>
      <c r="E1809">
        <v>158000</v>
      </c>
      <c r="F1809">
        <v>3107</v>
      </c>
      <c r="G1809">
        <v>1</v>
      </c>
      <c r="H1809">
        <v>0</v>
      </c>
      <c r="I1809">
        <v>0</v>
      </c>
      <c r="J1809">
        <v>26.520000457763668</v>
      </c>
      <c r="K1809">
        <v>1</v>
      </c>
      <c r="L1809">
        <f>Résultats!G$32+Résultats!G$33*Données!C1809+Résultats!G$34*Données!D1809+Résultats!G$35*Données!E1809+Résultats!G$36*Données!F1809+Résultats!G$37*Données!G1809+Résultats!G$38*Données!H1809+Résultats!G$39*Données!I1809</f>
        <v>120020.13092828389</v>
      </c>
      <c r="M1809">
        <f t="shared" si="112"/>
        <v>5979.869071716108</v>
      </c>
      <c r="Q1809">
        <v>126000</v>
      </c>
      <c r="R1809">
        <v>1</v>
      </c>
      <c r="S1809">
        <v>32.299999237060547</v>
      </c>
      <c r="T1809">
        <v>0</v>
      </c>
      <c r="U1809">
        <f t="shared" si="113"/>
        <v>11.849397701591441</v>
      </c>
      <c r="V1809">
        <f t="shared" si="114"/>
        <v>7.2026611965232377</v>
      </c>
      <c r="W1809">
        <v>1</v>
      </c>
      <c r="X1809">
        <v>0</v>
      </c>
      <c r="Y1809">
        <v>0</v>
      </c>
      <c r="Z1809">
        <f>'Résultat (Ln)'!F$30+'Résultat (Ln)'!F$31*Données!S1809+'Résultat (Ln)'!F$32*Données!T1809+'Résultat (Ln)'!F$33*Données!U1809+'Résultat (Ln)'!F$34*Données!V1809+'Résultat (Ln)'!F$35*Données!W1809+'Résultat (Ln)'!F$36*Données!X1809+'Résultat (Ln)'!F$37*Données!Y1809</f>
        <v>86363.169392187483</v>
      </c>
      <c r="AA1809">
        <f t="shared" si="115"/>
        <v>39636.830607812517</v>
      </c>
    </row>
    <row r="1810" spans="1:27" x14ac:dyDescent="0.25">
      <c r="A1810">
        <v>123000</v>
      </c>
      <c r="B1810">
        <v>1</v>
      </c>
      <c r="C1810">
        <v>35</v>
      </c>
      <c r="D1810">
        <v>0</v>
      </c>
      <c r="E1810">
        <v>137000</v>
      </c>
      <c r="F1810">
        <v>4594</v>
      </c>
      <c r="G1810">
        <v>1</v>
      </c>
      <c r="H1810">
        <v>0</v>
      </c>
      <c r="I1810">
        <v>1</v>
      </c>
      <c r="J1810">
        <v>22</v>
      </c>
      <c r="K1810">
        <v>1</v>
      </c>
      <c r="L1810">
        <f>Résultats!G$32+Résultats!G$33*Données!C1810+Résultats!G$34*Données!D1810+Résultats!G$35*Données!E1810+Résultats!G$36*Données!F1810+Résultats!G$37*Données!G1810+Résultats!G$38*Données!H1810+Résultats!G$39*Données!I1810</f>
        <v>126581.93756945455</v>
      </c>
      <c r="M1810">
        <f t="shared" si="112"/>
        <v>-3581.9375694545452</v>
      </c>
      <c r="Q1810">
        <v>126000</v>
      </c>
      <c r="R1810">
        <v>1</v>
      </c>
      <c r="S1810">
        <v>31.89999961853027</v>
      </c>
      <c r="T1810">
        <v>0</v>
      </c>
      <c r="U1810">
        <f t="shared" si="113"/>
        <v>11.970350312009105</v>
      </c>
      <c r="V1810">
        <f t="shared" si="114"/>
        <v>8.0414129093930473</v>
      </c>
      <c r="W1810">
        <v>1</v>
      </c>
      <c r="X1810">
        <v>0</v>
      </c>
      <c r="Y1810">
        <v>0</v>
      </c>
      <c r="Z1810">
        <f>'Résultat (Ln)'!F$30+'Résultat (Ln)'!F$31*Données!S1810+'Résultat (Ln)'!F$32*Données!T1810+'Résultat (Ln)'!F$33*Données!U1810+'Résultat (Ln)'!F$34*Données!V1810+'Résultat (Ln)'!F$35*Données!W1810+'Résultat (Ln)'!F$36*Données!X1810+'Résultat (Ln)'!F$37*Données!Y1810</f>
        <v>122363.3938695047</v>
      </c>
      <c r="AA1810">
        <f t="shared" si="115"/>
        <v>3636.6061304953037</v>
      </c>
    </row>
    <row r="1811" spans="1:27" x14ac:dyDescent="0.25">
      <c r="A1811">
        <v>258000</v>
      </c>
      <c r="B1811">
        <v>1</v>
      </c>
      <c r="C1811">
        <v>50</v>
      </c>
      <c r="D1811">
        <v>0</v>
      </c>
      <c r="E1811">
        <v>323000</v>
      </c>
      <c r="F1811">
        <v>8799</v>
      </c>
      <c r="G1811">
        <v>1</v>
      </c>
      <c r="H1811">
        <v>0</v>
      </c>
      <c r="I1811">
        <v>1</v>
      </c>
      <c r="J1811">
        <v>29</v>
      </c>
      <c r="K1811">
        <v>1</v>
      </c>
      <c r="L1811">
        <f>Résultats!G$32+Résultats!G$33*Données!C1811+Résultats!G$34*Données!D1811+Résultats!G$35*Données!E1811+Résultats!G$36*Données!F1811+Résultats!G$37*Données!G1811+Résultats!G$38*Données!H1811+Résultats!G$39*Données!I1811</f>
        <v>238813.69710233109</v>
      </c>
      <c r="M1811">
        <f t="shared" si="112"/>
        <v>19186.302897668909</v>
      </c>
      <c r="Q1811">
        <v>123000</v>
      </c>
      <c r="R1811">
        <v>1</v>
      </c>
      <c r="S1811">
        <v>35</v>
      </c>
      <c r="T1811">
        <v>0</v>
      </c>
      <c r="U1811">
        <f t="shared" si="113"/>
        <v>11.827736204810263</v>
      </c>
      <c r="V1811">
        <f t="shared" si="114"/>
        <v>8.4325063832490432</v>
      </c>
      <c r="W1811">
        <v>1</v>
      </c>
      <c r="X1811">
        <v>0</v>
      </c>
      <c r="Y1811">
        <v>1</v>
      </c>
      <c r="Z1811">
        <f>'Résultat (Ln)'!F$30+'Résultat (Ln)'!F$31*Données!S1811+'Résultat (Ln)'!F$32*Données!T1811+'Résultat (Ln)'!F$33*Données!U1811+'Résultat (Ln)'!F$34*Données!V1811+'Résultat (Ln)'!F$35*Données!W1811+'Résultat (Ln)'!F$36*Données!X1811+'Résultat (Ln)'!F$37*Données!Y1811</f>
        <v>135919.57883078943</v>
      </c>
      <c r="AA1811">
        <f t="shared" si="115"/>
        <v>-12919.578830789425</v>
      </c>
    </row>
    <row r="1812" spans="1:27" x14ac:dyDescent="0.25">
      <c r="A1812">
        <v>120000</v>
      </c>
      <c r="B1812">
        <v>1</v>
      </c>
      <c r="C1812">
        <v>38</v>
      </c>
      <c r="D1812">
        <v>0</v>
      </c>
      <c r="E1812">
        <v>150000</v>
      </c>
      <c r="F1812">
        <v>4467</v>
      </c>
      <c r="G1812">
        <v>1</v>
      </c>
      <c r="H1812">
        <v>0</v>
      </c>
      <c r="I1812">
        <v>0</v>
      </c>
      <c r="J1812">
        <v>29</v>
      </c>
      <c r="K1812">
        <v>1</v>
      </c>
      <c r="L1812">
        <f>Résultats!G$32+Résultats!G$33*Données!C1812+Résultats!G$34*Données!D1812+Résultats!G$35*Données!E1812+Résultats!G$36*Données!F1812+Résultats!G$37*Données!G1812+Résultats!G$38*Données!H1812+Résultats!G$39*Données!I1812</f>
        <v>125926.78534713201</v>
      </c>
      <c r="M1812">
        <f t="shared" si="112"/>
        <v>-5926.7853471320122</v>
      </c>
      <c r="Q1812">
        <v>258000</v>
      </c>
      <c r="R1812">
        <v>1</v>
      </c>
      <c r="S1812">
        <v>50</v>
      </c>
      <c r="T1812">
        <v>0</v>
      </c>
      <c r="U1812">
        <f t="shared" si="113"/>
        <v>12.685407602204794</v>
      </c>
      <c r="V1812">
        <f t="shared" si="114"/>
        <v>9.0823933576455609</v>
      </c>
      <c r="W1812">
        <v>1</v>
      </c>
      <c r="X1812">
        <v>0</v>
      </c>
      <c r="Y1812">
        <v>1</v>
      </c>
      <c r="Z1812">
        <f>'Résultat (Ln)'!F$30+'Résultat (Ln)'!F$31*Données!S1812+'Résultat (Ln)'!F$32*Données!T1812+'Résultat (Ln)'!F$33*Données!U1812+'Résultat (Ln)'!F$34*Données!V1812+'Résultat (Ln)'!F$35*Données!W1812+'Résultat (Ln)'!F$36*Données!X1812+'Résultat (Ln)'!F$37*Données!Y1812</f>
        <v>264415.3600729428</v>
      </c>
      <c r="AA1812">
        <f t="shared" si="115"/>
        <v>-6415.3600729427999</v>
      </c>
    </row>
    <row r="1813" spans="1:27" x14ac:dyDescent="0.25">
      <c r="A1813">
        <v>121000</v>
      </c>
      <c r="B1813">
        <v>1</v>
      </c>
      <c r="C1813">
        <v>47</v>
      </c>
      <c r="D1813">
        <v>0</v>
      </c>
      <c r="E1813">
        <v>383000</v>
      </c>
      <c r="F1813">
        <v>12724</v>
      </c>
      <c r="G1813">
        <v>0</v>
      </c>
      <c r="H1813">
        <v>0</v>
      </c>
      <c r="I1813">
        <v>1</v>
      </c>
      <c r="J1813">
        <v>22</v>
      </c>
      <c r="K1813">
        <v>0</v>
      </c>
      <c r="L1813">
        <f>Résultats!G$32+Résultats!G$33*Données!C1813+Résultats!G$34*Données!D1813+Résultats!G$35*Données!E1813+Résultats!G$36*Données!F1813+Résultats!G$37*Données!G1813+Résultats!G$38*Données!H1813+Résultats!G$39*Données!I1813</f>
        <v>263974.07901487802</v>
      </c>
      <c r="M1813">
        <f t="shared" si="112"/>
        <v>-142974.07901487802</v>
      </c>
      <c r="Q1813">
        <v>120000</v>
      </c>
      <c r="R1813">
        <v>1</v>
      </c>
      <c r="S1813">
        <v>38</v>
      </c>
      <c r="T1813">
        <v>0</v>
      </c>
      <c r="U1813">
        <f t="shared" si="113"/>
        <v>11.918390573078392</v>
      </c>
      <c r="V1813">
        <f t="shared" si="114"/>
        <v>8.4044723213521184</v>
      </c>
      <c r="W1813">
        <v>1</v>
      </c>
      <c r="X1813">
        <v>0</v>
      </c>
      <c r="Y1813">
        <v>0</v>
      </c>
      <c r="Z1813">
        <f>'Résultat (Ln)'!F$30+'Résultat (Ln)'!F$31*Données!S1813+'Résultat (Ln)'!F$32*Données!T1813+'Résultat (Ln)'!F$33*Données!U1813+'Résultat (Ln)'!F$34*Données!V1813+'Résultat (Ln)'!F$35*Données!W1813+'Résultat (Ln)'!F$36*Données!X1813+'Résultat (Ln)'!F$37*Données!Y1813</f>
        <v>134430.27967737868</v>
      </c>
      <c r="AA1813">
        <f t="shared" si="115"/>
        <v>-14430.279677378683</v>
      </c>
    </row>
    <row r="1814" spans="1:27" x14ac:dyDescent="0.25">
      <c r="A1814">
        <v>76000</v>
      </c>
      <c r="B1814">
        <v>1</v>
      </c>
      <c r="C1814">
        <v>38.400001525878913</v>
      </c>
      <c r="D1814">
        <v>0</v>
      </c>
      <c r="E1814">
        <v>146000</v>
      </c>
      <c r="F1814">
        <v>2896</v>
      </c>
      <c r="G1814">
        <v>0</v>
      </c>
      <c r="H1814">
        <v>0</v>
      </c>
      <c r="I1814">
        <v>0</v>
      </c>
      <c r="J1814">
        <v>28</v>
      </c>
      <c r="K1814">
        <v>1</v>
      </c>
      <c r="L1814">
        <f>Résultats!G$32+Résultats!G$33*Données!C1814+Résultats!G$34*Données!D1814+Résultats!G$35*Données!E1814+Résultats!G$36*Données!F1814+Résultats!G$37*Données!G1814+Résultats!G$38*Données!H1814+Résultats!G$39*Données!I1814</f>
        <v>114457.5597441695</v>
      </c>
      <c r="M1814">
        <f t="shared" si="112"/>
        <v>-38457.559744169499</v>
      </c>
      <c r="Q1814">
        <v>121000</v>
      </c>
      <c r="R1814">
        <v>1</v>
      </c>
      <c r="S1814">
        <v>47</v>
      </c>
      <c r="T1814">
        <v>0</v>
      </c>
      <c r="U1814">
        <f t="shared" si="113"/>
        <v>12.855790268162783</v>
      </c>
      <c r="V1814">
        <f t="shared" si="114"/>
        <v>9.4512452528690343</v>
      </c>
      <c r="W1814">
        <v>0</v>
      </c>
      <c r="X1814">
        <v>0</v>
      </c>
      <c r="Y1814">
        <v>1</v>
      </c>
      <c r="Z1814">
        <f>'Résultat (Ln)'!F$30+'Résultat (Ln)'!F$31*Données!S1814+'Résultat (Ln)'!F$32*Données!T1814+'Résultat (Ln)'!F$33*Données!U1814+'Résultat (Ln)'!F$34*Données!V1814+'Résultat (Ln)'!F$35*Données!W1814+'Résultat (Ln)'!F$36*Données!X1814+'Résultat (Ln)'!F$37*Données!Y1814</f>
        <v>284844.216538815</v>
      </c>
      <c r="AA1814">
        <f t="shared" si="115"/>
        <v>-163844.216538815</v>
      </c>
    </row>
    <row r="1815" spans="1:27" x14ac:dyDescent="0.25">
      <c r="A1815">
        <v>70000</v>
      </c>
      <c r="B1815">
        <v>1</v>
      </c>
      <c r="C1815">
        <v>39</v>
      </c>
      <c r="D1815">
        <v>0</v>
      </c>
      <c r="E1815">
        <v>78000</v>
      </c>
      <c r="F1815">
        <v>3333</v>
      </c>
      <c r="G1815">
        <v>0</v>
      </c>
      <c r="H1815">
        <v>1</v>
      </c>
      <c r="I1815">
        <v>1</v>
      </c>
      <c r="J1815">
        <v>26</v>
      </c>
      <c r="K1815">
        <v>1</v>
      </c>
      <c r="L1815">
        <f>Résultats!G$32+Résultats!G$33*Données!C1815+Résultats!G$34*Données!D1815+Résultats!G$35*Données!E1815+Résultats!G$36*Données!F1815+Résultats!G$37*Données!G1815+Résultats!G$38*Données!H1815+Résultats!G$39*Données!I1815</f>
        <v>92540.931405796786</v>
      </c>
      <c r="M1815">
        <f t="shared" si="112"/>
        <v>-22540.931405796786</v>
      </c>
      <c r="Q1815">
        <v>76000</v>
      </c>
      <c r="R1815">
        <v>1</v>
      </c>
      <c r="S1815">
        <v>38.400001525878913</v>
      </c>
      <c r="T1815">
        <v>0</v>
      </c>
      <c r="U1815">
        <f t="shared" si="113"/>
        <v>11.891361900690473</v>
      </c>
      <c r="V1815">
        <f t="shared" si="114"/>
        <v>7.9710857535056068</v>
      </c>
      <c r="W1815">
        <v>0</v>
      </c>
      <c r="X1815">
        <v>0</v>
      </c>
      <c r="Y1815">
        <v>0</v>
      </c>
      <c r="Z1815">
        <f>'Résultat (Ln)'!F$30+'Résultat (Ln)'!F$31*Données!S1815+'Résultat (Ln)'!F$32*Données!T1815+'Résultat (Ln)'!F$33*Données!U1815+'Résultat (Ln)'!F$34*Données!V1815+'Résultat (Ln)'!F$35*Données!W1815+'Résultat (Ln)'!F$36*Données!X1815+'Résultat (Ln)'!F$37*Données!Y1815</f>
        <v>115353.04330101778</v>
      </c>
      <c r="AA1815">
        <f t="shared" si="115"/>
        <v>-39353.04330101778</v>
      </c>
    </row>
    <row r="1816" spans="1:27" x14ac:dyDescent="0.25">
      <c r="A1816">
        <v>123000</v>
      </c>
      <c r="B1816">
        <v>1</v>
      </c>
      <c r="C1816">
        <v>25.39999961853027</v>
      </c>
      <c r="D1816">
        <v>0</v>
      </c>
      <c r="E1816">
        <v>129000</v>
      </c>
      <c r="F1816">
        <v>3400</v>
      </c>
      <c r="G1816">
        <v>1</v>
      </c>
      <c r="H1816">
        <v>0</v>
      </c>
      <c r="I1816">
        <v>0</v>
      </c>
      <c r="J1816">
        <v>20.29999923706055</v>
      </c>
      <c r="K1816">
        <v>1</v>
      </c>
      <c r="L1816">
        <f>Résultats!G$32+Résultats!G$33*Données!C1816+Résultats!G$34*Données!D1816+Résultats!G$35*Données!E1816+Résultats!G$36*Données!F1816+Résultats!G$37*Données!G1816+Résultats!G$38*Données!H1816+Résultats!G$39*Données!I1816</f>
        <v>99579.900370679112</v>
      </c>
      <c r="M1816">
        <f t="shared" si="112"/>
        <v>23420.099629320888</v>
      </c>
      <c r="Q1816">
        <v>70000</v>
      </c>
      <c r="R1816">
        <v>1</v>
      </c>
      <c r="S1816">
        <v>39</v>
      </c>
      <c r="T1816">
        <v>0</v>
      </c>
      <c r="U1816">
        <f t="shared" si="113"/>
        <v>11.264464105671729</v>
      </c>
      <c r="V1816">
        <f t="shared" si="114"/>
        <v>8.1116280783077404</v>
      </c>
      <c r="W1816">
        <v>0</v>
      </c>
      <c r="X1816">
        <v>1</v>
      </c>
      <c r="Y1816">
        <v>1</v>
      </c>
      <c r="Z1816">
        <f>'Résultat (Ln)'!F$30+'Résultat (Ln)'!F$31*Données!S1816+'Résultat (Ln)'!F$32*Données!T1816+'Résultat (Ln)'!F$33*Données!U1816+'Résultat (Ln)'!F$34*Données!V1816+'Résultat (Ln)'!F$35*Données!W1816+'Résultat (Ln)'!F$36*Données!X1816+'Résultat (Ln)'!F$37*Données!Y1816</f>
        <v>66736.614593789913</v>
      </c>
      <c r="AA1816">
        <f t="shared" si="115"/>
        <v>3263.3854062100872</v>
      </c>
    </row>
    <row r="1817" spans="1:27" x14ac:dyDescent="0.25">
      <c r="A1817">
        <v>118000</v>
      </c>
      <c r="B1817">
        <v>1</v>
      </c>
      <c r="C1817">
        <v>40.299999237060547</v>
      </c>
      <c r="D1817">
        <v>0</v>
      </c>
      <c r="E1817">
        <v>225000</v>
      </c>
      <c r="F1817">
        <v>5500</v>
      </c>
      <c r="G1817">
        <v>1</v>
      </c>
      <c r="H1817">
        <v>0</v>
      </c>
      <c r="I1817">
        <v>0</v>
      </c>
      <c r="J1817">
        <v>24.10000038146973</v>
      </c>
      <c r="K1817">
        <v>1</v>
      </c>
      <c r="L1817">
        <f>Résultats!G$32+Résultats!G$33*Données!C1817+Résultats!G$34*Données!D1817+Résultats!G$35*Données!E1817+Résultats!G$36*Données!F1817+Résultats!G$37*Données!G1817+Résultats!G$38*Données!H1817+Résultats!G$39*Données!I1817</f>
        <v>165591.95584200908</v>
      </c>
      <c r="M1817">
        <f t="shared" si="112"/>
        <v>-47591.955842009076</v>
      </c>
      <c r="Q1817">
        <v>123000</v>
      </c>
      <c r="R1817">
        <v>1</v>
      </c>
      <c r="S1817">
        <v>25.39999961853027</v>
      </c>
      <c r="T1817">
        <v>0</v>
      </c>
      <c r="U1817">
        <f t="shared" si="113"/>
        <v>11.76756768334381</v>
      </c>
      <c r="V1817">
        <f t="shared" si="114"/>
        <v>8.1315307106042525</v>
      </c>
      <c r="W1817">
        <v>1</v>
      </c>
      <c r="X1817">
        <v>0</v>
      </c>
      <c r="Y1817">
        <v>0</v>
      </c>
      <c r="Z1817">
        <f>'Résultat (Ln)'!F$30+'Résultat (Ln)'!F$31*Données!S1817+'Résultat (Ln)'!F$32*Données!T1817+'Résultat (Ln)'!F$33*Données!U1817+'Résultat (Ln)'!F$34*Données!V1817+'Résultat (Ln)'!F$35*Données!W1817+'Résultat (Ln)'!F$36*Données!X1817+'Résultat (Ln)'!F$37*Données!Y1817</f>
        <v>95210.15402213404</v>
      </c>
      <c r="AA1817">
        <f t="shared" si="115"/>
        <v>27789.84597786596</v>
      </c>
    </row>
    <row r="1818" spans="1:27" x14ac:dyDescent="0.25">
      <c r="A1818">
        <v>203000</v>
      </c>
      <c r="B1818">
        <v>1</v>
      </c>
      <c r="C1818">
        <v>43</v>
      </c>
      <c r="D1818">
        <v>0</v>
      </c>
      <c r="E1818">
        <v>225000</v>
      </c>
      <c r="F1818">
        <v>5833</v>
      </c>
      <c r="G1818">
        <v>0</v>
      </c>
      <c r="H1818">
        <v>0</v>
      </c>
      <c r="I1818">
        <v>0</v>
      </c>
      <c r="J1818">
        <v>36</v>
      </c>
      <c r="K1818">
        <v>1</v>
      </c>
      <c r="L1818">
        <f>Résultats!G$32+Résultats!G$33*Données!C1818+Résultats!G$34*Données!D1818+Résultats!G$35*Données!E1818+Résultats!G$36*Données!F1818+Résultats!G$37*Données!G1818+Résultats!G$38*Données!H1818+Résultats!G$39*Données!I1818</f>
        <v>162322.03145374096</v>
      </c>
      <c r="M1818">
        <f t="shared" si="112"/>
        <v>40677.968546259042</v>
      </c>
      <c r="Q1818">
        <v>118000</v>
      </c>
      <c r="R1818">
        <v>1</v>
      </c>
      <c r="S1818">
        <v>40.299999237060547</v>
      </c>
      <c r="T1818">
        <v>0</v>
      </c>
      <c r="U1818">
        <f t="shared" si="113"/>
        <v>12.323855681186558</v>
      </c>
      <c r="V1818">
        <f t="shared" si="114"/>
        <v>8.6125033712205621</v>
      </c>
      <c r="W1818">
        <v>1</v>
      </c>
      <c r="X1818">
        <v>0</v>
      </c>
      <c r="Y1818">
        <v>0</v>
      </c>
      <c r="Z1818">
        <f>'Résultat (Ln)'!F$30+'Résultat (Ln)'!F$31*Données!S1818+'Résultat (Ln)'!F$32*Données!T1818+'Résultat (Ln)'!F$33*Données!U1818+'Résultat (Ln)'!F$34*Données!V1818+'Résultat (Ln)'!F$35*Données!W1818+'Résultat (Ln)'!F$36*Données!X1818+'Résultat (Ln)'!F$37*Données!Y1818</f>
        <v>186539.43062698474</v>
      </c>
      <c r="AA1818">
        <f t="shared" si="115"/>
        <v>-68539.430626984744</v>
      </c>
    </row>
    <row r="1819" spans="1:27" x14ac:dyDescent="0.25">
      <c r="A1819">
        <v>9000</v>
      </c>
      <c r="B1819">
        <v>1</v>
      </c>
      <c r="C1819">
        <v>35</v>
      </c>
      <c r="D1819">
        <v>0</v>
      </c>
      <c r="E1819">
        <v>61000</v>
      </c>
      <c r="F1819">
        <v>2378</v>
      </c>
      <c r="G1819">
        <v>0</v>
      </c>
      <c r="H1819">
        <v>0</v>
      </c>
      <c r="I1819">
        <v>0</v>
      </c>
      <c r="J1819">
        <v>28</v>
      </c>
      <c r="K1819">
        <v>0</v>
      </c>
      <c r="L1819">
        <f>Résultats!G$32+Résultats!G$33*Données!C1819+Résultats!G$34*Données!D1819+Résultats!G$35*Données!E1819+Résultats!G$36*Données!F1819+Résultats!G$37*Données!G1819+Résultats!G$38*Données!H1819+Résultats!G$39*Données!I1819</f>
        <v>69857.277009803074</v>
      </c>
      <c r="M1819">
        <f t="shared" si="112"/>
        <v>-60857.277009803074</v>
      </c>
      <c r="Q1819">
        <v>203000</v>
      </c>
      <c r="R1819">
        <v>1</v>
      </c>
      <c r="S1819">
        <v>43</v>
      </c>
      <c r="T1819">
        <v>0</v>
      </c>
      <c r="U1819">
        <f t="shared" si="113"/>
        <v>12.323855681186558</v>
      </c>
      <c r="V1819">
        <f t="shared" si="114"/>
        <v>8.6712867267536371</v>
      </c>
      <c r="W1819">
        <v>0</v>
      </c>
      <c r="X1819">
        <v>0</v>
      </c>
      <c r="Y1819">
        <v>0</v>
      </c>
      <c r="Z1819">
        <f>'Résultat (Ln)'!F$30+'Résultat (Ln)'!F$31*Données!S1819+'Résultat (Ln)'!F$32*Données!T1819+'Résultat (Ln)'!F$33*Données!U1819+'Résultat (Ln)'!F$34*Données!V1819+'Résultat (Ln)'!F$35*Données!W1819+'Résultat (Ln)'!F$36*Données!X1819+'Résultat (Ln)'!F$37*Données!Y1819</f>
        <v>186973.53712760369</v>
      </c>
      <c r="AA1819">
        <f t="shared" si="115"/>
        <v>16026.462872396311</v>
      </c>
    </row>
    <row r="1820" spans="1:27" x14ac:dyDescent="0.25">
      <c r="A1820">
        <v>104000</v>
      </c>
      <c r="B1820">
        <v>1</v>
      </c>
      <c r="C1820">
        <v>30</v>
      </c>
      <c r="D1820">
        <v>1</v>
      </c>
      <c r="E1820">
        <v>130000</v>
      </c>
      <c r="F1820">
        <v>3166</v>
      </c>
      <c r="G1820">
        <v>1</v>
      </c>
      <c r="H1820">
        <v>0</v>
      </c>
      <c r="I1820">
        <v>1</v>
      </c>
      <c r="J1820">
        <v>20</v>
      </c>
      <c r="K1820">
        <v>1</v>
      </c>
      <c r="L1820">
        <f>Résultats!G$32+Résultats!G$33*Données!C1820+Résultats!G$34*Données!D1820+Résultats!G$35*Données!E1820+Résultats!G$36*Données!F1820+Résultats!G$37*Données!G1820+Résultats!G$38*Données!H1820+Résultats!G$39*Données!I1820</f>
        <v>119651.00115014878</v>
      </c>
      <c r="M1820">
        <f t="shared" si="112"/>
        <v>-15651.001150148775</v>
      </c>
      <c r="Q1820">
        <v>9000</v>
      </c>
      <c r="R1820">
        <v>1</v>
      </c>
      <c r="S1820">
        <v>35</v>
      </c>
      <c r="T1820">
        <v>0</v>
      </c>
      <c r="U1820">
        <f t="shared" si="113"/>
        <v>11.018629143155449</v>
      </c>
      <c r="V1820">
        <f t="shared" si="114"/>
        <v>7.774015077250727</v>
      </c>
      <c r="W1820">
        <v>0</v>
      </c>
      <c r="X1820">
        <v>0</v>
      </c>
      <c r="Y1820">
        <v>0</v>
      </c>
      <c r="Z1820">
        <f>'Résultat (Ln)'!F$30+'Résultat (Ln)'!F$31*Données!S1820+'Résultat (Ln)'!F$32*Données!T1820+'Résultat (Ln)'!F$33*Données!U1820+'Résultat (Ln)'!F$34*Données!V1820+'Résultat (Ln)'!F$35*Données!W1820+'Résultat (Ln)'!F$36*Données!X1820+'Résultat (Ln)'!F$37*Données!Y1820</f>
        <v>12118.016520966485</v>
      </c>
      <c r="AA1820">
        <f t="shared" si="115"/>
        <v>-3118.0165209664847</v>
      </c>
    </row>
    <row r="1821" spans="1:27" x14ac:dyDescent="0.25">
      <c r="A1821">
        <v>186000</v>
      </c>
      <c r="B1821">
        <v>1</v>
      </c>
      <c r="C1821">
        <v>41</v>
      </c>
      <c r="D1821">
        <v>0</v>
      </c>
      <c r="E1821">
        <v>207000</v>
      </c>
      <c r="F1821">
        <v>3417</v>
      </c>
      <c r="G1821">
        <v>1</v>
      </c>
      <c r="H1821">
        <v>0</v>
      </c>
      <c r="I1821">
        <v>1</v>
      </c>
      <c r="J1821">
        <v>31.469999313354489</v>
      </c>
      <c r="K1821">
        <v>1</v>
      </c>
      <c r="L1821">
        <f>Résultats!G$32+Résultats!G$33*Données!C1821+Résultats!G$34*Données!D1821+Résultats!G$35*Données!E1821+Résultats!G$36*Données!F1821+Résultats!G$37*Données!G1821+Résultats!G$38*Données!H1821+Résultats!G$39*Données!I1821</f>
        <v>163879.91292174975</v>
      </c>
      <c r="M1821">
        <f t="shared" si="112"/>
        <v>22120.087078250246</v>
      </c>
      <c r="Q1821">
        <v>104000</v>
      </c>
      <c r="R1821">
        <v>1</v>
      </c>
      <c r="S1821">
        <v>30</v>
      </c>
      <c r="T1821">
        <v>1</v>
      </c>
      <c r="U1821">
        <f t="shared" si="113"/>
        <v>11.77528972943772</v>
      </c>
      <c r="V1821">
        <f t="shared" si="114"/>
        <v>8.0602242404409576</v>
      </c>
      <c r="W1821">
        <v>1</v>
      </c>
      <c r="X1821">
        <v>0</v>
      </c>
      <c r="Y1821">
        <v>1</v>
      </c>
      <c r="Z1821">
        <f>'Résultat (Ln)'!F$30+'Résultat (Ln)'!F$31*Données!S1821+'Résultat (Ln)'!F$32*Données!T1821+'Résultat (Ln)'!F$33*Données!U1821+'Résultat (Ln)'!F$34*Données!V1821+'Résultat (Ln)'!F$35*Données!W1821+'Résultat (Ln)'!F$36*Données!X1821+'Résultat (Ln)'!F$37*Données!Y1821</f>
        <v>118095.20847637601</v>
      </c>
      <c r="AA1821">
        <f t="shared" si="115"/>
        <v>-14095.208476376007</v>
      </c>
    </row>
    <row r="1822" spans="1:27" x14ac:dyDescent="0.25">
      <c r="A1822">
        <v>113000</v>
      </c>
      <c r="B1822">
        <v>1</v>
      </c>
      <c r="C1822">
        <v>38.5</v>
      </c>
      <c r="D1822">
        <v>0</v>
      </c>
      <c r="E1822">
        <v>125000</v>
      </c>
      <c r="F1822">
        <v>4709</v>
      </c>
      <c r="G1822">
        <v>1</v>
      </c>
      <c r="H1822">
        <v>0</v>
      </c>
      <c r="I1822">
        <v>0</v>
      </c>
      <c r="J1822">
        <v>24.20000076293945</v>
      </c>
      <c r="K1822">
        <v>0</v>
      </c>
      <c r="L1822">
        <f>Résultats!G$32+Résultats!G$33*Données!C1822+Résultats!G$34*Données!D1822+Résultats!G$35*Données!E1822+Résultats!G$36*Données!F1822+Résultats!G$37*Données!G1822+Résultats!G$38*Données!H1822+Résultats!G$39*Données!I1822</f>
        <v>115296.23336238829</v>
      </c>
      <c r="M1822">
        <f t="shared" si="112"/>
        <v>-2296.2333623882878</v>
      </c>
      <c r="Q1822">
        <v>186000</v>
      </c>
      <c r="R1822">
        <v>1</v>
      </c>
      <c r="S1822">
        <v>41</v>
      </c>
      <c r="T1822">
        <v>0</v>
      </c>
      <c r="U1822">
        <f t="shared" si="113"/>
        <v>12.240474072247506</v>
      </c>
      <c r="V1822">
        <f t="shared" si="114"/>
        <v>8.136518252115291</v>
      </c>
      <c r="W1822">
        <v>1</v>
      </c>
      <c r="X1822">
        <v>0</v>
      </c>
      <c r="Y1822">
        <v>1</v>
      </c>
      <c r="Z1822">
        <f>'Résultat (Ln)'!F$30+'Résultat (Ln)'!F$31*Données!S1822+'Résultat (Ln)'!F$32*Données!T1822+'Résultat (Ln)'!F$33*Données!U1822+'Résultat (Ln)'!F$34*Données!V1822+'Résultat (Ln)'!F$35*Données!W1822+'Résultat (Ln)'!F$36*Données!X1822+'Résultat (Ln)'!F$37*Données!Y1822</f>
        <v>179194.27229609256</v>
      </c>
      <c r="AA1822">
        <f t="shared" si="115"/>
        <v>6805.7277039074397</v>
      </c>
    </row>
    <row r="1823" spans="1:27" x14ac:dyDescent="0.25">
      <c r="A1823">
        <v>77000</v>
      </c>
      <c r="B1823">
        <v>1</v>
      </c>
      <c r="C1823">
        <v>22</v>
      </c>
      <c r="D1823">
        <v>0</v>
      </c>
      <c r="E1823">
        <v>97000</v>
      </c>
      <c r="F1823">
        <v>3139</v>
      </c>
      <c r="G1823">
        <v>1</v>
      </c>
      <c r="H1823">
        <v>0</v>
      </c>
      <c r="I1823">
        <v>1</v>
      </c>
      <c r="J1823">
        <v>13</v>
      </c>
      <c r="K1823">
        <v>1</v>
      </c>
      <c r="L1823">
        <f>Résultats!G$32+Résultats!G$33*Données!C1823+Résultats!G$34*Données!D1823+Résultats!G$35*Données!E1823+Résultats!G$36*Données!F1823+Résultats!G$37*Données!G1823+Résultats!G$38*Données!H1823+Résultats!G$39*Données!I1823</f>
        <v>90151.611276844502</v>
      </c>
      <c r="M1823">
        <f t="shared" si="112"/>
        <v>-13151.611276844502</v>
      </c>
      <c r="Q1823">
        <v>113000</v>
      </c>
      <c r="R1823">
        <v>1</v>
      </c>
      <c r="S1823">
        <v>38.5</v>
      </c>
      <c r="T1823">
        <v>0</v>
      </c>
      <c r="U1823">
        <f t="shared" si="113"/>
        <v>11.736069016284437</v>
      </c>
      <c r="V1823">
        <f t="shared" si="114"/>
        <v>8.4572308502435547</v>
      </c>
      <c r="W1823">
        <v>1</v>
      </c>
      <c r="X1823">
        <v>0</v>
      </c>
      <c r="Y1823">
        <v>0</v>
      </c>
      <c r="Z1823">
        <f>'Résultat (Ln)'!F$30+'Résultat (Ln)'!F$31*Données!S1823+'Résultat (Ln)'!F$32*Données!T1823+'Résultat (Ln)'!F$33*Données!U1823+'Résultat (Ln)'!F$34*Données!V1823+'Résultat (Ln)'!F$35*Données!W1823+'Résultat (Ln)'!F$36*Données!X1823+'Résultat (Ln)'!F$37*Données!Y1823</f>
        <v>116976.89239087237</v>
      </c>
      <c r="AA1823">
        <f t="shared" si="115"/>
        <v>-3976.8923908723664</v>
      </c>
    </row>
    <row r="1824" spans="1:27" x14ac:dyDescent="0.25">
      <c r="A1824">
        <v>100000</v>
      </c>
      <c r="B1824">
        <v>1</v>
      </c>
      <c r="C1824">
        <v>30</v>
      </c>
      <c r="D1824">
        <v>0</v>
      </c>
      <c r="E1824">
        <v>197000</v>
      </c>
      <c r="F1824">
        <v>4606</v>
      </c>
      <c r="G1824">
        <v>0</v>
      </c>
      <c r="H1824">
        <v>0</v>
      </c>
      <c r="I1824">
        <v>0</v>
      </c>
      <c r="J1824">
        <v>25</v>
      </c>
      <c r="K1824">
        <v>1</v>
      </c>
      <c r="L1824">
        <f>Résultats!G$32+Résultats!G$33*Données!C1824+Résultats!G$34*Données!D1824+Résultats!G$35*Données!E1824+Résultats!G$36*Données!F1824+Résultats!G$37*Données!G1824+Résultats!G$38*Données!H1824+Résultats!G$39*Données!I1824</f>
        <v>131936.9599045947</v>
      </c>
      <c r="M1824">
        <f t="shared" si="112"/>
        <v>-31936.959904594696</v>
      </c>
      <c r="Q1824">
        <v>77000</v>
      </c>
      <c r="R1824">
        <v>1</v>
      </c>
      <c r="S1824">
        <v>22</v>
      </c>
      <c r="T1824">
        <v>0</v>
      </c>
      <c r="U1824">
        <f t="shared" si="113"/>
        <v>11.48246625748552</v>
      </c>
      <c r="V1824">
        <f t="shared" si="114"/>
        <v>8.0516595568419529</v>
      </c>
      <c r="W1824">
        <v>1</v>
      </c>
      <c r="X1824">
        <v>0</v>
      </c>
      <c r="Y1824">
        <v>1</v>
      </c>
      <c r="Z1824">
        <f>'Résultat (Ln)'!F$30+'Résultat (Ln)'!F$31*Données!S1824+'Résultat (Ln)'!F$32*Données!T1824+'Résultat (Ln)'!F$33*Données!U1824+'Résultat (Ln)'!F$34*Données!V1824+'Résultat (Ln)'!F$35*Données!W1824+'Résultat (Ln)'!F$36*Données!X1824+'Résultat (Ln)'!F$37*Données!Y1824</f>
        <v>72340.48745366701</v>
      </c>
      <c r="AA1824">
        <f t="shared" si="115"/>
        <v>4659.5125463329896</v>
      </c>
    </row>
    <row r="1825" spans="1:27" x14ac:dyDescent="0.25">
      <c r="A1825">
        <v>123000</v>
      </c>
      <c r="B1825">
        <v>1</v>
      </c>
      <c r="C1825">
        <v>39</v>
      </c>
      <c r="D1825">
        <v>0</v>
      </c>
      <c r="E1825">
        <v>137000</v>
      </c>
      <c r="F1825">
        <v>3250</v>
      </c>
      <c r="G1825">
        <v>1</v>
      </c>
      <c r="H1825">
        <v>0</v>
      </c>
      <c r="I1825">
        <v>0</v>
      </c>
      <c r="J1825">
        <v>31</v>
      </c>
      <c r="K1825">
        <v>1</v>
      </c>
      <c r="L1825">
        <f>Résultats!G$32+Résultats!G$33*Données!C1825+Résultats!G$34*Données!D1825+Résultats!G$35*Données!E1825+Résultats!G$36*Données!F1825+Résultats!G$37*Données!G1825+Résultats!G$38*Données!H1825+Résultats!G$39*Données!I1825</f>
        <v>118646.77600938085</v>
      </c>
      <c r="M1825">
        <f t="shared" si="112"/>
        <v>4353.2239906191535</v>
      </c>
      <c r="Q1825">
        <v>100000</v>
      </c>
      <c r="R1825">
        <v>1</v>
      </c>
      <c r="S1825">
        <v>30</v>
      </c>
      <c r="T1825">
        <v>0</v>
      </c>
      <c r="U1825">
        <f t="shared" si="113"/>
        <v>12.190959007720126</v>
      </c>
      <c r="V1825">
        <f t="shared" si="114"/>
        <v>8.4351150803806298</v>
      </c>
      <c r="W1825">
        <v>0</v>
      </c>
      <c r="X1825">
        <v>0</v>
      </c>
      <c r="Y1825">
        <v>0</v>
      </c>
      <c r="Z1825">
        <f>'Résultat (Ln)'!F$30+'Résultat (Ln)'!F$31*Données!S1825+'Résultat (Ln)'!F$32*Données!T1825+'Résultat (Ln)'!F$33*Données!U1825+'Résultat (Ln)'!F$34*Données!V1825+'Résultat (Ln)'!F$35*Données!W1825+'Résultat (Ln)'!F$36*Données!X1825+'Résultat (Ln)'!F$37*Données!Y1825</f>
        <v>150217.44926195696</v>
      </c>
      <c r="AA1825">
        <f t="shared" si="115"/>
        <v>-50217.449261956965</v>
      </c>
    </row>
    <row r="1826" spans="1:27" x14ac:dyDescent="0.25">
      <c r="A1826">
        <v>165000</v>
      </c>
      <c r="B1826">
        <v>1</v>
      </c>
      <c r="C1826">
        <v>32.200000762939453</v>
      </c>
      <c r="D1826">
        <v>0</v>
      </c>
      <c r="E1826">
        <v>185000</v>
      </c>
      <c r="F1826">
        <v>5116</v>
      </c>
      <c r="G1826">
        <v>1</v>
      </c>
      <c r="H1826">
        <v>0</v>
      </c>
      <c r="I1826">
        <v>0</v>
      </c>
      <c r="J1826">
        <v>26.89999961853027</v>
      </c>
      <c r="K1826">
        <v>1</v>
      </c>
      <c r="L1826">
        <f>Résultats!G$32+Résultats!G$33*Données!C1826+Résultats!G$34*Données!D1826+Résultats!G$35*Données!E1826+Résultats!G$36*Données!F1826+Résultats!G$37*Données!G1826+Résultats!G$38*Données!H1826+Résultats!G$39*Données!I1826</f>
        <v>136865.48642853231</v>
      </c>
      <c r="M1826">
        <f t="shared" si="112"/>
        <v>28134.513571467687</v>
      </c>
      <c r="Q1826">
        <v>123000</v>
      </c>
      <c r="R1826">
        <v>1</v>
      </c>
      <c r="S1826">
        <v>39</v>
      </c>
      <c r="T1826">
        <v>0</v>
      </c>
      <c r="U1826">
        <f t="shared" si="113"/>
        <v>11.827736204810263</v>
      </c>
      <c r="V1826">
        <f t="shared" si="114"/>
        <v>8.0864102753237823</v>
      </c>
      <c r="W1826">
        <v>1</v>
      </c>
      <c r="X1826">
        <v>0</v>
      </c>
      <c r="Y1826">
        <v>0</v>
      </c>
      <c r="Z1826">
        <f>'Résultat (Ln)'!F$30+'Résultat (Ln)'!F$31*Données!S1826+'Résultat (Ln)'!F$32*Données!T1826+'Résultat (Ln)'!F$33*Données!U1826+'Résultat (Ln)'!F$34*Données!V1826+'Résultat (Ln)'!F$35*Données!W1826+'Résultat (Ln)'!F$36*Données!X1826+'Résultat (Ln)'!F$37*Données!Y1826</f>
        <v>117014.27202806291</v>
      </c>
      <c r="AA1826">
        <f t="shared" si="115"/>
        <v>5985.7279719370854</v>
      </c>
    </row>
    <row r="1827" spans="1:27" x14ac:dyDescent="0.25">
      <c r="A1827">
        <v>187000</v>
      </c>
      <c r="B1827">
        <v>1</v>
      </c>
      <c r="C1827">
        <v>29.70000076293945</v>
      </c>
      <c r="D1827">
        <v>0</v>
      </c>
      <c r="E1827">
        <v>268000</v>
      </c>
      <c r="F1827">
        <v>4583</v>
      </c>
      <c r="G1827">
        <v>1</v>
      </c>
      <c r="H1827">
        <v>0</v>
      </c>
      <c r="I1827">
        <v>0</v>
      </c>
      <c r="J1827">
        <v>25.020000457763668</v>
      </c>
      <c r="K1827">
        <v>1</v>
      </c>
      <c r="L1827">
        <f>Résultats!G$32+Résultats!G$33*Données!C1827+Résultats!G$34*Données!D1827+Résultats!G$35*Données!E1827+Résultats!G$36*Données!F1827+Résultats!G$37*Données!G1827+Résultats!G$38*Données!H1827+Résultats!G$39*Données!I1827</f>
        <v>171718.09111461762</v>
      </c>
      <c r="M1827">
        <f t="shared" si="112"/>
        <v>15281.908885382378</v>
      </c>
      <c r="Q1827">
        <v>165000</v>
      </c>
      <c r="R1827">
        <v>1</v>
      </c>
      <c r="S1827">
        <v>32.200000762939453</v>
      </c>
      <c r="T1827">
        <v>0</v>
      </c>
      <c r="U1827">
        <f t="shared" si="113"/>
        <v>12.128111104060462</v>
      </c>
      <c r="V1827">
        <f t="shared" si="114"/>
        <v>8.5401281626987338</v>
      </c>
      <c r="W1827">
        <v>1</v>
      </c>
      <c r="X1827">
        <v>0</v>
      </c>
      <c r="Y1827">
        <v>0</v>
      </c>
      <c r="Z1827">
        <f>'Résultat (Ln)'!F$30+'Résultat (Ln)'!F$31*Données!S1827+'Résultat (Ln)'!F$32*Données!T1827+'Résultat (Ln)'!F$33*Données!U1827+'Résultat (Ln)'!F$34*Données!V1827+'Résultat (Ln)'!F$35*Données!W1827+'Résultat (Ln)'!F$36*Données!X1827+'Résultat (Ln)'!F$37*Données!Y1827</f>
        <v>153628.12971828884</v>
      </c>
      <c r="AA1827">
        <f t="shared" si="115"/>
        <v>11371.870281711163</v>
      </c>
    </row>
    <row r="1828" spans="1:27" x14ac:dyDescent="0.25">
      <c r="A1828">
        <v>35000</v>
      </c>
      <c r="B1828">
        <v>1</v>
      </c>
      <c r="C1828">
        <v>17</v>
      </c>
      <c r="D1828">
        <v>0</v>
      </c>
      <c r="E1828">
        <v>45000</v>
      </c>
      <c r="F1828">
        <v>1516</v>
      </c>
      <c r="G1828">
        <v>1</v>
      </c>
      <c r="H1828">
        <v>0</v>
      </c>
      <c r="I1828">
        <v>0</v>
      </c>
      <c r="J1828">
        <v>13.69999980926514</v>
      </c>
      <c r="K1828">
        <v>1</v>
      </c>
      <c r="L1828">
        <f>Résultats!G$32+Résultats!G$33*Données!C1828+Résultats!G$34*Données!D1828+Résultats!G$35*Données!E1828+Résultats!G$36*Données!F1828+Résultats!G$37*Données!G1828+Résultats!G$38*Données!H1828+Résultats!G$39*Données!I1828</f>
        <v>47056.203658689075</v>
      </c>
      <c r="M1828">
        <f t="shared" si="112"/>
        <v>-12056.203658689075</v>
      </c>
      <c r="Q1828">
        <v>187000</v>
      </c>
      <c r="R1828">
        <v>1</v>
      </c>
      <c r="S1828">
        <v>29.70000076293945</v>
      </c>
      <c r="T1828">
        <v>0</v>
      </c>
      <c r="U1828">
        <f t="shared" si="113"/>
        <v>12.498742259492994</v>
      </c>
      <c r="V1828">
        <f t="shared" si="114"/>
        <v>8.4301090845091249</v>
      </c>
      <c r="W1828">
        <v>1</v>
      </c>
      <c r="X1828">
        <v>0</v>
      </c>
      <c r="Y1828">
        <v>0</v>
      </c>
      <c r="Z1828">
        <f>'Résultat (Ln)'!F$30+'Résultat (Ln)'!F$31*Données!S1828+'Résultat (Ln)'!F$32*Données!T1828+'Résultat (Ln)'!F$33*Données!U1828+'Résultat (Ln)'!F$34*Données!V1828+'Résultat (Ln)'!F$35*Données!W1828+'Résultat (Ln)'!F$36*Données!X1828+'Résultat (Ln)'!F$37*Données!Y1828</f>
        <v>187217.47164227793</v>
      </c>
      <c r="AA1828">
        <f t="shared" si="115"/>
        <v>-217.4716422779311</v>
      </c>
    </row>
    <row r="1829" spans="1:27" x14ac:dyDescent="0.25">
      <c r="A1829">
        <v>46000</v>
      </c>
      <c r="B1829">
        <v>1</v>
      </c>
      <c r="C1829">
        <v>39.200000762939453</v>
      </c>
      <c r="D1829">
        <v>0</v>
      </c>
      <c r="E1829">
        <v>76000</v>
      </c>
      <c r="F1829">
        <v>2400</v>
      </c>
      <c r="G1829">
        <v>0</v>
      </c>
      <c r="H1829">
        <v>0</v>
      </c>
      <c r="I1829">
        <v>0</v>
      </c>
      <c r="J1829">
        <v>24.79000091552734</v>
      </c>
      <c r="K1829">
        <v>1</v>
      </c>
      <c r="L1829">
        <f>Résultats!G$32+Résultats!G$33*Données!C1829+Résultats!G$34*Données!D1829+Résultats!G$35*Données!E1829+Résultats!G$36*Données!F1829+Résultats!G$37*Données!G1829+Résultats!G$38*Données!H1829+Résultats!G$39*Données!I1829</f>
        <v>81728.623830599419</v>
      </c>
      <c r="M1829">
        <f t="shared" si="112"/>
        <v>-35728.623830599419</v>
      </c>
      <c r="Q1829">
        <v>35000</v>
      </c>
      <c r="R1829">
        <v>1</v>
      </c>
      <c r="S1829">
        <v>17</v>
      </c>
      <c r="T1829">
        <v>0</v>
      </c>
      <c r="U1829">
        <f t="shared" si="113"/>
        <v>10.714417768752456</v>
      </c>
      <c r="V1829">
        <f t="shared" si="114"/>
        <v>7.3238305662023171</v>
      </c>
      <c r="W1829">
        <v>1</v>
      </c>
      <c r="X1829">
        <v>0</v>
      </c>
      <c r="Y1829">
        <v>0</v>
      </c>
      <c r="Z1829">
        <f>'Résultat (Ln)'!F$30+'Résultat (Ln)'!F$31*Données!S1829+'Résultat (Ln)'!F$32*Données!T1829+'Résultat (Ln)'!F$33*Données!U1829+'Résultat (Ln)'!F$34*Données!V1829+'Résultat (Ln)'!F$35*Données!W1829+'Résultat (Ln)'!F$36*Données!X1829+'Résultat (Ln)'!F$37*Données!Y1829</f>
        <v>-50600.582202998899</v>
      </c>
      <c r="AA1829">
        <f t="shared" si="115"/>
        <v>85600.582202998892</v>
      </c>
    </row>
    <row r="1830" spans="1:27" x14ac:dyDescent="0.25">
      <c r="A1830">
        <v>130000</v>
      </c>
      <c r="B1830">
        <v>1</v>
      </c>
      <c r="C1830">
        <v>30.5</v>
      </c>
      <c r="D1830">
        <v>0</v>
      </c>
      <c r="E1830">
        <v>180000</v>
      </c>
      <c r="F1830">
        <v>3550</v>
      </c>
      <c r="G1830">
        <v>1</v>
      </c>
      <c r="H1830">
        <v>0</v>
      </c>
      <c r="I1830">
        <v>0</v>
      </c>
      <c r="J1830">
        <v>21.79999923706055</v>
      </c>
      <c r="K1830">
        <v>1</v>
      </c>
      <c r="L1830">
        <f>Résultats!G$32+Résultats!G$33*Données!C1830+Résultats!G$34*Données!D1830+Résultats!G$35*Données!E1830+Résultats!G$36*Données!F1830+Résultats!G$37*Données!G1830+Résultats!G$38*Données!H1830+Résultats!G$39*Données!I1830</f>
        <v>129543.40454952953</v>
      </c>
      <c r="M1830">
        <f t="shared" si="112"/>
        <v>456.59545047047141</v>
      </c>
      <c r="Q1830">
        <v>46000</v>
      </c>
      <c r="R1830">
        <v>1</v>
      </c>
      <c r="S1830">
        <v>39.200000762939453</v>
      </c>
      <c r="T1830">
        <v>0</v>
      </c>
      <c r="U1830">
        <f t="shared" si="113"/>
        <v>11.238488619268468</v>
      </c>
      <c r="V1830">
        <f t="shared" si="114"/>
        <v>7.7832240163360371</v>
      </c>
      <c r="W1830">
        <v>0</v>
      </c>
      <c r="X1830">
        <v>0</v>
      </c>
      <c r="Y1830">
        <v>0</v>
      </c>
      <c r="Z1830">
        <f>'Résultat (Ln)'!F$30+'Résultat (Ln)'!F$31*Données!S1830+'Résultat (Ln)'!F$32*Données!T1830+'Résultat (Ln)'!F$33*Données!U1830+'Résultat (Ln)'!F$34*Données!V1830+'Résultat (Ln)'!F$35*Données!W1830+'Résultat (Ln)'!F$36*Données!X1830+'Résultat (Ln)'!F$37*Données!Y1830</f>
        <v>41076.822591200005</v>
      </c>
      <c r="AA1830">
        <f t="shared" si="115"/>
        <v>4923.1774087999947</v>
      </c>
    </row>
    <row r="1831" spans="1:27" x14ac:dyDescent="0.25">
      <c r="A1831">
        <v>124000</v>
      </c>
      <c r="B1831">
        <v>1</v>
      </c>
      <c r="C1831">
        <v>37</v>
      </c>
      <c r="D1831">
        <v>0</v>
      </c>
      <c r="E1831">
        <v>155000</v>
      </c>
      <c r="F1831">
        <v>2000</v>
      </c>
      <c r="G1831">
        <v>0</v>
      </c>
      <c r="H1831">
        <v>0</v>
      </c>
      <c r="I1831">
        <v>0</v>
      </c>
      <c r="J1831">
        <v>30</v>
      </c>
      <c r="K1831">
        <v>1</v>
      </c>
      <c r="L1831">
        <f>Résultats!G$32+Résultats!G$33*Données!C1831+Résultats!G$34*Données!D1831+Résultats!G$35*Données!E1831+Résultats!G$36*Données!F1831+Résultats!G$37*Données!G1831+Résultats!G$38*Données!H1831+Résultats!G$39*Données!I1831</f>
        <v>115315.74139900913</v>
      </c>
      <c r="M1831">
        <f t="shared" si="112"/>
        <v>8684.25860099087</v>
      </c>
      <c r="Q1831">
        <v>130000</v>
      </c>
      <c r="R1831">
        <v>1</v>
      </c>
      <c r="S1831">
        <v>30.5</v>
      </c>
      <c r="T1831">
        <v>0</v>
      </c>
      <c r="U1831">
        <f t="shared" si="113"/>
        <v>12.100712129872347</v>
      </c>
      <c r="V1831">
        <f t="shared" si="114"/>
        <v>8.174702882469461</v>
      </c>
      <c r="W1831">
        <v>1</v>
      </c>
      <c r="X1831">
        <v>0</v>
      </c>
      <c r="Y1831">
        <v>0</v>
      </c>
      <c r="Z1831">
        <f>'Résultat (Ln)'!F$30+'Résultat (Ln)'!F$31*Données!S1831+'Résultat (Ln)'!F$32*Données!T1831+'Résultat (Ln)'!F$33*Données!U1831+'Résultat (Ln)'!F$34*Données!V1831+'Résultat (Ln)'!F$35*Données!W1831+'Résultat (Ln)'!F$36*Données!X1831+'Résultat (Ln)'!F$37*Données!Y1831</f>
        <v>138364.96885788257</v>
      </c>
      <c r="AA1831">
        <f t="shared" si="115"/>
        <v>-8364.9688578825735</v>
      </c>
    </row>
    <row r="1832" spans="1:27" x14ac:dyDescent="0.25">
      <c r="A1832">
        <v>145000</v>
      </c>
      <c r="B1832">
        <v>1</v>
      </c>
      <c r="C1832">
        <v>31</v>
      </c>
      <c r="D1832">
        <v>0</v>
      </c>
      <c r="E1832">
        <v>195000</v>
      </c>
      <c r="F1832">
        <v>3015</v>
      </c>
      <c r="G1832">
        <v>0</v>
      </c>
      <c r="H1832">
        <v>6</v>
      </c>
      <c r="I1832">
        <v>0</v>
      </c>
      <c r="J1832">
        <v>30</v>
      </c>
      <c r="K1832">
        <v>0</v>
      </c>
      <c r="L1832">
        <f>Résultats!G$32+Résultats!G$33*Données!C1832+Résultats!G$34*Données!D1832+Résultats!G$35*Données!E1832+Résultats!G$36*Données!F1832+Résultats!G$37*Données!G1832+Résultats!G$38*Données!H1832+Résultats!G$39*Données!I1832</f>
        <v>119317.04517238546</v>
      </c>
      <c r="M1832">
        <f t="shared" si="112"/>
        <v>25682.954827614536</v>
      </c>
      <c r="Q1832">
        <v>124000</v>
      </c>
      <c r="R1832">
        <v>1</v>
      </c>
      <c r="S1832">
        <v>37</v>
      </c>
      <c r="T1832">
        <v>0</v>
      </c>
      <c r="U1832">
        <f t="shared" si="113"/>
        <v>11.951180395901384</v>
      </c>
      <c r="V1832">
        <f t="shared" si="114"/>
        <v>7.6009024595420822</v>
      </c>
      <c r="W1832">
        <v>0</v>
      </c>
      <c r="X1832">
        <v>0</v>
      </c>
      <c r="Y1832">
        <v>0</v>
      </c>
      <c r="Z1832">
        <f>'Résultat (Ln)'!F$30+'Résultat (Ln)'!F$31*Données!S1832+'Résultat (Ln)'!F$32*Données!T1832+'Résultat (Ln)'!F$33*Données!U1832+'Résultat (Ln)'!F$34*Données!V1832+'Résultat (Ln)'!F$35*Données!W1832+'Résultat (Ln)'!F$36*Données!X1832+'Résultat (Ln)'!F$37*Données!Y1832</f>
        <v>109672.37756257787</v>
      </c>
      <c r="AA1832">
        <f t="shared" si="115"/>
        <v>14327.622437422135</v>
      </c>
    </row>
    <row r="1833" spans="1:27" x14ac:dyDescent="0.25">
      <c r="A1833">
        <v>100000</v>
      </c>
      <c r="B1833">
        <v>1</v>
      </c>
      <c r="C1833">
        <v>35</v>
      </c>
      <c r="D1833">
        <v>0</v>
      </c>
      <c r="E1833">
        <v>112000</v>
      </c>
      <c r="F1833">
        <v>1872</v>
      </c>
      <c r="G1833">
        <v>0</v>
      </c>
      <c r="H1833">
        <v>1</v>
      </c>
      <c r="I1833">
        <v>0</v>
      </c>
      <c r="J1833">
        <v>21</v>
      </c>
      <c r="K1833">
        <v>0</v>
      </c>
      <c r="L1833">
        <f>Résultats!G$32+Résultats!G$33*Données!C1833+Résultats!G$34*Données!D1833+Résultats!G$35*Données!E1833+Résultats!G$36*Données!F1833+Résultats!G$37*Données!G1833+Résultats!G$38*Données!H1833+Résultats!G$39*Données!I1833</f>
        <v>91066.096825856876</v>
      </c>
      <c r="M1833">
        <f t="shared" si="112"/>
        <v>8933.9031741431245</v>
      </c>
      <c r="Q1833">
        <v>145000</v>
      </c>
      <c r="R1833">
        <v>1</v>
      </c>
      <c r="S1833">
        <v>31</v>
      </c>
      <c r="T1833">
        <v>0</v>
      </c>
      <c r="U1833">
        <f t="shared" si="113"/>
        <v>12.180754837545884</v>
      </c>
      <c r="V1833">
        <f t="shared" si="114"/>
        <v>8.0113551091612862</v>
      </c>
      <c r="W1833">
        <v>0</v>
      </c>
      <c r="X1833">
        <v>6</v>
      </c>
      <c r="Y1833">
        <v>0</v>
      </c>
      <c r="Z1833">
        <f>'Résultat (Ln)'!F$30+'Résultat (Ln)'!F$31*Données!S1833+'Résultat (Ln)'!F$32*Données!T1833+'Résultat (Ln)'!F$33*Données!U1833+'Résultat (Ln)'!F$34*Données!V1833+'Résultat (Ln)'!F$35*Données!W1833+'Résultat (Ln)'!F$36*Données!X1833+'Résultat (Ln)'!F$37*Données!Y1833</f>
        <v>137395.72960985213</v>
      </c>
      <c r="AA1833">
        <f t="shared" si="115"/>
        <v>7604.2703901478671</v>
      </c>
    </row>
    <row r="1834" spans="1:27" x14ac:dyDescent="0.25">
      <c r="A1834">
        <v>275000</v>
      </c>
      <c r="B1834">
        <v>1</v>
      </c>
      <c r="C1834">
        <v>27</v>
      </c>
      <c r="D1834">
        <v>0</v>
      </c>
      <c r="E1834">
        <v>725000</v>
      </c>
      <c r="F1834">
        <v>16666</v>
      </c>
      <c r="G1834">
        <v>1</v>
      </c>
      <c r="H1834">
        <v>0</v>
      </c>
      <c r="I1834">
        <v>0</v>
      </c>
      <c r="J1834">
        <v>19</v>
      </c>
      <c r="K1834">
        <v>1</v>
      </c>
      <c r="L1834">
        <f>Résultats!G$32+Résultats!G$33*Données!C1834+Résultats!G$34*Données!D1834+Résultats!G$35*Données!E1834+Résultats!G$36*Données!F1834+Résultats!G$37*Données!G1834+Résultats!G$38*Données!H1834+Résultats!G$39*Données!I1834</f>
        <v>405428.6087384487</v>
      </c>
      <c r="M1834">
        <f t="shared" si="112"/>
        <v>-130428.6087384487</v>
      </c>
      <c r="Q1834">
        <v>100000</v>
      </c>
      <c r="R1834">
        <v>1</v>
      </c>
      <c r="S1834">
        <v>35</v>
      </c>
      <c r="T1834">
        <v>0</v>
      </c>
      <c r="U1834">
        <f t="shared" si="113"/>
        <v>11.626254150277232</v>
      </c>
      <c r="V1834">
        <f t="shared" si="114"/>
        <v>7.534762657037537</v>
      </c>
      <c r="W1834">
        <v>0</v>
      </c>
      <c r="X1834">
        <v>1</v>
      </c>
      <c r="Y1834">
        <v>0</v>
      </c>
      <c r="Z1834">
        <f>'Résultat (Ln)'!F$30+'Résultat (Ln)'!F$31*Données!S1834+'Résultat (Ln)'!F$32*Données!T1834+'Résultat (Ln)'!F$33*Données!U1834+'Résultat (Ln)'!F$34*Données!V1834+'Résultat (Ln)'!F$35*Données!W1834+'Résultat (Ln)'!F$36*Données!X1834+'Résultat (Ln)'!F$37*Données!Y1834</f>
        <v>70365.160414561557</v>
      </c>
      <c r="AA1834">
        <f t="shared" si="115"/>
        <v>29634.839585438443</v>
      </c>
    </row>
    <row r="1835" spans="1:27" x14ac:dyDescent="0.25">
      <c r="A1835">
        <v>119000</v>
      </c>
      <c r="B1835">
        <v>1</v>
      </c>
      <c r="C1835">
        <v>32</v>
      </c>
      <c r="D1835">
        <v>0</v>
      </c>
      <c r="E1835">
        <v>162000</v>
      </c>
      <c r="F1835">
        <v>2292</v>
      </c>
      <c r="G1835">
        <v>1</v>
      </c>
      <c r="H1835">
        <v>1</v>
      </c>
      <c r="I1835">
        <v>0</v>
      </c>
      <c r="J1835">
        <v>32</v>
      </c>
      <c r="K1835">
        <v>1</v>
      </c>
      <c r="L1835">
        <f>Résultats!G$32+Résultats!G$33*Données!C1835+Résultats!G$34*Données!D1835+Résultats!G$35*Données!E1835+Résultats!G$36*Données!F1835+Résultats!G$37*Données!G1835+Résultats!G$38*Données!H1835+Résultats!G$39*Données!I1835</f>
        <v>118798.23829680077</v>
      </c>
      <c r="M1835">
        <f t="shared" si="112"/>
        <v>201.76170319922676</v>
      </c>
      <c r="Q1835">
        <v>275000</v>
      </c>
      <c r="R1835">
        <v>1</v>
      </c>
      <c r="S1835">
        <v>27</v>
      </c>
      <c r="T1835">
        <v>0</v>
      </c>
      <c r="U1835">
        <f t="shared" si="113"/>
        <v>13.493926933836812</v>
      </c>
      <c r="V1835">
        <f t="shared" si="114"/>
        <v>9.7211259949421525</v>
      </c>
      <c r="W1835">
        <v>1</v>
      </c>
      <c r="X1835">
        <v>0</v>
      </c>
      <c r="Y1835">
        <v>0</v>
      </c>
      <c r="Z1835">
        <f>'Résultat (Ln)'!F$30+'Résultat (Ln)'!F$31*Données!S1835+'Résultat (Ln)'!F$32*Données!T1835+'Résultat (Ln)'!F$33*Données!U1835+'Résultat (Ln)'!F$34*Données!V1835+'Résultat (Ln)'!F$35*Données!W1835+'Résultat (Ln)'!F$36*Données!X1835+'Résultat (Ln)'!F$37*Données!Y1835</f>
        <v>326804.93779752764</v>
      </c>
      <c r="AA1835">
        <f t="shared" si="115"/>
        <v>-51804.937797527644</v>
      </c>
    </row>
    <row r="1836" spans="1:27" x14ac:dyDescent="0.25">
      <c r="A1836">
        <v>87000</v>
      </c>
      <c r="B1836">
        <v>1</v>
      </c>
      <c r="C1836">
        <v>23</v>
      </c>
      <c r="D1836">
        <v>0</v>
      </c>
      <c r="E1836">
        <v>130000</v>
      </c>
      <c r="F1836">
        <v>2360</v>
      </c>
      <c r="G1836">
        <v>1</v>
      </c>
      <c r="H1836">
        <v>0</v>
      </c>
      <c r="I1836">
        <v>0</v>
      </c>
      <c r="J1836">
        <v>18</v>
      </c>
      <c r="K1836">
        <v>1</v>
      </c>
      <c r="L1836">
        <f>Résultats!G$32+Résultats!G$33*Données!C1836+Résultats!G$34*Données!D1836+Résultats!G$35*Données!E1836+Résultats!G$36*Données!F1836+Résultats!G$37*Données!G1836+Résultats!G$38*Données!H1836+Résultats!G$39*Données!I1836</f>
        <v>95274.74630726609</v>
      </c>
      <c r="M1836">
        <f t="shared" si="112"/>
        <v>-8274.7463072660903</v>
      </c>
      <c r="Q1836">
        <v>119000</v>
      </c>
      <c r="R1836">
        <v>1</v>
      </c>
      <c r="S1836">
        <v>32</v>
      </c>
      <c r="T1836">
        <v>0</v>
      </c>
      <c r="U1836">
        <f t="shared" si="113"/>
        <v>11.99535161421452</v>
      </c>
      <c r="V1836">
        <f t="shared" si="114"/>
        <v>7.7371800778346298</v>
      </c>
      <c r="W1836">
        <v>1</v>
      </c>
      <c r="X1836">
        <v>1</v>
      </c>
      <c r="Y1836">
        <v>0</v>
      </c>
      <c r="Z1836">
        <f>'Résultat (Ln)'!F$30+'Résultat (Ln)'!F$31*Données!S1836+'Résultat (Ln)'!F$32*Données!T1836+'Résultat (Ln)'!F$33*Données!U1836+'Résultat (Ln)'!F$34*Données!V1836+'Résultat (Ln)'!F$35*Données!W1836+'Résultat (Ln)'!F$36*Données!X1836+'Résultat (Ln)'!F$37*Données!Y1836</f>
        <v>116455.63712842518</v>
      </c>
      <c r="AA1836">
        <f t="shared" si="115"/>
        <v>2544.36287157482</v>
      </c>
    </row>
    <row r="1837" spans="1:27" x14ac:dyDescent="0.25">
      <c r="A1837">
        <v>162000</v>
      </c>
      <c r="B1837">
        <v>1</v>
      </c>
      <c r="C1837">
        <v>32.200000762939453</v>
      </c>
      <c r="D1837">
        <v>0</v>
      </c>
      <c r="E1837">
        <v>170000</v>
      </c>
      <c r="F1837">
        <v>4333</v>
      </c>
      <c r="G1837">
        <v>0</v>
      </c>
      <c r="H1837">
        <v>1</v>
      </c>
      <c r="I1837">
        <v>0</v>
      </c>
      <c r="J1837">
        <v>23.10000038146973</v>
      </c>
      <c r="K1837">
        <v>0</v>
      </c>
      <c r="L1837">
        <f>Résultats!G$32+Résultats!G$33*Données!C1837+Résultats!G$34*Données!D1837+Résultats!G$35*Données!E1837+Résultats!G$36*Données!F1837+Résultats!G$37*Données!G1837+Résultats!G$38*Données!H1837+Résultats!G$39*Données!I1837</f>
        <v>119702.00493083021</v>
      </c>
      <c r="M1837">
        <f t="shared" si="112"/>
        <v>42297.995069169789</v>
      </c>
      <c r="Q1837">
        <v>87000</v>
      </c>
      <c r="R1837">
        <v>1</v>
      </c>
      <c r="S1837">
        <v>23</v>
      </c>
      <c r="T1837">
        <v>0</v>
      </c>
      <c r="U1837">
        <f t="shared" si="113"/>
        <v>11.77528972943772</v>
      </c>
      <c r="V1837">
        <f t="shared" si="114"/>
        <v>7.7664168980196555</v>
      </c>
      <c r="W1837">
        <v>1</v>
      </c>
      <c r="X1837">
        <v>0</v>
      </c>
      <c r="Y1837">
        <v>0</v>
      </c>
      <c r="Z1837">
        <f>'Résultat (Ln)'!F$30+'Résultat (Ln)'!F$31*Données!S1837+'Résultat (Ln)'!F$32*Données!T1837+'Résultat (Ln)'!F$33*Données!U1837+'Résultat (Ln)'!F$34*Données!V1837+'Résultat (Ln)'!F$35*Données!W1837+'Résultat (Ln)'!F$36*Données!X1837+'Résultat (Ln)'!F$37*Données!Y1837</f>
        <v>82865.118899920155</v>
      </c>
      <c r="AA1837">
        <f t="shared" si="115"/>
        <v>4134.8811000798451</v>
      </c>
    </row>
    <row r="1838" spans="1:27" x14ac:dyDescent="0.25">
      <c r="A1838">
        <v>99000</v>
      </c>
      <c r="B1838">
        <v>1</v>
      </c>
      <c r="C1838">
        <v>36</v>
      </c>
      <c r="D1838">
        <v>0</v>
      </c>
      <c r="E1838">
        <v>110000</v>
      </c>
      <c r="F1838">
        <v>4500</v>
      </c>
      <c r="G1838">
        <v>0</v>
      </c>
      <c r="H1838">
        <v>0</v>
      </c>
      <c r="I1838">
        <v>1</v>
      </c>
      <c r="J1838">
        <v>25</v>
      </c>
      <c r="K1838">
        <v>0</v>
      </c>
      <c r="L1838">
        <f>Résultats!G$32+Résultats!G$33*Données!C1838+Résultats!G$34*Données!D1838+Résultats!G$35*Données!E1838+Résultats!G$36*Données!F1838+Résultats!G$37*Données!G1838+Résultats!G$38*Données!H1838+Résultats!G$39*Données!I1838</f>
        <v>107924.09920098186</v>
      </c>
      <c r="M1838">
        <f t="shared" si="112"/>
        <v>-8924.0992009818583</v>
      </c>
      <c r="Q1838">
        <v>162000</v>
      </c>
      <c r="R1838">
        <v>1</v>
      </c>
      <c r="S1838">
        <v>32.200000762939453</v>
      </c>
      <c r="T1838">
        <v>0</v>
      </c>
      <c r="U1838">
        <f t="shared" si="113"/>
        <v>12.043553716032399</v>
      </c>
      <c r="V1838">
        <f t="shared" si="114"/>
        <v>8.3740154217399088</v>
      </c>
      <c r="W1838">
        <v>0</v>
      </c>
      <c r="X1838">
        <v>1</v>
      </c>
      <c r="Y1838">
        <v>0</v>
      </c>
      <c r="Z1838">
        <f>'Résultat (Ln)'!F$30+'Résultat (Ln)'!F$31*Données!S1838+'Résultat (Ln)'!F$32*Données!T1838+'Résultat (Ln)'!F$33*Données!U1838+'Résultat (Ln)'!F$34*Données!V1838+'Résultat (Ln)'!F$35*Données!W1838+'Résultat (Ln)'!F$36*Données!X1838+'Résultat (Ln)'!F$37*Données!Y1838</f>
        <v>135213.61915205707</v>
      </c>
      <c r="AA1838">
        <f t="shared" si="115"/>
        <v>26786.380847942928</v>
      </c>
    </row>
    <row r="1839" spans="1:27" x14ac:dyDescent="0.25">
      <c r="A1839">
        <v>122000</v>
      </c>
      <c r="B1839">
        <v>1</v>
      </c>
      <c r="C1839">
        <v>37.700000762939453</v>
      </c>
      <c r="D1839">
        <v>0</v>
      </c>
      <c r="E1839">
        <v>135000</v>
      </c>
      <c r="F1839">
        <v>2623</v>
      </c>
      <c r="G1839">
        <v>1</v>
      </c>
      <c r="H1839">
        <v>0</v>
      </c>
      <c r="I1839">
        <v>0</v>
      </c>
      <c r="J1839">
        <v>20.20000076293945</v>
      </c>
      <c r="K1839">
        <v>1</v>
      </c>
      <c r="L1839">
        <f>Résultats!G$32+Résultats!G$33*Données!C1839+Résultats!G$34*Données!D1839+Résultats!G$35*Données!E1839+Résultats!G$36*Données!F1839+Résultats!G$37*Données!G1839+Résultats!G$38*Données!H1839+Résultats!G$39*Données!I1839</f>
        <v>115004.6061772196</v>
      </c>
      <c r="M1839">
        <f t="shared" si="112"/>
        <v>6995.3938227804028</v>
      </c>
      <c r="Q1839">
        <v>99000</v>
      </c>
      <c r="R1839">
        <v>1</v>
      </c>
      <c r="S1839">
        <v>36</v>
      </c>
      <c r="T1839">
        <v>0</v>
      </c>
      <c r="U1839">
        <f t="shared" si="113"/>
        <v>11.608235644774552</v>
      </c>
      <c r="V1839">
        <f t="shared" si="114"/>
        <v>8.4118326757584114</v>
      </c>
      <c r="W1839">
        <v>0</v>
      </c>
      <c r="X1839">
        <v>0</v>
      </c>
      <c r="Y1839">
        <v>1</v>
      </c>
      <c r="Z1839">
        <f>'Résultat (Ln)'!F$30+'Résultat (Ln)'!F$31*Données!S1839+'Résultat (Ln)'!F$32*Données!T1839+'Résultat (Ln)'!F$33*Données!U1839+'Résultat (Ln)'!F$34*Données!V1839+'Résultat (Ln)'!F$35*Données!W1839+'Résultat (Ln)'!F$36*Données!X1839+'Résultat (Ln)'!F$37*Données!Y1839</f>
        <v>108518.29156272509</v>
      </c>
      <c r="AA1839">
        <f t="shared" si="115"/>
        <v>-9518.2915627250914</v>
      </c>
    </row>
    <row r="1840" spans="1:27" x14ac:dyDescent="0.25">
      <c r="A1840">
        <v>187000</v>
      </c>
      <c r="B1840">
        <v>1</v>
      </c>
      <c r="C1840">
        <v>36.400001525878913</v>
      </c>
      <c r="D1840">
        <v>0</v>
      </c>
      <c r="E1840">
        <v>202000</v>
      </c>
      <c r="F1840">
        <v>4177</v>
      </c>
      <c r="G1840">
        <v>1</v>
      </c>
      <c r="H1840">
        <v>0</v>
      </c>
      <c r="I1840">
        <v>0</v>
      </c>
      <c r="J1840">
        <v>27.60000038146973</v>
      </c>
      <c r="K1840">
        <v>1</v>
      </c>
      <c r="L1840">
        <f>Résultats!G$32+Résultats!G$33*Données!C1840+Résultats!G$34*Données!D1840+Résultats!G$35*Données!E1840+Résultats!G$36*Données!F1840+Résultats!G$37*Données!G1840+Résultats!G$38*Données!H1840+Résultats!G$39*Données!I1840</f>
        <v>147808.52612818262</v>
      </c>
      <c r="M1840">
        <f t="shared" si="112"/>
        <v>39191.473871817376</v>
      </c>
      <c r="Q1840">
        <v>122000</v>
      </c>
      <c r="R1840">
        <v>1</v>
      </c>
      <c r="S1840">
        <v>37.700000762939453</v>
      </c>
      <c r="T1840">
        <v>0</v>
      </c>
      <c r="U1840">
        <f t="shared" si="113"/>
        <v>11.813030057420567</v>
      </c>
      <c r="V1840">
        <f t="shared" si="114"/>
        <v>7.8720739798668733</v>
      </c>
      <c r="W1840">
        <v>1</v>
      </c>
      <c r="X1840">
        <v>0</v>
      </c>
      <c r="Y1840">
        <v>0</v>
      </c>
      <c r="Z1840">
        <f>'Résultat (Ln)'!F$30+'Résultat (Ln)'!F$31*Données!S1840+'Résultat (Ln)'!F$32*Données!T1840+'Résultat (Ln)'!F$33*Données!U1840+'Résultat (Ln)'!F$34*Données!V1840+'Résultat (Ln)'!F$35*Données!W1840+'Résultat (Ln)'!F$36*Données!X1840+'Résultat (Ln)'!F$37*Données!Y1840</f>
        <v>107837.95455163276</v>
      </c>
      <c r="AA1840">
        <f t="shared" si="115"/>
        <v>14162.045448367237</v>
      </c>
    </row>
    <row r="1841" spans="1:27" x14ac:dyDescent="0.25">
      <c r="A1841">
        <v>187000</v>
      </c>
      <c r="B1841">
        <v>1</v>
      </c>
      <c r="C1841">
        <v>29.5</v>
      </c>
      <c r="D1841">
        <v>1</v>
      </c>
      <c r="E1841">
        <v>233000</v>
      </c>
      <c r="F1841">
        <v>6125</v>
      </c>
      <c r="G1841">
        <v>1</v>
      </c>
      <c r="H1841">
        <v>0</v>
      </c>
      <c r="I1841">
        <v>1</v>
      </c>
      <c r="J1841">
        <v>27.159999847412109</v>
      </c>
      <c r="K1841">
        <v>1</v>
      </c>
      <c r="L1841">
        <f>Résultats!G$32+Résultats!G$33*Données!C1841+Résultats!G$34*Données!D1841+Résultats!G$35*Données!E1841+Résultats!G$36*Données!F1841+Résultats!G$37*Données!G1841+Résultats!G$38*Données!H1841+Résultats!G$39*Données!I1841</f>
        <v>172906.76544914127</v>
      </c>
      <c r="M1841">
        <f t="shared" si="112"/>
        <v>14093.234550858731</v>
      </c>
      <c r="Q1841">
        <v>187000</v>
      </c>
      <c r="R1841">
        <v>1</v>
      </c>
      <c r="S1841">
        <v>36.400001525878913</v>
      </c>
      <c r="T1841">
        <v>0</v>
      </c>
      <c r="U1841">
        <f t="shared" si="113"/>
        <v>12.216022976383341</v>
      </c>
      <c r="V1841">
        <f t="shared" si="114"/>
        <v>8.3373485644971748</v>
      </c>
      <c r="W1841">
        <v>1</v>
      </c>
      <c r="X1841">
        <v>0</v>
      </c>
      <c r="Y1841">
        <v>0</v>
      </c>
      <c r="Z1841">
        <f>'Résultat (Ln)'!F$30+'Résultat (Ln)'!F$31*Données!S1841+'Résultat (Ln)'!F$32*Données!T1841+'Résultat (Ln)'!F$33*Données!U1841+'Résultat (Ln)'!F$34*Données!V1841+'Résultat (Ln)'!F$35*Données!W1841+'Résultat (Ln)'!F$36*Données!X1841+'Résultat (Ln)'!F$37*Données!Y1841</f>
        <v>162497.35105642176</v>
      </c>
      <c r="AA1841">
        <f t="shared" si="115"/>
        <v>24502.648943578242</v>
      </c>
    </row>
    <row r="1842" spans="1:27" x14ac:dyDescent="0.25">
      <c r="A1842">
        <v>150000</v>
      </c>
      <c r="B1842">
        <v>1</v>
      </c>
      <c r="C1842">
        <v>26</v>
      </c>
      <c r="D1842">
        <v>0</v>
      </c>
      <c r="E1842">
        <v>270000</v>
      </c>
      <c r="F1842">
        <v>6406</v>
      </c>
      <c r="G1842">
        <v>1</v>
      </c>
      <c r="H1842">
        <v>0</v>
      </c>
      <c r="I1842">
        <v>0</v>
      </c>
      <c r="J1842">
        <v>25</v>
      </c>
      <c r="K1842">
        <v>1</v>
      </c>
      <c r="L1842">
        <f>Résultats!G$32+Résultats!G$33*Données!C1842+Résultats!G$34*Données!D1842+Résultats!G$35*Données!E1842+Résultats!G$36*Données!F1842+Résultats!G$37*Données!G1842+Résultats!G$38*Données!H1842+Résultats!G$39*Données!I1842</f>
        <v>171934.50274063414</v>
      </c>
      <c r="M1842">
        <f t="shared" si="112"/>
        <v>-21934.50274063414</v>
      </c>
      <c r="Q1842">
        <v>187000</v>
      </c>
      <c r="R1842">
        <v>1</v>
      </c>
      <c r="S1842">
        <v>29.5</v>
      </c>
      <c r="T1842">
        <v>1</v>
      </c>
      <c r="U1842">
        <f t="shared" si="113"/>
        <v>12.358793732547838</v>
      </c>
      <c r="V1842">
        <f t="shared" si="114"/>
        <v>8.7201340354129275</v>
      </c>
      <c r="W1842">
        <v>1</v>
      </c>
      <c r="X1842">
        <v>0</v>
      </c>
      <c r="Y1842">
        <v>1</v>
      </c>
      <c r="Z1842">
        <f>'Résultat (Ln)'!F$30+'Résultat (Ln)'!F$31*Données!S1842+'Résultat (Ln)'!F$32*Données!T1842+'Résultat (Ln)'!F$33*Données!U1842+'Résultat (Ln)'!F$34*Données!V1842+'Résultat (Ln)'!F$35*Données!W1842+'Résultat (Ln)'!F$36*Données!X1842+'Résultat (Ln)'!F$37*Données!Y1842</f>
        <v>198540.923525864</v>
      </c>
      <c r="AA1842">
        <f t="shared" si="115"/>
        <v>-11540.923525863996</v>
      </c>
    </row>
    <row r="1843" spans="1:27" x14ac:dyDescent="0.25">
      <c r="A1843">
        <v>105000</v>
      </c>
      <c r="B1843">
        <v>1</v>
      </c>
      <c r="C1843">
        <v>39.700000762939453</v>
      </c>
      <c r="D1843">
        <v>0</v>
      </c>
      <c r="E1843">
        <v>156000</v>
      </c>
      <c r="F1843">
        <v>3735</v>
      </c>
      <c r="G1843">
        <v>1</v>
      </c>
      <c r="H1843">
        <v>0</v>
      </c>
      <c r="I1843">
        <v>1</v>
      </c>
      <c r="J1843">
        <v>24.39999961853027</v>
      </c>
      <c r="K1843">
        <v>1</v>
      </c>
      <c r="L1843">
        <f>Résultats!G$32+Résultats!G$33*Données!C1843+Résultats!G$34*Données!D1843+Résultats!G$35*Données!E1843+Résultats!G$36*Données!F1843+Résultats!G$37*Données!G1843+Résultats!G$38*Données!H1843+Résultats!G$39*Données!I1843</f>
        <v>139188.24198526936</v>
      </c>
      <c r="M1843">
        <f t="shared" si="112"/>
        <v>-34188.241985269357</v>
      </c>
      <c r="Q1843">
        <v>150000</v>
      </c>
      <c r="R1843">
        <v>1</v>
      </c>
      <c r="S1843">
        <v>26</v>
      </c>
      <c r="T1843">
        <v>0</v>
      </c>
      <c r="U1843">
        <f t="shared" si="113"/>
        <v>12.506177237980511</v>
      </c>
      <c r="V1843">
        <f t="shared" si="114"/>
        <v>8.7649903301691037</v>
      </c>
      <c r="W1843">
        <v>1</v>
      </c>
      <c r="X1843">
        <v>0</v>
      </c>
      <c r="Y1843">
        <v>0</v>
      </c>
      <c r="Z1843">
        <f>'Résultat (Ln)'!F$30+'Résultat (Ln)'!F$31*Données!S1843+'Résultat (Ln)'!F$32*Données!T1843+'Résultat (Ln)'!F$33*Données!U1843+'Résultat (Ln)'!F$34*Données!V1843+'Résultat (Ln)'!F$35*Données!W1843+'Résultat (Ln)'!F$36*Données!X1843+'Résultat (Ln)'!F$37*Données!Y1843</f>
        <v>192884.92590892353</v>
      </c>
      <c r="AA1843">
        <f t="shared" si="115"/>
        <v>-42884.925908923527</v>
      </c>
    </row>
    <row r="1844" spans="1:27" x14ac:dyDescent="0.25">
      <c r="A1844">
        <v>162000</v>
      </c>
      <c r="B1844">
        <v>1</v>
      </c>
      <c r="C1844">
        <v>38.799999237060547</v>
      </c>
      <c r="D1844">
        <v>0</v>
      </c>
      <c r="E1844">
        <v>180000</v>
      </c>
      <c r="F1844">
        <v>3569</v>
      </c>
      <c r="G1844">
        <v>1</v>
      </c>
      <c r="H1844">
        <v>0</v>
      </c>
      <c r="I1844">
        <v>0</v>
      </c>
      <c r="J1844">
        <v>28.10000038146973</v>
      </c>
      <c r="K1844">
        <v>1</v>
      </c>
      <c r="L1844">
        <f>Résultats!G$32+Résultats!G$33*Données!C1844+Résultats!G$34*Données!D1844+Résultats!G$35*Données!E1844+Résultats!G$36*Données!F1844+Résultats!G$37*Données!G1844+Résultats!G$38*Données!H1844+Résultats!G$39*Données!I1844</f>
        <v>139114.1857797901</v>
      </c>
      <c r="M1844">
        <f t="shared" si="112"/>
        <v>22885.814220209897</v>
      </c>
      <c r="Q1844">
        <v>105000</v>
      </c>
      <c r="R1844">
        <v>1</v>
      </c>
      <c r="S1844">
        <v>39.700000762939453</v>
      </c>
      <c r="T1844">
        <v>0</v>
      </c>
      <c r="U1844">
        <f t="shared" si="113"/>
        <v>11.957611286231675</v>
      </c>
      <c r="V1844">
        <f t="shared" si="114"/>
        <v>8.2255030975669179</v>
      </c>
      <c r="W1844">
        <v>1</v>
      </c>
      <c r="X1844">
        <v>0</v>
      </c>
      <c r="Y1844">
        <v>1</v>
      </c>
      <c r="Z1844">
        <f>'Résultat (Ln)'!F$30+'Résultat (Ln)'!F$31*Données!S1844+'Résultat (Ln)'!F$32*Données!T1844+'Résultat (Ln)'!F$33*Données!U1844+'Résultat (Ln)'!F$34*Données!V1844+'Résultat (Ln)'!F$35*Données!W1844+'Résultat (Ln)'!F$36*Données!X1844+'Résultat (Ln)'!F$37*Données!Y1844</f>
        <v>149779.63395617591</v>
      </c>
      <c r="AA1844">
        <f t="shared" si="115"/>
        <v>-44779.633956175909</v>
      </c>
    </row>
    <row r="1845" spans="1:27" x14ac:dyDescent="0.25">
      <c r="A1845">
        <v>215000</v>
      </c>
      <c r="B1845">
        <v>1</v>
      </c>
      <c r="C1845">
        <v>33</v>
      </c>
      <c r="D1845">
        <v>1</v>
      </c>
      <c r="E1845">
        <v>245000</v>
      </c>
      <c r="F1845">
        <v>2842</v>
      </c>
      <c r="G1845">
        <v>0</v>
      </c>
      <c r="H1845">
        <v>1</v>
      </c>
      <c r="I1845">
        <v>1</v>
      </c>
      <c r="J1845">
        <v>30</v>
      </c>
      <c r="K1845">
        <v>1</v>
      </c>
      <c r="L1845">
        <f>Résultats!G$32+Résultats!G$33*Données!C1845+Résultats!G$34*Données!D1845+Résultats!G$35*Données!E1845+Résultats!G$36*Données!F1845+Résultats!G$37*Données!G1845+Résultats!G$38*Données!H1845+Résultats!G$39*Données!I1845</f>
        <v>167526.90011812237</v>
      </c>
      <c r="M1845">
        <f t="shared" si="112"/>
        <v>47473.099881877628</v>
      </c>
      <c r="Q1845">
        <v>162000</v>
      </c>
      <c r="R1845">
        <v>1</v>
      </c>
      <c r="S1845">
        <v>38.799999237060547</v>
      </c>
      <c r="T1845">
        <v>0</v>
      </c>
      <c r="U1845">
        <f t="shared" si="113"/>
        <v>12.100712129872347</v>
      </c>
      <c r="V1845">
        <f t="shared" si="114"/>
        <v>8.1800407234901602</v>
      </c>
      <c r="W1845">
        <v>1</v>
      </c>
      <c r="X1845">
        <v>0</v>
      </c>
      <c r="Y1845">
        <v>0</v>
      </c>
      <c r="Z1845">
        <f>'Résultat (Ln)'!F$30+'Résultat (Ln)'!F$31*Données!S1845+'Résultat (Ln)'!F$32*Données!T1845+'Résultat (Ln)'!F$33*Données!U1845+'Résultat (Ln)'!F$34*Données!V1845+'Résultat (Ln)'!F$35*Données!W1845+'Résultat (Ln)'!F$36*Données!X1845+'Résultat (Ln)'!F$37*Données!Y1845</f>
        <v>148657.61195601118</v>
      </c>
      <c r="AA1845">
        <f t="shared" si="115"/>
        <v>13342.388043988816</v>
      </c>
    </row>
    <row r="1846" spans="1:27" x14ac:dyDescent="0.25">
      <c r="A1846">
        <v>187000</v>
      </c>
      <c r="B1846">
        <v>1</v>
      </c>
      <c r="C1846">
        <v>33</v>
      </c>
      <c r="D1846">
        <v>0</v>
      </c>
      <c r="E1846">
        <v>265000</v>
      </c>
      <c r="F1846">
        <v>3972</v>
      </c>
      <c r="G1846">
        <v>0</v>
      </c>
      <c r="H1846">
        <v>0</v>
      </c>
      <c r="I1846">
        <v>0</v>
      </c>
      <c r="J1846">
        <v>25</v>
      </c>
      <c r="K1846">
        <v>1</v>
      </c>
      <c r="L1846">
        <f>Résultats!G$32+Résultats!G$33*Données!C1846+Résultats!G$34*Données!D1846+Résultats!G$35*Données!E1846+Résultats!G$36*Données!F1846+Résultats!G$37*Données!G1846+Résultats!G$38*Données!H1846+Résultats!G$39*Données!I1846</f>
        <v>165907.23612179686</v>
      </c>
      <c r="M1846">
        <f t="shared" si="112"/>
        <v>21092.763878203143</v>
      </c>
      <c r="Q1846">
        <v>215000</v>
      </c>
      <c r="R1846">
        <v>1</v>
      </c>
      <c r="S1846">
        <v>33</v>
      </c>
      <c r="T1846">
        <v>1</v>
      </c>
      <c r="U1846">
        <f t="shared" si="113"/>
        <v>12.409013489526863</v>
      </c>
      <c r="V1846">
        <f t="shared" si="114"/>
        <v>7.952263308657046</v>
      </c>
      <c r="W1846">
        <v>0</v>
      </c>
      <c r="X1846">
        <v>1</v>
      </c>
      <c r="Y1846">
        <v>1</v>
      </c>
      <c r="Z1846">
        <f>'Résultat (Ln)'!F$30+'Résultat (Ln)'!F$31*Données!S1846+'Résultat (Ln)'!F$32*Données!T1846+'Résultat (Ln)'!F$33*Données!U1846+'Résultat (Ln)'!F$34*Données!V1846+'Résultat (Ln)'!F$35*Données!W1846+'Résultat (Ln)'!F$36*Données!X1846+'Résultat (Ln)'!F$37*Données!Y1846</f>
        <v>181974.28891296993</v>
      </c>
      <c r="AA1846">
        <f t="shared" si="115"/>
        <v>33025.711087030068</v>
      </c>
    </row>
    <row r="1847" spans="1:27" x14ac:dyDescent="0.25">
      <c r="A1847">
        <v>108000</v>
      </c>
      <c r="B1847">
        <v>1</v>
      </c>
      <c r="C1847">
        <v>31.10000038146973</v>
      </c>
      <c r="D1847">
        <v>0</v>
      </c>
      <c r="E1847">
        <v>120000</v>
      </c>
      <c r="F1847">
        <v>3159</v>
      </c>
      <c r="G1847">
        <v>1</v>
      </c>
      <c r="H1847">
        <v>0</v>
      </c>
      <c r="I1847">
        <v>0</v>
      </c>
      <c r="J1847">
        <v>30.60000038146973</v>
      </c>
      <c r="K1847">
        <v>1</v>
      </c>
      <c r="L1847">
        <f>Résultats!G$32+Résultats!G$33*Données!C1847+Résultats!G$34*Données!D1847+Résultats!G$35*Données!E1847+Résultats!G$36*Données!F1847+Résultats!G$37*Données!G1847+Résultats!G$38*Données!H1847+Résultats!G$39*Données!I1847</f>
        <v>101457.73623481541</v>
      </c>
      <c r="M1847">
        <f t="shared" si="112"/>
        <v>6542.2637651845871</v>
      </c>
      <c r="Q1847">
        <v>187000</v>
      </c>
      <c r="R1847">
        <v>1</v>
      </c>
      <c r="S1847">
        <v>33</v>
      </c>
      <c r="T1847">
        <v>0</v>
      </c>
      <c r="U1847">
        <f t="shared" si="113"/>
        <v>12.487485104968359</v>
      </c>
      <c r="V1847">
        <f t="shared" si="114"/>
        <v>8.2870250251650628</v>
      </c>
      <c r="W1847">
        <v>0</v>
      </c>
      <c r="X1847">
        <v>0</v>
      </c>
      <c r="Y1847">
        <v>0</v>
      </c>
      <c r="Z1847">
        <f>'Résultat (Ln)'!F$30+'Résultat (Ln)'!F$31*Données!S1847+'Résultat (Ln)'!F$32*Données!T1847+'Résultat (Ln)'!F$33*Données!U1847+'Résultat (Ln)'!F$34*Données!V1847+'Résultat (Ln)'!F$35*Données!W1847+'Résultat (Ln)'!F$36*Données!X1847+'Résultat (Ln)'!F$37*Données!Y1847</f>
        <v>181516.55209732489</v>
      </c>
      <c r="AA1847">
        <f t="shared" si="115"/>
        <v>5483.4479026751069</v>
      </c>
    </row>
    <row r="1848" spans="1:27" x14ac:dyDescent="0.25">
      <c r="A1848">
        <v>81000</v>
      </c>
      <c r="B1848">
        <v>1</v>
      </c>
      <c r="C1848">
        <v>24</v>
      </c>
      <c r="D1848">
        <v>0</v>
      </c>
      <c r="E1848">
        <v>90000</v>
      </c>
      <c r="F1848">
        <v>3522</v>
      </c>
      <c r="G1848">
        <v>1</v>
      </c>
      <c r="H1848">
        <v>0</v>
      </c>
      <c r="I1848">
        <v>0</v>
      </c>
      <c r="J1848">
        <v>29</v>
      </c>
      <c r="K1848">
        <v>1</v>
      </c>
      <c r="L1848">
        <f>Résultats!G$32+Résultats!G$33*Données!C1848+Résultats!G$34*Données!D1848+Résultats!G$35*Données!E1848+Résultats!G$36*Données!F1848+Résultats!G$37*Données!G1848+Résultats!G$38*Données!H1848+Résultats!G$39*Données!I1848</f>
        <v>79996.994858487291</v>
      </c>
      <c r="M1848">
        <f t="shared" si="112"/>
        <v>1003.0051415127091</v>
      </c>
      <c r="Q1848">
        <v>108000</v>
      </c>
      <c r="R1848">
        <v>1</v>
      </c>
      <c r="S1848">
        <v>31.10000038146973</v>
      </c>
      <c r="T1848">
        <v>0</v>
      </c>
      <c r="U1848">
        <f t="shared" si="113"/>
        <v>11.695247021764184</v>
      </c>
      <c r="V1848">
        <f t="shared" si="114"/>
        <v>8.0580108008020854</v>
      </c>
      <c r="W1848">
        <v>1</v>
      </c>
      <c r="X1848">
        <v>0</v>
      </c>
      <c r="Y1848">
        <v>0</v>
      </c>
      <c r="Z1848">
        <f>'Résultat (Ln)'!F$30+'Résultat (Ln)'!F$31*Données!S1848+'Résultat (Ln)'!F$32*Données!T1848+'Résultat (Ln)'!F$33*Données!U1848+'Résultat (Ln)'!F$34*Données!V1848+'Résultat (Ln)'!F$35*Données!W1848+'Résultat (Ln)'!F$36*Données!X1848+'Résultat (Ln)'!F$37*Données!Y1848</f>
        <v>92361.410037902664</v>
      </c>
      <c r="AA1848">
        <f t="shared" si="115"/>
        <v>15638.589962097336</v>
      </c>
    </row>
    <row r="1849" spans="1:27" x14ac:dyDescent="0.25">
      <c r="A1849">
        <v>80000</v>
      </c>
      <c r="B1849">
        <v>1</v>
      </c>
      <c r="C1849">
        <v>22.5</v>
      </c>
      <c r="D1849">
        <v>0</v>
      </c>
      <c r="E1849">
        <v>223000</v>
      </c>
      <c r="F1849">
        <v>4700</v>
      </c>
      <c r="G1849">
        <v>1</v>
      </c>
      <c r="H1849">
        <v>0</v>
      </c>
      <c r="I1849">
        <v>0</v>
      </c>
      <c r="J1849">
        <v>19.340000152587891</v>
      </c>
      <c r="K1849">
        <v>1</v>
      </c>
      <c r="L1849">
        <f>Résultats!G$32+Résultats!G$33*Données!C1849+Résultats!G$34*Données!D1849+Résultats!G$35*Données!E1849+Résultats!G$36*Données!F1849+Résultats!G$37*Données!G1849+Résultats!G$38*Données!H1849+Résultats!G$39*Données!I1849</f>
        <v>142661.48754012951</v>
      </c>
      <c r="M1849">
        <f t="shared" si="112"/>
        <v>-62661.487540129514</v>
      </c>
      <c r="Q1849">
        <v>81000</v>
      </c>
      <c r="R1849">
        <v>1</v>
      </c>
      <c r="S1849">
        <v>24</v>
      </c>
      <c r="T1849">
        <v>0</v>
      </c>
      <c r="U1849">
        <f t="shared" si="113"/>
        <v>11.407564949312402</v>
      </c>
      <c r="V1849">
        <f t="shared" si="114"/>
        <v>8.1667842890561513</v>
      </c>
      <c r="W1849">
        <v>1</v>
      </c>
      <c r="X1849">
        <v>0</v>
      </c>
      <c r="Y1849">
        <v>0</v>
      </c>
      <c r="Z1849">
        <f>'Résultat (Ln)'!F$30+'Résultat (Ln)'!F$31*Données!S1849+'Résultat (Ln)'!F$32*Données!T1849+'Résultat (Ln)'!F$33*Données!U1849+'Résultat (Ln)'!F$34*Données!V1849+'Résultat (Ln)'!F$35*Données!W1849+'Résultat (Ln)'!F$36*Données!X1849+'Résultat (Ln)'!F$37*Données!Y1849</f>
        <v>55897.314714805885</v>
      </c>
      <c r="AA1849">
        <f t="shared" si="115"/>
        <v>25102.685285194115</v>
      </c>
    </row>
    <row r="1850" spans="1:27" x14ac:dyDescent="0.25">
      <c r="A1850">
        <v>125000</v>
      </c>
      <c r="B1850">
        <v>1</v>
      </c>
      <c r="C1850">
        <v>29</v>
      </c>
      <c r="D1850">
        <v>0</v>
      </c>
      <c r="E1850">
        <v>197000</v>
      </c>
      <c r="F1850">
        <v>3933</v>
      </c>
      <c r="G1850">
        <v>0</v>
      </c>
      <c r="H1850">
        <v>0</v>
      </c>
      <c r="I1850">
        <v>0</v>
      </c>
      <c r="J1850">
        <v>24</v>
      </c>
      <c r="K1850">
        <v>1</v>
      </c>
      <c r="L1850">
        <f>Résultats!G$32+Résultats!G$33*Données!C1850+Résultats!G$34*Données!D1850+Résultats!G$35*Données!E1850+Résultats!G$36*Données!F1850+Résultats!G$37*Données!G1850+Résultats!G$38*Données!H1850+Résultats!G$39*Données!I1850</f>
        <v>129484.15862832329</v>
      </c>
      <c r="M1850">
        <f t="shared" si="112"/>
        <v>-4484.15862832329</v>
      </c>
      <c r="Q1850">
        <v>80000</v>
      </c>
      <c r="R1850">
        <v>1</v>
      </c>
      <c r="S1850">
        <v>22.5</v>
      </c>
      <c r="T1850">
        <v>0</v>
      </c>
      <c r="U1850">
        <f t="shared" si="113"/>
        <v>12.314927050442256</v>
      </c>
      <c r="V1850">
        <f t="shared" si="114"/>
        <v>8.4553177876981493</v>
      </c>
      <c r="W1850">
        <v>1</v>
      </c>
      <c r="X1850">
        <v>0</v>
      </c>
      <c r="Y1850">
        <v>0</v>
      </c>
      <c r="Z1850">
        <f>'Résultat (Ln)'!F$30+'Résultat (Ln)'!F$31*Données!S1850+'Résultat (Ln)'!F$32*Données!T1850+'Résultat (Ln)'!F$33*Données!U1850+'Résultat (Ln)'!F$34*Données!V1850+'Résultat (Ln)'!F$35*Données!W1850+'Résultat (Ln)'!F$36*Données!X1850+'Résultat (Ln)'!F$37*Données!Y1850</f>
        <v>159421.59835310225</v>
      </c>
      <c r="AA1850">
        <f t="shared" si="115"/>
        <v>-79421.59835310225</v>
      </c>
    </row>
    <row r="1851" spans="1:27" x14ac:dyDescent="0.25">
      <c r="A1851">
        <v>136000</v>
      </c>
      <c r="B1851">
        <v>1</v>
      </c>
      <c r="C1851">
        <v>27</v>
      </c>
      <c r="D1851">
        <v>1</v>
      </c>
      <c r="E1851">
        <v>170000</v>
      </c>
      <c r="F1851">
        <v>3087</v>
      </c>
      <c r="G1851">
        <v>1</v>
      </c>
      <c r="H1851">
        <v>0</v>
      </c>
      <c r="I1851">
        <v>0</v>
      </c>
      <c r="J1851">
        <v>26</v>
      </c>
      <c r="K1851">
        <v>1</v>
      </c>
      <c r="L1851">
        <f>Résultats!G$32+Résultats!G$33*Données!C1851+Résultats!G$34*Données!D1851+Résultats!G$35*Données!E1851+Résultats!G$36*Données!F1851+Résultats!G$37*Données!G1851+Résultats!G$38*Données!H1851+Résultats!G$39*Données!I1851</f>
        <v>124804.57870083686</v>
      </c>
      <c r="M1851">
        <f t="shared" si="112"/>
        <v>11195.421299163136</v>
      </c>
      <c r="Q1851">
        <v>125000</v>
      </c>
      <c r="R1851">
        <v>1</v>
      </c>
      <c r="S1851">
        <v>29</v>
      </c>
      <c r="T1851">
        <v>0</v>
      </c>
      <c r="U1851">
        <f t="shared" si="113"/>
        <v>12.190959007720126</v>
      </c>
      <c r="V1851">
        <f t="shared" si="114"/>
        <v>8.2771577724318099</v>
      </c>
      <c r="W1851">
        <v>0</v>
      </c>
      <c r="X1851">
        <v>0</v>
      </c>
      <c r="Y1851">
        <v>0</v>
      </c>
      <c r="Z1851">
        <f>'Résultat (Ln)'!F$30+'Résultat (Ln)'!F$31*Données!S1851+'Résultat (Ln)'!F$32*Données!T1851+'Résultat (Ln)'!F$33*Données!U1851+'Résultat (Ln)'!F$34*Données!V1851+'Résultat (Ln)'!F$35*Données!W1851+'Résultat (Ln)'!F$36*Données!X1851+'Résultat (Ln)'!F$37*Données!Y1851</f>
        <v>144565.37034944157</v>
      </c>
      <c r="AA1851">
        <f t="shared" si="115"/>
        <v>-19565.370349441568</v>
      </c>
    </row>
    <row r="1852" spans="1:27" x14ac:dyDescent="0.25">
      <c r="A1852">
        <v>80000</v>
      </c>
      <c r="B1852">
        <v>1</v>
      </c>
      <c r="C1852">
        <v>53</v>
      </c>
      <c r="D1852">
        <v>1</v>
      </c>
      <c r="E1852">
        <v>100199.9969482422</v>
      </c>
      <c r="F1852">
        <v>2985</v>
      </c>
      <c r="G1852">
        <v>0</v>
      </c>
      <c r="H1852">
        <v>1</v>
      </c>
      <c r="I1852">
        <v>1</v>
      </c>
      <c r="J1852">
        <v>31</v>
      </c>
      <c r="K1852">
        <v>1</v>
      </c>
      <c r="L1852">
        <f>Résultats!G$32+Résultats!G$33*Données!C1852+Résultats!G$34*Données!D1852+Résultats!G$35*Données!E1852+Résultats!G$36*Données!F1852+Résultats!G$37*Données!G1852+Résultats!G$38*Données!H1852+Résultats!G$39*Données!I1852</f>
        <v>123162.57656495647</v>
      </c>
      <c r="M1852">
        <f t="shared" si="112"/>
        <v>-43162.576564956471</v>
      </c>
      <c r="Q1852">
        <v>136000</v>
      </c>
      <c r="R1852">
        <v>1</v>
      </c>
      <c r="S1852">
        <v>27</v>
      </c>
      <c r="T1852">
        <v>1</v>
      </c>
      <c r="U1852">
        <f t="shared" si="113"/>
        <v>12.043553716032399</v>
      </c>
      <c r="V1852">
        <f t="shared" si="114"/>
        <v>8.0349550245021586</v>
      </c>
      <c r="W1852">
        <v>1</v>
      </c>
      <c r="X1852">
        <v>0</v>
      </c>
      <c r="Y1852">
        <v>0</v>
      </c>
      <c r="Z1852">
        <f>'Résultat (Ln)'!F$30+'Résultat (Ln)'!F$31*Données!S1852+'Résultat (Ln)'!F$32*Données!T1852+'Résultat (Ln)'!F$33*Données!U1852+'Résultat (Ln)'!F$34*Données!V1852+'Résultat (Ln)'!F$35*Données!W1852+'Résultat (Ln)'!F$36*Données!X1852+'Résultat (Ln)'!F$37*Données!Y1852</f>
        <v>128390.16943565085</v>
      </c>
      <c r="AA1852">
        <f t="shared" si="115"/>
        <v>7609.8305643491476</v>
      </c>
    </row>
    <row r="1853" spans="1:27" x14ac:dyDescent="0.25">
      <c r="A1853">
        <v>110000</v>
      </c>
      <c r="B1853">
        <v>1</v>
      </c>
      <c r="C1853">
        <v>35</v>
      </c>
      <c r="D1853">
        <v>0</v>
      </c>
      <c r="E1853">
        <v>137000</v>
      </c>
      <c r="F1853">
        <v>3229</v>
      </c>
      <c r="G1853">
        <v>0</v>
      </c>
      <c r="H1853">
        <v>0</v>
      </c>
      <c r="I1853">
        <v>1</v>
      </c>
      <c r="J1853">
        <v>18</v>
      </c>
      <c r="K1853">
        <v>1</v>
      </c>
      <c r="L1853">
        <f>Résultats!G$32+Résultats!G$33*Données!C1853+Résultats!G$34*Données!D1853+Résultats!G$35*Données!E1853+Résultats!G$36*Données!F1853+Résultats!G$37*Données!G1853+Résultats!G$38*Données!H1853+Résultats!G$39*Données!I1853</f>
        <v>116920.2393341492</v>
      </c>
      <c r="M1853">
        <f t="shared" si="112"/>
        <v>-6920.2393341491988</v>
      </c>
      <c r="Q1853">
        <v>80000</v>
      </c>
      <c r="R1853">
        <v>1</v>
      </c>
      <c r="S1853">
        <v>53</v>
      </c>
      <c r="T1853">
        <v>1</v>
      </c>
      <c r="U1853">
        <f t="shared" si="113"/>
        <v>11.514923437176236</v>
      </c>
      <c r="V1853">
        <f t="shared" si="114"/>
        <v>8.0013550258267028</v>
      </c>
      <c r="W1853">
        <v>0</v>
      </c>
      <c r="X1853">
        <v>1</v>
      </c>
      <c r="Y1853">
        <v>1</v>
      </c>
      <c r="Z1853">
        <f>'Résultat (Ln)'!F$30+'Résultat (Ln)'!F$31*Données!S1853+'Résultat (Ln)'!F$32*Données!T1853+'Résultat (Ln)'!F$33*Données!U1853+'Résultat (Ln)'!F$34*Données!V1853+'Résultat (Ln)'!F$35*Données!W1853+'Résultat (Ln)'!F$36*Données!X1853+'Résultat (Ln)'!F$37*Données!Y1853</f>
        <v>111949.43487085386</v>
      </c>
      <c r="AA1853">
        <f t="shared" si="115"/>
        <v>-31949.43487085386</v>
      </c>
    </row>
    <row r="1854" spans="1:27" x14ac:dyDescent="0.25">
      <c r="A1854">
        <v>158000</v>
      </c>
      <c r="B1854">
        <v>1</v>
      </c>
      <c r="C1854">
        <v>36.900001525878913</v>
      </c>
      <c r="D1854">
        <v>0</v>
      </c>
      <c r="E1854">
        <v>175000</v>
      </c>
      <c r="F1854">
        <v>3850</v>
      </c>
      <c r="G1854">
        <v>1</v>
      </c>
      <c r="H1854">
        <v>0</v>
      </c>
      <c r="I1854">
        <v>1</v>
      </c>
      <c r="J1854">
        <v>29.889999389648441</v>
      </c>
      <c r="K1854">
        <v>1</v>
      </c>
      <c r="L1854">
        <f>Résultats!G$32+Résultats!G$33*Données!C1854+Résultats!G$34*Données!D1854+Résultats!G$35*Données!E1854+Résultats!G$36*Données!F1854+Résultats!G$37*Données!G1854+Résultats!G$38*Données!H1854+Résultats!G$39*Données!I1854</f>
        <v>145066.92345194737</v>
      </c>
      <c r="M1854">
        <f t="shared" si="112"/>
        <v>12933.076548052632</v>
      </c>
      <c r="Q1854">
        <v>110000</v>
      </c>
      <c r="R1854">
        <v>1</v>
      </c>
      <c r="S1854">
        <v>35</v>
      </c>
      <c r="T1854">
        <v>0</v>
      </c>
      <c r="U1854">
        <f t="shared" si="113"/>
        <v>11.827736204810263</v>
      </c>
      <c r="V1854">
        <f t="shared" si="114"/>
        <v>8.0799277707582746</v>
      </c>
      <c r="W1854">
        <v>0</v>
      </c>
      <c r="X1854">
        <v>0</v>
      </c>
      <c r="Y1854">
        <v>1</v>
      </c>
      <c r="Z1854">
        <f>'Résultat (Ln)'!F$30+'Résultat (Ln)'!F$31*Données!S1854+'Résultat (Ln)'!F$32*Données!T1854+'Résultat (Ln)'!F$33*Données!U1854+'Résultat (Ln)'!F$34*Données!V1854+'Résultat (Ln)'!F$35*Données!W1854+'Résultat (Ln)'!F$36*Données!X1854+'Résultat (Ln)'!F$37*Données!Y1854</f>
        <v>121517.20122646747</v>
      </c>
      <c r="AA1854">
        <f t="shared" si="115"/>
        <v>-11517.20122646747</v>
      </c>
    </row>
    <row r="1855" spans="1:27" x14ac:dyDescent="0.25">
      <c r="A1855">
        <v>176000</v>
      </c>
      <c r="B1855">
        <v>1</v>
      </c>
      <c r="C1855">
        <v>30</v>
      </c>
      <c r="D1855">
        <v>0</v>
      </c>
      <c r="E1855">
        <v>220000</v>
      </c>
      <c r="F1855">
        <v>6858</v>
      </c>
      <c r="G1855">
        <v>0</v>
      </c>
      <c r="H1855">
        <v>0</v>
      </c>
      <c r="I1855">
        <v>0</v>
      </c>
      <c r="J1855">
        <v>26</v>
      </c>
      <c r="K1855">
        <v>1</v>
      </c>
      <c r="L1855">
        <f>Résultats!G$32+Résultats!G$33*Données!C1855+Résultats!G$34*Données!D1855+Résultats!G$35*Données!E1855+Résultats!G$36*Données!F1855+Résultats!G$37*Données!G1855+Résultats!G$38*Données!H1855+Résultats!G$39*Données!I1855</f>
        <v>147040.78223174709</v>
      </c>
      <c r="M1855">
        <f t="shared" si="112"/>
        <v>28959.217768252915</v>
      </c>
      <c r="Q1855">
        <v>158000</v>
      </c>
      <c r="R1855">
        <v>1</v>
      </c>
      <c r="S1855">
        <v>36.900001525878913</v>
      </c>
      <c r="T1855">
        <v>0</v>
      </c>
      <c r="U1855">
        <f t="shared" si="113"/>
        <v>12.072541252905651</v>
      </c>
      <c r="V1855">
        <f t="shared" si="114"/>
        <v>8.2558284272818305</v>
      </c>
      <c r="W1855">
        <v>1</v>
      </c>
      <c r="X1855">
        <v>0</v>
      </c>
      <c r="Y1855">
        <v>1</v>
      </c>
      <c r="Z1855">
        <f>'Résultat (Ln)'!F$30+'Résultat (Ln)'!F$31*Données!S1855+'Résultat (Ln)'!F$32*Données!T1855+'Résultat (Ln)'!F$33*Données!U1855+'Résultat (Ln)'!F$34*Données!V1855+'Résultat (Ln)'!F$35*Données!W1855+'Résultat (Ln)'!F$36*Données!X1855+'Résultat (Ln)'!F$37*Données!Y1855</f>
        <v>159528.40096283832</v>
      </c>
      <c r="AA1855">
        <f t="shared" si="115"/>
        <v>-1528.400962838321</v>
      </c>
    </row>
    <row r="1856" spans="1:27" x14ac:dyDescent="0.25">
      <c r="A1856">
        <v>107000</v>
      </c>
      <c r="B1856">
        <v>1</v>
      </c>
      <c r="C1856">
        <v>34</v>
      </c>
      <c r="D1856">
        <v>0</v>
      </c>
      <c r="E1856">
        <v>123000</v>
      </c>
      <c r="F1856">
        <v>1782</v>
      </c>
      <c r="G1856">
        <v>1</v>
      </c>
      <c r="H1856">
        <v>0</v>
      </c>
      <c r="I1856">
        <v>0</v>
      </c>
      <c r="J1856">
        <v>27</v>
      </c>
      <c r="K1856">
        <v>1</v>
      </c>
      <c r="L1856">
        <f>Résultats!G$32+Résultats!G$33*Données!C1856+Résultats!G$34*Données!D1856+Résultats!G$35*Données!E1856+Résultats!G$36*Données!F1856+Résultats!G$37*Données!G1856+Résultats!G$38*Données!H1856+Résultats!G$39*Données!I1856</f>
        <v>103521.40649944596</v>
      </c>
      <c r="M1856">
        <f t="shared" si="112"/>
        <v>3478.5935005540377</v>
      </c>
      <c r="Q1856">
        <v>176000</v>
      </c>
      <c r="R1856">
        <v>1</v>
      </c>
      <c r="S1856">
        <v>30</v>
      </c>
      <c r="T1856">
        <v>0</v>
      </c>
      <c r="U1856">
        <f t="shared" si="113"/>
        <v>12.301382825334498</v>
      </c>
      <c r="V1856">
        <f t="shared" si="114"/>
        <v>8.8331711330228657</v>
      </c>
      <c r="W1856">
        <v>0</v>
      </c>
      <c r="X1856">
        <v>0</v>
      </c>
      <c r="Y1856">
        <v>0</v>
      </c>
      <c r="Z1856">
        <f>'Résultat (Ln)'!F$30+'Résultat (Ln)'!F$31*Données!S1856+'Résultat (Ln)'!F$32*Données!T1856+'Résultat (Ln)'!F$33*Données!U1856+'Résultat (Ln)'!F$34*Données!V1856+'Résultat (Ln)'!F$35*Données!W1856+'Résultat (Ln)'!F$36*Données!X1856+'Résultat (Ln)'!F$37*Données!Y1856</f>
        <v>173218.1905419612</v>
      </c>
      <c r="AA1856">
        <f t="shared" si="115"/>
        <v>2781.8094580387988</v>
      </c>
    </row>
    <row r="1857" spans="1:27" x14ac:dyDescent="0.25">
      <c r="A1857">
        <v>260000</v>
      </c>
      <c r="B1857">
        <v>1</v>
      </c>
      <c r="C1857">
        <v>37</v>
      </c>
      <c r="D1857">
        <v>0</v>
      </c>
      <c r="E1857">
        <v>377000</v>
      </c>
      <c r="F1857">
        <v>8334</v>
      </c>
      <c r="G1857">
        <v>1</v>
      </c>
      <c r="H1857">
        <v>0</v>
      </c>
      <c r="I1857">
        <v>0</v>
      </c>
      <c r="J1857">
        <v>33</v>
      </c>
      <c r="K1857">
        <v>1</v>
      </c>
      <c r="L1857">
        <f>Résultats!G$32+Résultats!G$33*Données!C1857+Résultats!G$34*Données!D1857+Résultats!G$35*Données!E1857+Résultats!G$36*Données!F1857+Résultats!G$37*Données!G1857+Résultats!G$38*Données!H1857+Résultats!G$39*Données!I1857</f>
        <v>238269.93070007677</v>
      </c>
      <c r="M1857">
        <f t="shared" si="112"/>
        <v>21730.069299923227</v>
      </c>
      <c r="Q1857">
        <v>107000</v>
      </c>
      <c r="R1857">
        <v>1</v>
      </c>
      <c r="S1857">
        <v>34</v>
      </c>
      <c r="T1857">
        <v>0</v>
      </c>
      <c r="U1857">
        <f t="shared" si="113"/>
        <v>11.719939634354555</v>
      </c>
      <c r="V1857">
        <f t="shared" si="114"/>
        <v>7.4854916080307543</v>
      </c>
      <c r="W1857">
        <v>1</v>
      </c>
      <c r="X1857">
        <v>0</v>
      </c>
      <c r="Y1857">
        <v>0</v>
      </c>
      <c r="Z1857">
        <f>'Résultat (Ln)'!F$30+'Résultat (Ln)'!F$31*Données!S1857+'Résultat (Ln)'!F$32*Données!T1857+'Résultat (Ln)'!F$33*Données!U1857+'Résultat (Ln)'!F$34*Données!V1857+'Résultat (Ln)'!F$35*Données!W1857+'Résultat (Ln)'!F$36*Données!X1857+'Résultat (Ln)'!F$37*Données!Y1857</f>
        <v>82495.512273706365</v>
      </c>
      <c r="AA1857">
        <f t="shared" si="115"/>
        <v>24504.487726293635</v>
      </c>
    </row>
    <row r="1858" spans="1:27" x14ac:dyDescent="0.25">
      <c r="A1858">
        <v>133000</v>
      </c>
      <c r="B1858">
        <v>1</v>
      </c>
      <c r="C1858">
        <v>38</v>
      </c>
      <c r="D1858">
        <v>0</v>
      </c>
      <c r="E1858">
        <v>165000</v>
      </c>
      <c r="F1858">
        <v>3391</v>
      </c>
      <c r="G1858">
        <v>1</v>
      </c>
      <c r="H1858">
        <v>0</v>
      </c>
      <c r="I1858">
        <v>0</v>
      </c>
      <c r="J1858">
        <v>27</v>
      </c>
      <c r="K1858">
        <v>1</v>
      </c>
      <c r="L1858">
        <f>Résultats!G$32+Résultats!G$33*Données!C1858+Résultats!G$34*Données!D1858+Résultats!G$35*Données!E1858+Résultats!G$36*Données!F1858+Résultats!G$37*Données!G1858+Résultats!G$38*Données!H1858+Résultats!G$39*Données!I1858</f>
        <v>130846.02517166805</v>
      </c>
      <c r="M1858">
        <f t="shared" si="112"/>
        <v>2153.9748283319495</v>
      </c>
      <c r="Q1858">
        <v>260000</v>
      </c>
      <c r="R1858">
        <v>1</v>
      </c>
      <c r="S1858">
        <v>37</v>
      </c>
      <c r="T1858">
        <v>0</v>
      </c>
      <c r="U1858">
        <f t="shared" si="113"/>
        <v>12.840000466430148</v>
      </c>
      <c r="V1858">
        <f t="shared" si="114"/>
        <v>9.0280988119823995</v>
      </c>
      <c r="W1858">
        <v>1</v>
      </c>
      <c r="X1858">
        <v>0</v>
      </c>
      <c r="Y1858">
        <v>0</v>
      </c>
      <c r="Z1858">
        <f>'Résultat (Ln)'!F$30+'Résultat (Ln)'!F$31*Données!S1858+'Résultat (Ln)'!F$32*Données!T1858+'Résultat (Ln)'!F$33*Données!U1858+'Résultat (Ln)'!F$34*Données!V1858+'Résultat (Ln)'!F$35*Données!W1858+'Résultat (Ln)'!F$36*Données!X1858+'Résultat (Ln)'!F$37*Données!Y1858</f>
        <v>249490.83260714385</v>
      </c>
      <c r="AA1858">
        <f t="shared" si="115"/>
        <v>10509.16739285615</v>
      </c>
    </row>
    <row r="1859" spans="1:27" x14ac:dyDescent="0.25">
      <c r="A1859">
        <v>370000</v>
      </c>
      <c r="B1859">
        <v>1</v>
      </c>
      <c r="C1859">
        <v>35</v>
      </c>
      <c r="D1859">
        <v>0</v>
      </c>
      <c r="E1859">
        <v>485000</v>
      </c>
      <c r="F1859">
        <v>15887</v>
      </c>
      <c r="G1859">
        <v>1</v>
      </c>
      <c r="H1859">
        <v>0</v>
      </c>
      <c r="I1859">
        <v>0</v>
      </c>
      <c r="J1859">
        <v>25</v>
      </c>
      <c r="K1859">
        <v>0</v>
      </c>
      <c r="L1859">
        <f>Résultats!G$32+Résultats!G$33*Données!C1859+Résultats!G$34*Données!D1859+Résultats!G$35*Données!E1859+Résultats!G$36*Données!F1859+Résultats!G$37*Données!G1859+Résultats!G$38*Données!H1859+Résultats!G$39*Données!I1859</f>
        <v>301039.65093203797</v>
      </c>
      <c r="M1859">
        <f t="shared" ref="M1859:M1922" si="116">A1859-L1859</f>
        <v>68960.34906796203</v>
      </c>
      <c r="Q1859">
        <v>133000</v>
      </c>
      <c r="R1859">
        <v>1</v>
      </c>
      <c r="S1859">
        <v>38</v>
      </c>
      <c r="T1859">
        <v>0</v>
      </c>
      <c r="U1859">
        <f t="shared" si="113"/>
        <v>12.013700752882718</v>
      </c>
      <c r="V1859">
        <f t="shared" si="114"/>
        <v>8.128880142125638</v>
      </c>
      <c r="W1859">
        <v>1</v>
      </c>
      <c r="X1859">
        <v>0</v>
      </c>
      <c r="Y1859">
        <v>0</v>
      </c>
      <c r="Z1859">
        <f>'Résultat (Ln)'!F$30+'Résultat (Ln)'!F$31*Données!S1859+'Résultat (Ln)'!F$32*Données!T1859+'Résultat (Ln)'!F$33*Données!U1859+'Résultat (Ln)'!F$34*Données!V1859+'Résultat (Ln)'!F$35*Données!W1859+'Résultat (Ln)'!F$36*Données!X1859+'Résultat (Ln)'!F$37*Données!Y1859</f>
        <v>136917.90720542733</v>
      </c>
      <c r="AA1859">
        <f t="shared" si="115"/>
        <v>-3917.9072054273274</v>
      </c>
    </row>
    <row r="1860" spans="1:27" x14ac:dyDescent="0.25">
      <c r="A1860">
        <v>144000</v>
      </c>
      <c r="B1860">
        <v>1</v>
      </c>
      <c r="C1860">
        <v>39</v>
      </c>
      <c r="D1860">
        <v>0</v>
      </c>
      <c r="E1860">
        <v>152500</v>
      </c>
      <c r="F1860">
        <v>3500</v>
      </c>
      <c r="G1860">
        <v>0</v>
      </c>
      <c r="H1860">
        <v>0</v>
      </c>
      <c r="I1860">
        <v>0</v>
      </c>
      <c r="J1860">
        <v>38</v>
      </c>
      <c r="K1860">
        <v>1</v>
      </c>
      <c r="L1860">
        <f>Résultats!G$32+Résultats!G$33*Données!C1860+Résultats!G$34*Données!D1860+Résultats!G$35*Données!E1860+Résultats!G$36*Données!F1860+Résultats!G$37*Données!G1860+Résultats!G$38*Données!H1860+Résultats!G$39*Données!I1860</f>
        <v>119352.38003419676</v>
      </c>
      <c r="M1860">
        <f t="shared" si="116"/>
        <v>24647.619965803242</v>
      </c>
      <c r="Q1860">
        <v>370000</v>
      </c>
      <c r="R1860">
        <v>1</v>
      </c>
      <c r="S1860">
        <v>35</v>
      </c>
      <c r="T1860">
        <v>0</v>
      </c>
      <c r="U1860">
        <f t="shared" ref="U1860:U1923" si="117">LN(E1859)</f>
        <v>13.091904169919621</v>
      </c>
      <c r="V1860">
        <f t="shared" ref="V1860:V1923" si="118">LN(F1859)</f>
        <v>9.6732564437200228</v>
      </c>
      <c r="W1860">
        <v>1</v>
      </c>
      <c r="X1860">
        <v>0</v>
      </c>
      <c r="Y1860">
        <v>0</v>
      </c>
      <c r="Z1860">
        <f>'Résultat (Ln)'!F$30+'Résultat (Ln)'!F$31*Données!S1860+'Résultat (Ln)'!F$32*Données!T1860+'Résultat (Ln)'!F$33*Données!U1860+'Résultat (Ln)'!F$34*Données!V1860+'Résultat (Ln)'!F$35*Données!W1860+'Résultat (Ln)'!F$36*Données!X1860+'Résultat (Ln)'!F$37*Données!Y1860</f>
        <v>292143.66815537954</v>
      </c>
      <c r="AA1860">
        <f t="shared" ref="AA1860:AA1923" si="119">Q1860-Z1860</f>
        <v>77856.331844620465</v>
      </c>
    </row>
    <row r="1861" spans="1:27" x14ac:dyDescent="0.25">
      <c r="A1861">
        <v>262000</v>
      </c>
      <c r="B1861">
        <v>1</v>
      </c>
      <c r="C1861">
        <v>41</v>
      </c>
      <c r="D1861">
        <v>0</v>
      </c>
      <c r="E1861">
        <v>328000</v>
      </c>
      <c r="F1861">
        <v>10083</v>
      </c>
      <c r="G1861">
        <v>1</v>
      </c>
      <c r="H1861">
        <v>0</v>
      </c>
      <c r="I1861">
        <v>0</v>
      </c>
      <c r="J1861">
        <v>28</v>
      </c>
      <c r="K1861">
        <v>1</v>
      </c>
      <c r="L1861">
        <f>Résultats!G$32+Résultats!G$33*Données!C1861+Résultats!G$34*Données!D1861+Résultats!G$35*Données!E1861+Résultats!G$36*Données!F1861+Résultats!G$37*Données!G1861+Résultats!G$38*Données!H1861+Résultats!G$39*Données!I1861</f>
        <v>223373.09215429623</v>
      </c>
      <c r="M1861">
        <f t="shared" si="116"/>
        <v>38626.907845703769</v>
      </c>
      <c r="Q1861">
        <v>144000</v>
      </c>
      <c r="R1861">
        <v>1</v>
      </c>
      <c r="S1861">
        <v>39</v>
      </c>
      <c r="T1861">
        <v>0</v>
      </c>
      <c r="U1861">
        <f t="shared" si="117"/>
        <v>11.934919875029603</v>
      </c>
      <c r="V1861">
        <f t="shared" si="118"/>
        <v>8.1605182474775049</v>
      </c>
      <c r="W1861">
        <v>0</v>
      </c>
      <c r="X1861">
        <v>0</v>
      </c>
      <c r="Y1861">
        <v>0</v>
      </c>
      <c r="Z1861">
        <f>'Résultat (Ln)'!F$30+'Résultat (Ln)'!F$31*Données!S1861+'Résultat (Ln)'!F$32*Données!T1861+'Résultat (Ln)'!F$33*Données!U1861+'Résultat (Ln)'!F$34*Données!V1861+'Résultat (Ln)'!F$35*Données!W1861+'Résultat (Ln)'!F$36*Données!X1861+'Résultat (Ln)'!F$37*Données!Y1861</f>
        <v>126068.27223920703</v>
      </c>
      <c r="AA1861">
        <f t="shared" si="119"/>
        <v>17931.727760792972</v>
      </c>
    </row>
    <row r="1862" spans="1:27" x14ac:dyDescent="0.25">
      <c r="A1862">
        <v>115000</v>
      </c>
      <c r="B1862">
        <v>1</v>
      </c>
      <c r="C1862">
        <v>16</v>
      </c>
      <c r="D1862">
        <v>0</v>
      </c>
      <c r="E1862">
        <v>145000</v>
      </c>
      <c r="F1862">
        <v>3034</v>
      </c>
      <c r="G1862">
        <v>0</v>
      </c>
      <c r="H1862">
        <v>0</v>
      </c>
      <c r="I1862">
        <v>0</v>
      </c>
      <c r="J1862">
        <v>8</v>
      </c>
      <c r="K1862">
        <v>1</v>
      </c>
      <c r="L1862">
        <f>Résultats!G$32+Résultats!G$33*Données!C1862+Résultats!G$34*Données!D1862+Résultats!G$35*Données!E1862+Résultats!G$36*Données!F1862+Résultats!G$37*Données!G1862+Résultats!G$38*Données!H1862+Résultats!G$39*Données!I1862</f>
        <v>88527.802887002035</v>
      </c>
      <c r="M1862">
        <f t="shared" si="116"/>
        <v>26472.197112997965</v>
      </c>
      <c r="Q1862">
        <v>262000</v>
      </c>
      <c r="R1862">
        <v>1</v>
      </c>
      <c r="S1862">
        <v>41</v>
      </c>
      <c r="T1862">
        <v>0</v>
      </c>
      <c r="U1862">
        <f t="shared" si="117"/>
        <v>12.70076888736628</v>
      </c>
      <c r="V1862">
        <f t="shared" si="118"/>
        <v>9.2186061163932145</v>
      </c>
      <c r="W1862">
        <v>1</v>
      </c>
      <c r="X1862">
        <v>0</v>
      </c>
      <c r="Y1862">
        <v>0</v>
      </c>
      <c r="Z1862">
        <f>'Résultat (Ln)'!F$30+'Résultat (Ln)'!F$31*Données!S1862+'Résultat (Ln)'!F$32*Données!T1862+'Résultat (Ln)'!F$33*Données!U1862+'Résultat (Ln)'!F$34*Données!V1862+'Résultat (Ln)'!F$35*Données!W1862+'Résultat (Ln)'!F$36*Données!X1862+'Résultat (Ln)'!F$37*Données!Y1862</f>
        <v>244796.91691033699</v>
      </c>
      <c r="AA1862">
        <f t="shared" si="119"/>
        <v>17203.083089663007</v>
      </c>
    </row>
    <row r="1863" spans="1:27" x14ac:dyDescent="0.25">
      <c r="A1863">
        <v>96000</v>
      </c>
      <c r="B1863">
        <v>1</v>
      </c>
      <c r="C1863">
        <v>10.80000019073486</v>
      </c>
      <c r="D1863">
        <v>0</v>
      </c>
      <c r="E1863">
        <v>138000</v>
      </c>
      <c r="F1863">
        <v>15771</v>
      </c>
      <c r="G1863">
        <v>1</v>
      </c>
      <c r="H1863">
        <v>0</v>
      </c>
      <c r="I1863">
        <v>1</v>
      </c>
      <c r="J1863">
        <v>8.8199996948242188</v>
      </c>
      <c r="K1863">
        <v>1</v>
      </c>
      <c r="L1863">
        <f>Résultats!G$32+Résultats!G$33*Données!C1863+Résultats!G$34*Données!D1863+Résultats!G$35*Données!E1863+Résultats!G$36*Données!F1863+Résultats!G$37*Données!G1863+Résultats!G$38*Données!H1863+Résultats!G$39*Données!I1863</f>
        <v>120909.71726962231</v>
      </c>
      <c r="M1863">
        <f t="shared" si="116"/>
        <v>-24909.717269622313</v>
      </c>
      <c r="Q1863">
        <v>115000</v>
      </c>
      <c r="R1863">
        <v>1</v>
      </c>
      <c r="S1863">
        <v>16</v>
      </c>
      <c r="T1863">
        <v>0</v>
      </c>
      <c r="U1863">
        <f t="shared" si="117"/>
        <v>11.884489021402711</v>
      </c>
      <c r="V1863">
        <f t="shared" si="118"/>
        <v>8.0176371599084781</v>
      </c>
      <c r="W1863">
        <v>0</v>
      </c>
      <c r="X1863">
        <v>0</v>
      </c>
      <c r="Y1863">
        <v>0</v>
      </c>
      <c r="Z1863">
        <f>'Résultat (Ln)'!F$30+'Résultat (Ln)'!F$31*Données!S1863+'Résultat (Ln)'!F$32*Données!T1863+'Résultat (Ln)'!F$33*Données!U1863+'Résultat (Ln)'!F$34*Données!V1863+'Résultat (Ln)'!F$35*Données!W1863+'Résultat (Ln)'!F$36*Données!X1863+'Résultat (Ln)'!F$37*Données!Y1863</f>
        <v>88548.152634158556</v>
      </c>
      <c r="AA1863">
        <f t="shared" si="119"/>
        <v>26451.847365841444</v>
      </c>
    </row>
    <row r="1864" spans="1:27" x14ac:dyDescent="0.25">
      <c r="A1864">
        <v>70000</v>
      </c>
      <c r="B1864">
        <v>1</v>
      </c>
      <c r="C1864">
        <v>33</v>
      </c>
      <c r="D1864">
        <v>0</v>
      </c>
      <c r="E1864">
        <v>175000</v>
      </c>
      <c r="F1864">
        <v>2868</v>
      </c>
      <c r="G1864">
        <v>0</v>
      </c>
      <c r="H1864">
        <v>0</v>
      </c>
      <c r="I1864">
        <v>1</v>
      </c>
      <c r="J1864">
        <v>27</v>
      </c>
      <c r="K1864">
        <v>1</v>
      </c>
      <c r="L1864">
        <f>Résultats!G$32+Résultats!G$33*Données!C1864+Résultats!G$34*Données!D1864+Résultats!G$35*Données!E1864+Résultats!G$36*Données!F1864+Résultats!G$37*Données!G1864+Résultats!G$38*Données!H1864+Résultats!G$39*Données!I1864</f>
        <v>131667.58154643545</v>
      </c>
      <c r="M1864">
        <f t="shared" si="116"/>
        <v>-61667.581546435453</v>
      </c>
      <c r="Q1864">
        <v>96000</v>
      </c>
      <c r="R1864">
        <v>1</v>
      </c>
      <c r="S1864">
        <v>10.80000019073486</v>
      </c>
      <c r="T1864">
        <v>0</v>
      </c>
      <c r="U1864">
        <f t="shared" si="117"/>
        <v>11.835008964139341</v>
      </c>
      <c r="V1864">
        <f t="shared" si="118"/>
        <v>9.6659280894875579</v>
      </c>
      <c r="W1864">
        <v>1</v>
      </c>
      <c r="X1864">
        <v>0</v>
      </c>
      <c r="Y1864">
        <v>1</v>
      </c>
      <c r="Z1864">
        <f>'Résultat (Ln)'!F$30+'Résultat (Ln)'!F$31*Données!S1864+'Résultat (Ln)'!F$32*Données!T1864+'Résultat (Ln)'!F$33*Données!U1864+'Résultat (Ln)'!F$34*Données!V1864+'Résultat (Ln)'!F$35*Données!W1864+'Résultat (Ln)'!F$36*Données!X1864+'Résultat (Ln)'!F$37*Données!Y1864</f>
        <v>141718.08486777724</v>
      </c>
      <c r="AA1864">
        <f t="shared" si="119"/>
        <v>-45718.084867777245</v>
      </c>
    </row>
    <row r="1865" spans="1:27" x14ac:dyDescent="0.25">
      <c r="A1865">
        <v>60000</v>
      </c>
      <c r="B1865">
        <v>1</v>
      </c>
      <c r="C1865">
        <v>44</v>
      </c>
      <c r="D1865">
        <v>0</v>
      </c>
      <c r="E1865">
        <v>130000</v>
      </c>
      <c r="F1865">
        <v>1606</v>
      </c>
      <c r="G1865">
        <v>1</v>
      </c>
      <c r="H1865">
        <v>6</v>
      </c>
      <c r="I1865">
        <v>0</v>
      </c>
      <c r="J1865">
        <v>44</v>
      </c>
      <c r="K1865">
        <v>1</v>
      </c>
      <c r="L1865">
        <f>Résultats!G$32+Résultats!G$33*Données!C1865+Résultats!G$34*Données!D1865+Résultats!G$35*Données!E1865+Résultats!G$36*Données!F1865+Résultats!G$37*Données!G1865+Résultats!G$38*Données!H1865+Résultats!G$39*Données!I1865</f>
        <v>108184.07371989438</v>
      </c>
      <c r="M1865">
        <f t="shared" si="116"/>
        <v>-48184.073719894383</v>
      </c>
      <c r="Q1865">
        <v>70000</v>
      </c>
      <c r="R1865">
        <v>1</v>
      </c>
      <c r="S1865">
        <v>33</v>
      </c>
      <c r="T1865">
        <v>0</v>
      </c>
      <c r="U1865">
        <f t="shared" si="117"/>
        <v>12.072541252905651</v>
      </c>
      <c r="V1865">
        <f t="shared" si="118"/>
        <v>7.9613702017195109</v>
      </c>
      <c r="W1865">
        <v>0</v>
      </c>
      <c r="X1865">
        <v>0</v>
      </c>
      <c r="Y1865">
        <v>1</v>
      </c>
      <c r="Z1865">
        <f>'Résultat (Ln)'!F$30+'Résultat (Ln)'!F$31*Données!S1865+'Résultat (Ln)'!F$32*Données!T1865+'Résultat (Ln)'!F$33*Données!U1865+'Résultat (Ln)'!F$34*Données!V1865+'Résultat (Ln)'!F$35*Données!W1865+'Résultat (Ln)'!F$36*Données!X1865+'Résultat (Ln)'!F$37*Données!Y1865</f>
        <v>141990.09404687164</v>
      </c>
      <c r="AA1865">
        <f t="shared" si="119"/>
        <v>-71990.094046871644</v>
      </c>
    </row>
    <row r="1866" spans="1:27" x14ac:dyDescent="0.25">
      <c r="A1866">
        <v>117000</v>
      </c>
      <c r="B1866">
        <v>1</v>
      </c>
      <c r="C1866">
        <v>40</v>
      </c>
      <c r="D1866">
        <v>1</v>
      </c>
      <c r="E1866">
        <v>167000</v>
      </c>
      <c r="F1866">
        <v>5583</v>
      </c>
      <c r="G1866">
        <v>1</v>
      </c>
      <c r="H1866">
        <v>0</v>
      </c>
      <c r="I1866">
        <v>0</v>
      </c>
      <c r="J1866">
        <v>26</v>
      </c>
      <c r="K1866">
        <v>1</v>
      </c>
      <c r="L1866">
        <f>Résultats!G$32+Résultats!G$33*Données!C1866+Résultats!G$34*Données!D1866+Résultats!G$35*Données!E1866+Résultats!G$36*Données!F1866+Résultats!G$37*Données!G1866+Résultats!G$38*Données!H1866+Résultats!G$39*Données!I1866</f>
        <v>143173.15108827606</v>
      </c>
      <c r="M1866">
        <f t="shared" si="116"/>
        <v>-26173.151088276063</v>
      </c>
      <c r="Q1866">
        <v>60000</v>
      </c>
      <c r="R1866">
        <v>1</v>
      </c>
      <c r="S1866">
        <v>44</v>
      </c>
      <c r="T1866">
        <v>0</v>
      </c>
      <c r="U1866">
        <f t="shared" si="117"/>
        <v>11.77528972943772</v>
      </c>
      <c r="V1866">
        <f t="shared" si="118"/>
        <v>7.381501894506707</v>
      </c>
      <c r="W1866">
        <v>1</v>
      </c>
      <c r="X1866">
        <v>6</v>
      </c>
      <c r="Y1866">
        <v>0</v>
      </c>
      <c r="Z1866">
        <f>'Résultat (Ln)'!F$30+'Résultat (Ln)'!F$31*Données!S1866+'Résultat (Ln)'!F$32*Données!T1866+'Résultat (Ln)'!F$33*Données!U1866+'Résultat (Ln)'!F$34*Données!V1866+'Résultat (Ln)'!F$35*Données!W1866+'Résultat (Ln)'!F$36*Données!X1866+'Résultat (Ln)'!F$37*Données!Y1866</f>
        <v>96667.49835778671</v>
      </c>
      <c r="AA1866">
        <f t="shared" si="119"/>
        <v>-36667.49835778671</v>
      </c>
    </row>
    <row r="1867" spans="1:27" x14ac:dyDescent="0.25">
      <c r="A1867">
        <v>161000</v>
      </c>
      <c r="B1867">
        <v>1</v>
      </c>
      <c r="C1867">
        <v>39</v>
      </c>
      <c r="D1867">
        <v>0</v>
      </c>
      <c r="E1867">
        <v>175000</v>
      </c>
      <c r="F1867">
        <v>3182</v>
      </c>
      <c r="G1867">
        <v>0</v>
      </c>
      <c r="H1867">
        <v>0</v>
      </c>
      <c r="I1867">
        <v>0</v>
      </c>
      <c r="J1867">
        <v>27</v>
      </c>
      <c r="K1867">
        <v>1</v>
      </c>
      <c r="L1867">
        <f>Résultats!G$32+Résultats!G$33*Données!C1867+Résultats!G$34*Données!D1867+Résultats!G$35*Données!E1867+Résultats!G$36*Données!F1867+Résultats!G$37*Données!G1867+Résultats!G$38*Données!H1867+Résultats!G$39*Données!I1867</f>
        <v>129242.61219702037</v>
      </c>
      <c r="M1867">
        <f t="shared" si="116"/>
        <v>31757.387802979632</v>
      </c>
      <c r="Q1867">
        <v>117000</v>
      </c>
      <c r="R1867">
        <v>1</v>
      </c>
      <c r="S1867">
        <v>40</v>
      </c>
      <c r="T1867">
        <v>1</v>
      </c>
      <c r="U1867">
        <f t="shared" si="117"/>
        <v>12.025749091398891</v>
      </c>
      <c r="V1867">
        <f t="shared" si="118"/>
        <v>8.6274815453103599</v>
      </c>
      <c r="W1867">
        <v>1</v>
      </c>
      <c r="X1867">
        <v>0</v>
      </c>
      <c r="Y1867">
        <v>0</v>
      </c>
      <c r="Z1867">
        <f>'Résultat (Ln)'!F$30+'Résultat (Ln)'!F$31*Données!S1867+'Résultat (Ln)'!F$32*Données!T1867+'Résultat (Ln)'!F$33*Données!U1867+'Résultat (Ln)'!F$34*Données!V1867+'Résultat (Ln)'!F$35*Données!W1867+'Résultat (Ln)'!F$36*Données!X1867+'Résultat (Ln)'!F$37*Données!Y1867</f>
        <v>158986.00129713144</v>
      </c>
      <c r="AA1867">
        <f t="shared" si="119"/>
        <v>-41986.001297131443</v>
      </c>
    </row>
    <row r="1868" spans="1:27" x14ac:dyDescent="0.25">
      <c r="A1868">
        <v>185000</v>
      </c>
      <c r="B1868">
        <v>1</v>
      </c>
      <c r="C1868">
        <v>39.200000762939453</v>
      </c>
      <c r="D1868">
        <v>0</v>
      </c>
      <c r="E1868">
        <v>205000</v>
      </c>
      <c r="F1868">
        <v>6700</v>
      </c>
      <c r="G1868">
        <v>1</v>
      </c>
      <c r="H1868">
        <v>0</v>
      </c>
      <c r="I1868">
        <v>1</v>
      </c>
      <c r="J1868">
        <v>23.110000610351559</v>
      </c>
      <c r="K1868">
        <v>1</v>
      </c>
      <c r="L1868">
        <f>Résultats!G$32+Résultats!G$33*Données!C1868+Résultats!G$34*Données!D1868+Résultats!G$35*Données!E1868+Résultats!G$36*Données!F1868+Résultats!G$37*Données!G1868+Résultats!G$38*Données!H1868+Résultats!G$39*Données!I1868</f>
        <v>167240.15650013488</v>
      </c>
      <c r="M1868">
        <f t="shared" si="116"/>
        <v>17759.843499865121</v>
      </c>
      <c r="Q1868">
        <v>161000</v>
      </c>
      <c r="R1868">
        <v>1</v>
      </c>
      <c r="S1868">
        <v>39</v>
      </c>
      <c r="T1868">
        <v>0</v>
      </c>
      <c r="U1868">
        <f t="shared" si="117"/>
        <v>12.072541252905651</v>
      </c>
      <c r="V1868">
        <f t="shared" si="118"/>
        <v>8.065265208897733</v>
      </c>
      <c r="W1868">
        <v>0</v>
      </c>
      <c r="X1868">
        <v>0</v>
      </c>
      <c r="Y1868">
        <v>0</v>
      </c>
      <c r="Z1868">
        <f>'Résultat (Ln)'!F$30+'Résultat (Ln)'!F$31*Données!S1868+'Résultat (Ln)'!F$32*Données!T1868+'Résultat (Ln)'!F$33*Données!U1868+'Résultat (Ln)'!F$34*Données!V1868+'Résultat (Ln)'!F$35*Données!W1868+'Résultat (Ln)'!F$36*Données!X1868+'Résultat (Ln)'!F$37*Données!Y1868</f>
        <v>138149.22679632681</v>
      </c>
      <c r="AA1868">
        <f t="shared" si="119"/>
        <v>22850.77320367319</v>
      </c>
    </row>
    <row r="1869" spans="1:27" x14ac:dyDescent="0.25">
      <c r="A1869">
        <v>135000</v>
      </c>
      <c r="B1869">
        <v>1</v>
      </c>
      <c r="C1869">
        <v>30.89999961853027</v>
      </c>
      <c r="D1869">
        <v>0</v>
      </c>
      <c r="E1869">
        <v>155000</v>
      </c>
      <c r="F1869">
        <v>3418</v>
      </c>
      <c r="G1869">
        <v>1</v>
      </c>
      <c r="H1869">
        <v>0</v>
      </c>
      <c r="I1869">
        <v>0</v>
      </c>
      <c r="J1869">
        <v>29.89999961853027</v>
      </c>
      <c r="K1869">
        <v>1</v>
      </c>
      <c r="L1869">
        <f>Résultats!G$32+Résultats!G$33*Données!C1869+Résultats!G$34*Données!D1869+Résultats!G$35*Données!E1869+Résultats!G$36*Données!F1869+Résultats!G$37*Données!G1869+Résultats!G$38*Données!H1869+Résultats!G$39*Données!I1869</f>
        <v>118073.25261389838</v>
      </c>
      <c r="M1869">
        <f t="shared" si="116"/>
        <v>16926.747386101619</v>
      </c>
      <c r="Q1869">
        <v>185000</v>
      </c>
      <c r="R1869">
        <v>1</v>
      </c>
      <c r="S1869">
        <v>39.200000762939453</v>
      </c>
      <c r="T1869">
        <v>0</v>
      </c>
      <c r="U1869">
        <f t="shared" si="117"/>
        <v>12.230765258120545</v>
      </c>
      <c r="V1869">
        <f t="shared" si="118"/>
        <v>8.8098628053790566</v>
      </c>
      <c r="W1869">
        <v>1</v>
      </c>
      <c r="X1869">
        <v>0</v>
      </c>
      <c r="Y1869">
        <v>1</v>
      </c>
      <c r="Z1869">
        <f>'Résultat (Ln)'!F$30+'Résultat (Ln)'!F$31*Données!S1869+'Résultat (Ln)'!F$32*Données!T1869+'Résultat (Ln)'!F$33*Données!U1869+'Résultat (Ln)'!F$34*Données!V1869+'Résultat (Ln)'!F$35*Données!W1869+'Résultat (Ln)'!F$36*Données!X1869+'Résultat (Ln)'!F$37*Données!Y1869</f>
        <v>194838.33953351766</v>
      </c>
      <c r="AA1869">
        <f t="shared" si="119"/>
        <v>-9838.339533517661</v>
      </c>
    </row>
    <row r="1870" spans="1:27" x14ac:dyDescent="0.25">
      <c r="A1870">
        <v>137000</v>
      </c>
      <c r="B1870">
        <v>1</v>
      </c>
      <c r="C1870">
        <v>27</v>
      </c>
      <c r="D1870">
        <v>0</v>
      </c>
      <c r="E1870">
        <v>172000</v>
      </c>
      <c r="F1870">
        <v>2500</v>
      </c>
      <c r="G1870">
        <v>1</v>
      </c>
      <c r="H1870">
        <v>0</v>
      </c>
      <c r="I1870">
        <v>0</v>
      </c>
      <c r="J1870">
        <v>19</v>
      </c>
      <c r="K1870">
        <v>1</v>
      </c>
      <c r="L1870">
        <f>Résultats!G$32+Résultats!G$33*Données!C1870+Résultats!G$34*Données!D1870+Résultats!G$35*Données!E1870+Résultats!G$36*Données!F1870+Résultats!G$37*Données!G1870+Résultats!G$38*Données!H1870+Résultats!G$39*Données!I1870</f>
        <v>119752.7553391929</v>
      </c>
      <c r="M1870">
        <f t="shared" si="116"/>
        <v>17247.244660807104</v>
      </c>
      <c r="Q1870">
        <v>135000</v>
      </c>
      <c r="R1870">
        <v>1</v>
      </c>
      <c r="S1870">
        <v>30.89999961853027</v>
      </c>
      <c r="T1870">
        <v>0</v>
      </c>
      <c r="U1870">
        <f t="shared" si="117"/>
        <v>11.951180395901384</v>
      </c>
      <c r="V1870">
        <f t="shared" si="118"/>
        <v>8.136810863675537</v>
      </c>
      <c r="W1870">
        <v>1</v>
      </c>
      <c r="X1870">
        <v>0</v>
      </c>
      <c r="Y1870">
        <v>0</v>
      </c>
      <c r="Z1870">
        <f>'Résultat (Ln)'!F$30+'Résultat (Ln)'!F$31*Données!S1870+'Résultat (Ln)'!F$32*Données!T1870+'Résultat (Ln)'!F$33*Données!U1870+'Résultat (Ln)'!F$34*Données!V1870+'Résultat (Ln)'!F$35*Données!W1870+'Résultat (Ln)'!F$36*Données!X1870+'Résultat (Ln)'!F$37*Données!Y1870</f>
        <v>121761.93415246125</v>
      </c>
      <c r="AA1870">
        <f t="shared" si="119"/>
        <v>13238.065847538746</v>
      </c>
    </row>
    <row r="1871" spans="1:27" x14ac:dyDescent="0.25">
      <c r="A1871">
        <v>205000</v>
      </c>
      <c r="B1871">
        <v>1</v>
      </c>
      <c r="C1871">
        <v>44</v>
      </c>
      <c r="D1871">
        <v>0</v>
      </c>
      <c r="E1871">
        <v>245000</v>
      </c>
      <c r="F1871">
        <v>6540</v>
      </c>
      <c r="G1871">
        <v>1</v>
      </c>
      <c r="H1871">
        <v>0</v>
      </c>
      <c r="I1871">
        <v>0</v>
      </c>
      <c r="J1871">
        <v>37</v>
      </c>
      <c r="K1871">
        <v>1</v>
      </c>
      <c r="L1871">
        <f>Résultats!G$32+Résultats!G$33*Données!C1871+Résultats!G$34*Données!D1871+Résultats!G$35*Données!E1871+Résultats!G$36*Données!F1871+Résultats!G$37*Données!G1871+Résultats!G$38*Données!H1871+Résultats!G$39*Données!I1871</f>
        <v>181196.40135494914</v>
      </c>
      <c r="M1871">
        <f t="shared" si="116"/>
        <v>23803.598645050864</v>
      </c>
      <c r="Q1871">
        <v>137000</v>
      </c>
      <c r="R1871">
        <v>1</v>
      </c>
      <c r="S1871">
        <v>27</v>
      </c>
      <c r="T1871">
        <v>0</v>
      </c>
      <c r="U1871">
        <f t="shared" si="117"/>
        <v>12.05524975579559</v>
      </c>
      <c r="V1871">
        <f t="shared" si="118"/>
        <v>7.8240460108562919</v>
      </c>
      <c r="W1871">
        <v>1</v>
      </c>
      <c r="X1871">
        <v>0</v>
      </c>
      <c r="Y1871">
        <v>0</v>
      </c>
      <c r="Z1871">
        <f>'Résultat (Ln)'!F$30+'Résultat (Ln)'!F$31*Données!S1871+'Résultat (Ln)'!F$32*Données!T1871+'Résultat (Ln)'!F$33*Données!U1871+'Résultat (Ln)'!F$34*Données!V1871+'Résultat (Ln)'!F$35*Données!W1871+'Résultat (Ln)'!F$36*Données!X1871+'Résultat (Ln)'!F$37*Données!Y1871</f>
        <v>119380.01053202864</v>
      </c>
      <c r="AA1871">
        <f t="shared" si="119"/>
        <v>17619.989467971362</v>
      </c>
    </row>
    <row r="1872" spans="1:27" x14ac:dyDescent="0.25">
      <c r="A1872">
        <v>90000</v>
      </c>
      <c r="B1872">
        <v>1</v>
      </c>
      <c r="C1872">
        <v>4</v>
      </c>
      <c r="D1872">
        <v>0</v>
      </c>
      <c r="E1872">
        <v>184000</v>
      </c>
      <c r="F1872">
        <v>1836</v>
      </c>
      <c r="G1872">
        <v>0</v>
      </c>
      <c r="H1872">
        <v>0</v>
      </c>
      <c r="I1872">
        <v>0</v>
      </c>
      <c r="J1872">
        <v>4</v>
      </c>
      <c r="K1872">
        <v>1</v>
      </c>
      <c r="L1872">
        <f>Résultats!G$32+Résultats!G$33*Données!C1872+Résultats!G$34*Données!D1872+Résultats!G$35*Données!E1872+Résultats!G$36*Données!F1872+Résultats!G$37*Données!G1872+Résultats!G$38*Données!H1872+Résultats!G$39*Données!I1872</f>
        <v>90633.466551645965</v>
      </c>
      <c r="M1872">
        <f t="shared" si="116"/>
        <v>-633.4665516459645</v>
      </c>
      <c r="Q1872">
        <v>205000</v>
      </c>
      <c r="R1872">
        <v>1</v>
      </c>
      <c r="S1872">
        <v>44</v>
      </c>
      <c r="T1872">
        <v>0</v>
      </c>
      <c r="U1872">
        <f t="shared" si="117"/>
        <v>12.409013489526863</v>
      </c>
      <c r="V1872">
        <f t="shared" si="118"/>
        <v>8.7856924444512448</v>
      </c>
      <c r="W1872">
        <v>1</v>
      </c>
      <c r="X1872">
        <v>0</v>
      </c>
      <c r="Y1872">
        <v>0</v>
      </c>
      <c r="Z1872">
        <f>'Résultat (Ln)'!F$30+'Résultat (Ln)'!F$31*Données!S1872+'Résultat (Ln)'!F$32*Données!T1872+'Résultat (Ln)'!F$33*Données!U1872+'Résultat (Ln)'!F$34*Données!V1872+'Résultat (Ln)'!F$35*Données!W1872+'Résultat (Ln)'!F$36*Données!X1872+'Résultat (Ln)'!F$37*Données!Y1872</f>
        <v>205046.74752122595</v>
      </c>
      <c r="AA1872">
        <f t="shared" si="119"/>
        <v>-46.747521225945093</v>
      </c>
    </row>
    <row r="1873" spans="1:27" x14ac:dyDescent="0.25">
      <c r="A1873">
        <v>36000</v>
      </c>
      <c r="B1873">
        <v>1</v>
      </c>
      <c r="C1873">
        <v>28</v>
      </c>
      <c r="D1873">
        <v>0</v>
      </c>
      <c r="E1873">
        <v>45000</v>
      </c>
      <c r="F1873">
        <v>3166</v>
      </c>
      <c r="G1873">
        <v>1</v>
      </c>
      <c r="H1873">
        <v>0</v>
      </c>
      <c r="I1873">
        <v>1</v>
      </c>
      <c r="J1873">
        <v>16</v>
      </c>
      <c r="K1873">
        <v>0</v>
      </c>
      <c r="L1873">
        <f>Résultats!G$32+Résultats!G$33*Données!C1873+Résultats!G$34*Données!D1873+Résultats!G$35*Données!E1873+Résultats!G$36*Données!F1873+Résultats!G$37*Données!G1873+Résultats!G$38*Données!H1873+Résultats!G$39*Données!I1873</f>
        <v>72814.383839450064</v>
      </c>
      <c r="M1873">
        <f t="shared" si="116"/>
        <v>-36814.383839450064</v>
      </c>
      <c r="Q1873">
        <v>90000</v>
      </c>
      <c r="R1873">
        <v>1</v>
      </c>
      <c r="S1873">
        <v>4</v>
      </c>
      <c r="T1873">
        <v>0</v>
      </c>
      <c r="U1873">
        <f t="shared" si="117"/>
        <v>12.122691036591123</v>
      </c>
      <c r="V1873">
        <f t="shared" si="118"/>
        <v>7.5153445711804361</v>
      </c>
      <c r="W1873">
        <v>0</v>
      </c>
      <c r="X1873">
        <v>0</v>
      </c>
      <c r="Y1873">
        <v>0</v>
      </c>
      <c r="Z1873">
        <f>'Résultat (Ln)'!F$30+'Résultat (Ln)'!F$31*Données!S1873+'Résultat (Ln)'!F$32*Données!T1873+'Résultat (Ln)'!F$33*Données!U1873+'Résultat (Ln)'!F$34*Données!V1873+'Résultat (Ln)'!F$35*Données!W1873+'Résultat (Ln)'!F$36*Données!X1873+'Résultat (Ln)'!F$37*Données!Y1873</f>
        <v>85330.667023315036</v>
      </c>
      <c r="AA1873">
        <f t="shared" si="119"/>
        <v>4669.3329766849638</v>
      </c>
    </row>
    <row r="1874" spans="1:27" x14ac:dyDescent="0.25">
      <c r="A1874">
        <v>159000</v>
      </c>
      <c r="B1874">
        <v>1</v>
      </c>
      <c r="C1874">
        <v>26</v>
      </c>
      <c r="D1874">
        <v>0</v>
      </c>
      <c r="E1874">
        <v>212000</v>
      </c>
      <c r="F1874">
        <v>5167</v>
      </c>
      <c r="G1874">
        <v>0</v>
      </c>
      <c r="H1874">
        <v>1</v>
      </c>
      <c r="I1874">
        <v>0</v>
      </c>
      <c r="J1874">
        <v>24</v>
      </c>
      <c r="K1874">
        <v>1</v>
      </c>
      <c r="L1874">
        <f>Résultats!G$32+Résultats!G$33*Données!C1874+Résultats!G$34*Données!D1874+Résultats!G$35*Données!E1874+Résultats!G$36*Données!F1874+Résultats!G$37*Données!G1874+Résultats!G$38*Données!H1874+Résultats!G$39*Données!I1874</f>
        <v>133808.3996512247</v>
      </c>
      <c r="M1874">
        <f t="shared" si="116"/>
        <v>25191.600348775304</v>
      </c>
      <c r="Q1874">
        <v>36000</v>
      </c>
      <c r="R1874">
        <v>1</v>
      </c>
      <c r="S1874">
        <v>28</v>
      </c>
      <c r="T1874">
        <v>0</v>
      </c>
      <c r="U1874">
        <f t="shared" si="117"/>
        <v>10.714417768752456</v>
      </c>
      <c r="V1874">
        <f t="shared" si="118"/>
        <v>8.0602242404409576</v>
      </c>
      <c r="W1874">
        <v>1</v>
      </c>
      <c r="X1874">
        <v>0</v>
      </c>
      <c r="Y1874">
        <v>1</v>
      </c>
      <c r="Z1874">
        <f>'Résultat (Ln)'!F$30+'Résultat (Ln)'!F$31*Données!S1874+'Résultat (Ln)'!F$32*Données!T1874+'Résultat (Ln)'!F$33*Données!U1874+'Résultat (Ln)'!F$34*Données!V1874+'Résultat (Ln)'!F$35*Données!W1874+'Résultat (Ln)'!F$36*Données!X1874+'Résultat (Ln)'!F$37*Données!Y1874</f>
        <v>-2418.4561505180391</v>
      </c>
      <c r="AA1874">
        <f t="shared" si="119"/>
        <v>38418.456150518039</v>
      </c>
    </row>
    <row r="1875" spans="1:27" x14ac:dyDescent="0.25">
      <c r="A1875">
        <v>122000</v>
      </c>
      <c r="B1875">
        <v>1</v>
      </c>
      <c r="C1875">
        <v>38</v>
      </c>
      <c r="D1875">
        <v>0</v>
      </c>
      <c r="E1875">
        <v>135000</v>
      </c>
      <c r="F1875">
        <v>3942</v>
      </c>
      <c r="G1875">
        <v>1</v>
      </c>
      <c r="H1875">
        <v>0</v>
      </c>
      <c r="I1875">
        <v>0</v>
      </c>
      <c r="J1875">
        <v>29</v>
      </c>
      <c r="K1875">
        <v>1</v>
      </c>
      <c r="L1875">
        <f>Résultats!G$32+Résultats!G$33*Données!C1875+Résultats!G$34*Données!D1875+Résultats!G$35*Données!E1875+Résultats!G$36*Données!F1875+Résultats!G$37*Données!G1875+Résultats!G$38*Données!H1875+Résultats!G$39*Données!I1875</f>
        <v>117905.14795002091</v>
      </c>
      <c r="M1875">
        <f t="shared" si="116"/>
        <v>4094.8520499790902</v>
      </c>
      <c r="Q1875">
        <v>159000</v>
      </c>
      <c r="R1875">
        <v>1</v>
      </c>
      <c r="S1875">
        <v>26</v>
      </c>
      <c r="T1875">
        <v>0</v>
      </c>
      <c r="U1875">
        <f t="shared" si="117"/>
        <v>12.26434155365415</v>
      </c>
      <c r="V1875">
        <f t="shared" si="118"/>
        <v>8.550047528287184</v>
      </c>
      <c r="W1875">
        <v>0</v>
      </c>
      <c r="X1875">
        <v>1</v>
      </c>
      <c r="Y1875">
        <v>0</v>
      </c>
      <c r="Z1875">
        <f>'Résultat (Ln)'!F$30+'Résultat (Ln)'!F$31*Données!S1875+'Résultat (Ln)'!F$32*Données!T1875+'Résultat (Ln)'!F$33*Données!U1875+'Résultat (Ln)'!F$34*Données!V1875+'Résultat (Ln)'!F$35*Données!W1875+'Résultat (Ln)'!F$36*Données!X1875+'Résultat (Ln)'!F$37*Données!Y1875</f>
        <v>156241.40151530944</v>
      </c>
      <c r="AA1875">
        <f t="shared" si="119"/>
        <v>2758.5984846905631</v>
      </c>
    </row>
    <row r="1876" spans="1:27" x14ac:dyDescent="0.25">
      <c r="A1876">
        <v>152000</v>
      </c>
      <c r="B1876">
        <v>1</v>
      </c>
      <c r="C1876">
        <v>36</v>
      </c>
      <c r="D1876">
        <v>0</v>
      </c>
      <c r="E1876">
        <v>190000</v>
      </c>
      <c r="F1876">
        <v>3185</v>
      </c>
      <c r="G1876">
        <v>1</v>
      </c>
      <c r="H1876">
        <v>0</v>
      </c>
      <c r="I1876">
        <v>0</v>
      </c>
      <c r="J1876">
        <v>29</v>
      </c>
      <c r="K1876">
        <v>1</v>
      </c>
      <c r="L1876">
        <f>Résultats!G$32+Résultats!G$33*Données!C1876+Résultats!G$34*Données!D1876+Résultats!G$35*Données!E1876+Résultats!G$36*Données!F1876+Résultats!G$37*Données!G1876+Résultats!G$38*Données!H1876+Résultats!G$39*Données!I1876</f>
        <v>139823.33193290237</v>
      </c>
      <c r="M1876">
        <f t="shared" si="116"/>
        <v>12176.668067097635</v>
      </c>
      <c r="Q1876">
        <v>122000</v>
      </c>
      <c r="R1876">
        <v>1</v>
      </c>
      <c r="S1876">
        <v>38</v>
      </c>
      <c r="T1876">
        <v>0</v>
      </c>
      <c r="U1876">
        <f t="shared" si="117"/>
        <v>11.813030057420567</v>
      </c>
      <c r="V1876">
        <f t="shared" si="118"/>
        <v>8.2794434877126655</v>
      </c>
      <c r="W1876">
        <v>1</v>
      </c>
      <c r="X1876">
        <v>0</v>
      </c>
      <c r="Y1876">
        <v>0</v>
      </c>
      <c r="Z1876">
        <f>'Résultat (Ln)'!F$30+'Résultat (Ln)'!F$31*Données!S1876+'Résultat (Ln)'!F$32*Données!T1876+'Résultat (Ln)'!F$33*Données!U1876+'Résultat (Ln)'!F$34*Données!V1876+'Résultat (Ln)'!F$35*Données!W1876+'Résultat (Ln)'!F$36*Données!X1876+'Résultat (Ln)'!F$37*Données!Y1876</f>
        <v>119629.56675386587</v>
      </c>
      <c r="AA1876">
        <f t="shared" si="119"/>
        <v>2370.4332461341255</v>
      </c>
    </row>
    <row r="1877" spans="1:27" x14ac:dyDescent="0.25">
      <c r="A1877">
        <v>61000</v>
      </c>
      <c r="B1877">
        <v>1</v>
      </c>
      <c r="C1877">
        <v>35.799999237060547</v>
      </c>
      <c r="D1877">
        <v>0</v>
      </c>
      <c r="E1877">
        <v>64500</v>
      </c>
      <c r="F1877">
        <v>1880</v>
      </c>
      <c r="G1877">
        <v>1</v>
      </c>
      <c r="H1877">
        <v>0</v>
      </c>
      <c r="I1877">
        <v>0</v>
      </c>
      <c r="J1877">
        <v>35.799999237060547</v>
      </c>
      <c r="K1877">
        <v>1</v>
      </c>
      <c r="L1877">
        <f>Résultats!G$32+Résultats!G$33*Données!C1877+Résultats!G$34*Données!D1877+Résultats!G$35*Données!E1877+Résultats!G$36*Données!F1877+Résultats!G$37*Données!G1877+Résultats!G$38*Données!H1877+Résultats!G$39*Données!I1877</f>
        <v>78462.14924998772</v>
      </c>
      <c r="M1877">
        <f t="shared" si="116"/>
        <v>-17462.14924998772</v>
      </c>
      <c r="Q1877">
        <v>152000</v>
      </c>
      <c r="R1877">
        <v>1</v>
      </c>
      <c r="S1877">
        <v>36</v>
      </c>
      <c r="T1877">
        <v>0</v>
      </c>
      <c r="U1877">
        <f t="shared" si="117"/>
        <v>12.154779351142624</v>
      </c>
      <c r="V1877">
        <f t="shared" si="118"/>
        <v>8.0662075680062646</v>
      </c>
      <c r="W1877">
        <v>1</v>
      </c>
      <c r="X1877">
        <v>0</v>
      </c>
      <c r="Y1877">
        <v>0</v>
      </c>
      <c r="Z1877">
        <f>'Résultat (Ln)'!F$30+'Résultat (Ln)'!F$31*Données!S1877+'Résultat (Ln)'!F$32*Données!T1877+'Résultat (Ln)'!F$33*Données!U1877+'Résultat (Ln)'!F$34*Données!V1877+'Résultat (Ln)'!F$35*Données!W1877+'Résultat (Ln)'!F$36*Données!X1877+'Résultat (Ln)'!F$37*Données!Y1877</f>
        <v>147839.12347901976</v>
      </c>
      <c r="AA1877">
        <f t="shared" si="119"/>
        <v>4160.8765209802368</v>
      </c>
    </row>
    <row r="1878" spans="1:27" x14ac:dyDescent="0.25">
      <c r="A1878">
        <v>254000</v>
      </c>
      <c r="B1878">
        <v>1</v>
      </c>
      <c r="C1878">
        <v>35.599998474121087</v>
      </c>
      <c r="D1878">
        <v>0</v>
      </c>
      <c r="E1878">
        <v>318000</v>
      </c>
      <c r="F1878">
        <v>8667</v>
      </c>
      <c r="G1878">
        <v>1</v>
      </c>
      <c r="H1878">
        <v>0</v>
      </c>
      <c r="I1878">
        <v>1</v>
      </c>
      <c r="J1878">
        <v>29.620000839233398</v>
      </c>
      <c r="K1878">
        <v>1</v>
      </c>
      <c r="L1878">
        <f>Résultats!G$32+Résultats!G$33*Données!C1878+Résultats!G$34*Données!D1878+Résultats!G$35*Données!E1878+Résultats!G$36*Données!F1878+Résultats!G$37*Données!G1878+Résultats!G$38*Données!H1878+Résultats!G$39*Données!I1878</f>
        <v>219682.28761466095</v>
      </c>
      <c r="M1878">
        <f t="shared" si="116"/>
        <v>34317.712385339051</v>
      </c>
      <c r="Q1878">
        <v>61000</v>
      </c>
      <c r="R1878">
        <v>1</v>
      </c>
      <c r="S1878">
        <v>35.799999237060547</v>
      </c>
      <c r="T1878">
        <v>0</v>
      </c>
      <c r="U1878">
        <f t="shared" si="117"/>
        <v>11.074420502783864</v>
      </c>
      <c r="V1878">
        <f t="shared" si="118"/>
        <v>7.5390270558239951</v>
      </c>
      <c r="W1878">
        <v>1</v>
      </c>
      <c r="X1878">
        <v>0</v>
      </c>
      <c r="Y1878">
        <v>0</v>
      </c>
      <c r="Z1878">
        <f>'Résultat (Ln)'!F$30+'Résultat (Ln)'!F$31*Données!S1878+'Résultat (Ln)'!F$32*Données!T1878+'Résultat (Ln)'!F$33*Données!U1878+'Résultat (Ln)'!F$34*Données!V1878+'Résultat (Ln)'!F$35*Données!W1878+'Résultat (Ln)'!F$36*Données!X1878+'Résultat (Ln)'!F$37*Données!Y1878</f>
        <v>16999.840243904029</v>
      </c>
      <c r="AA1878">
        <f t="shared" si="119"/>
        <v>44000.159756095971</v>
      </c>
    </row>
    <row r="1879" spans="1:27" x14ac:dyDescent="0.25">
      <c r="A1879">
        <v>85000</v>
      </c>
      <c r="B1879">
        <v>1</v>
      </c>
      <c r="C1879">
        <v>26</v>
      </c>
      <c r="D1879">
        <v>0</v>
      </c>
      <c r="E1879">
        <v>140000</v>
      </c>
      <c r="F1879">
        <v>3043</v>
      </c>
      <c r="G1879">
        <v>1</v>
      </c>
      <c r="H1879">
        <v>0</v>
      </c>
      <c r="I1879">
        <v>0</v>
      </c>
      <c r="J1879">
        <v>20</v>
      </c>
      <c r="K1879">
        <v>1</v>
      </c>
      <c r="L1879">
        <f>Résultats!G$32+Résultats!G$33*Données!C1879+Résultats!G$34*Données!D1879+Résultats!G$35*Données!E1879+Résultats!G$36*Données!F1879+Résultats!G$37*Données!G1879+Résultats!G$38*Données!H1879+Résultats!G$39*Données!I1879</f>
        <v>104713.79890215672</v>
      </c>
      <c r="M1879">
        <f t="shared" si="116"/>
        <v>-19713.798902156719</v>
      </c>
      <c r="Q1879">
        <v>254000</v>
      </c>
      <c r="R1879">
        <v>1</v>
      </c>
      <c r="S1879">
        <v>35.599998474121087</v>
      </c>
      <c r="T1879">
        <v>0</v>
      </c>
      <c r="U1879">
        <f t="shared" si="117"/>
        <v>12.669806661762314</v>
      </c>
      <c r="V1879">
        <f t="shared" si="118"/>
        <v>9.0672779891343449</v>
      </c>
      <c r="W1879">
        <v>1</v>
      </c>
      <c r="X1879">
        <v>0</v>
      </c>
      <c r="Y1879">
        <v>1</v>
      </c>
      <c r="Z1879">
        <f>'Résultat (Ln)'!F$30+'Résultat (Ln)'!F$31*Données!S1879+'Résultat (Ln)'!F$32*Données!T1879+'Résultat (Ln)'!F$33*Données!U1879+'Résultat (Ln)'!F$34*Données!V1879+'Résultat (Ln)'!F$35*Données!W1879+'Résultat (Ln)'!F$36*Données!X1879+'Résultat (Ln)'!F$37*Données!Y1879</f>
        <v>244721.69410607129</v>
      </c>
      <c r="AA1879">
        <f t="shared" si="119"/>
        <v>9278.3058939287148</v>
      </c>
    </row>
    <row r="1880" spans="1:27" x14ac:dyDescent="0.25">
      <c r="A1880">
        <v>106000</v>
      </c>
      <c r="B1880">
        <v>1</v>
      </c>
      <c r="C1880">
        <v>28</v>
      </c>
      <c r="D1880">
        <v>1</v>
      </c>
      <c r="E1880">
        <v>118000</v>
      </c>
      <c r="F1880">
        <v>2283</v>
      </c>
      <c r="G1880">
        <v>0</v>
      </c>
      <c r="H1880">
        <v>0</v>
      </c>
      <c r="I1880">
        <v>0</v>
      </c>
      <c r="J1880">
        <v>8</v>
      </c>
      <c r="K1880">
        <v>1</v>
      </c>
      <c r="L1880">
        <f>Résultats!G$32+Résultats!G$33*Données!C1880+Résultats!G$34*Données!D1880+Résultats!G$35*Données!E1880+Résultats!G$36*Données!F1880+Résultats!G$37*Données!G1880+Résultats!G$38*Données!H1880+Résultats!G$39*Données!I1880</f>
        <v>93097.079585862026</v>
      </c>
      <c r="M1880">
        <f t="shared" si="116"/>
        <v>12902.920414137974</v>
      </c>
      <c r="Q1880">
        <v>85000</v>
      </c>
      <c r="R1880">
        <v>1</v>
      </c>
      <c r="S1880">
        <v>26</v>
      </c>
      <c r="T1880">
        <v>0</v>
      </c>
      <c r="U1880">
        <f t="shared" si="117"/>
        <v>11.849397701591441</v>
      </c>
      <c r="V1880">
        <f t="shared" si="118"/>
        <v>8.0205991498969702</v>
      </c>
      <c r="W1880">
        <v>1</v>
      </c>
      <c r="X1880">
        <v>0</v>
      </c>
      <c r="Y1880">
        <v>0</v>
      </c>
      <c r="Z1880">
        <f>'Résultat (Ln)'!F$30+'Résultat (Ln)'!F$31*Données!S1880+'Résultat (Ln)'!F$32*Données!T1880+'Résultat (Ln)'!F$33*Données!U1880+'Résultat (Ln)'!F$34*Données!V1880+'Résultat (Ln)'!F$35*Données!W1880+'Résultat (Ln)'!F$36*Données!X1880+'Résultat (Ln)'!F$37*Données!Y1880</f>
        <v>101604.03064788227</v>
      </c>
      <c r="AA1880">
        <f t="shared" si="119"/>
        <v>-16604.030647882275</v>
      </c>
    </row>
    <row r="1881" spans="1:27" x14ac:dyDescent="0.25">
      <c r="A1881">
        <v>144000</v>
      </c>
      <c r="B1881">
        <v>1</v>
      </c>
      <c r="C1881">
        <v>26</v>
      </c>
      <c r="D1881">
        <v>0</v>
      </c>
      <c r="E1881">
        <v>205000</v>
      </c>
      <c r="F1881">
        <v>3449</v>
      </c>
      <c r="G1881">
        <v>1</v>
      </c>
      <c r="H1881">
        <v>0</v>
      </c>
      <c r="I1881">
        <v>0</v>
      </c>
      <c r="J1881">
        <v>26</v>
      </c>
      <c r="K1881">
        <v>1</v>
      </c>
      <c r="L1881">
        <f>Résultats!G$32+Résultats!G$33*Données!C1881+Résultats!G$34*Données!D1881+Résultats!G$35*Données!E1881+Résultats!G$36*Données!F1881+Résultats!G$37*Données!G1881+Résultats!G$38*Données!H1881+Résultats!G$39*Données!I1881</f>
        <v>135852.50303637388</v>
      </c>
      <c r="M1881">
        <f t="shared" si="116"/>
        <v>8147.496963626123</v>
      </c>
      <c r="Q1881">
        <v>106000</v>
      </c>
      <c r="R1881">
        <v>1</v>
      </c>
      <c r="S1881">
        <v>28</v>
      </c>
      <c r="T1881">
        <v>1</v>
      </c>
      <c r="U1881">
        <f t="shared" si="117"/>
        <v>11.678439903447801</v>
      </c>
      <c r="V1881">
        <f t="shared" si="118"/>
        <v>7.7332456465297952</v>
      </c>
      <c r="W1881">
        <v>0</v>
      </c>
      <c r="X1881">
        <v>0</v>
      </c>
      <c r="Y1881">
        <v>0</v>
      </c>
      <c r="Z1881">
        <f>'Résultat (Ln)'!F$30+'Résultat (Ln)'!F$31*Données!S1881+'Résultat (Ln)'!F$32*Données!T1881+'Résultat (Ln)'!F$33*Données!U1881+'Résultat (Ln)'!F$34*Données!V1881+'Résultat (Ln)'!F$35*Données!W1881+'Résultat (Ln)'!F$36*Données!X1881+'Résultat (Ln)'!F$37*Données!Y1881</f>
        <v>77497.918880007463</v>
      </c>
      <c r="AA1881">
        <f t="shared" si="119"/>
        <v>28502.081119992537</v>
      </c>
    </row>
    <row r="1882" spans="1:27" x14ac:dyDescent="0.25">
      <c r="A1882">
        <v>188000</v>
      </c>
      <c r="B1882">
        <v>1</v>
      </c>
      <c r="C1882">
        <v>20</v>
      </c>
      <c r="D1882">
        <v>0</v>
      </c>
      <c r="E1882">
        <v>304000</v>
      </c>
      <c r="F1882">
        <v>7500</v>
      </c>
      <c r="G1882">
        <v>0</v>
      </c>
      <c r="H1882">
        <v>0</v>
      </c>
      <c r="I1882">
        <v>1</v>
      </c>
      <c r="J1882">
        <v>18</v>
      </c>
      <c r="K1882">
        <v>1</v>
      </c>
      <c r="L1882">
        <f>Résultats!G$32+Résultats!G$33*Données!C1882+Résultats!G$34*Données!D1882+Résultats!G$35*Données!E1882+Résultats!G$36*Données!F1882+Résultats!G$37*Données!G1882+Résultats!G$38*Données!H1882+Résultats!G$39*Données!I1882</f>
        <v>185947.66935485386</v>
      </c>
      <c r="M1882">
        <f t="shared" si="116"/>
        <v>2052.3306451461394</v>
      </c>
      <c r="Q1882">
        <v>144000</v>
      </c>
      <c r="R1882">
        <v>1</v>
      </c>
      <c r="S1882">
        <v>26</v>
      </c>
      <c r="T1882">
        <v>0</v>
      </c>
      <c r="U1882">
        <f t="shared" si="117"/>
        <v>12.230765258120545</v>
      </c>
      <c r="V1882">
        <f t="shared" si="118"/>
        <v>8.1458396129368413</v>
      </c>
      <c r="W1882">
        <v>1</v>
      </c>
      <c r="X1882">
        <v>0</v>
      </c>
      <c r="Y1882">
        <v>0</v>
      </c>
      <c r="Z1882">
        <f>'Résultat (Ln)'!F$30+'Résultat (Ln)'!F$31*Données!S1882+'Résultat (Ln)'!F$32*Données!T1882+'Résultat (Ln)'!F$33*Données!U1882+'Résultat (Ln)'!F$34*Données!V1882+'Résultat (Ln)'!F$35*Données!W1882+'Résultat (Ln)'!F$36*Données!X1882+'Résultat (Ln)'!F$37*Données!Y1882</f>
        <v>145997.40995909262</v>
      </c>
      <c r="AA1882">
        <f t="shared" si="119"/>
        <v>-1997.4099590926198</v>
      </c>
    </row>
    <row r="1883" spans="1:27" x14ac:dyDescent="0.25">
      <c r="A1883">
        <v>132000</v>
      </c>
      <c r="B1883">
        <v>1</v>
      </c>
      <c r="C1883">
        <v>25</v>
      </c>
      <c r="D1883">
        <v>0</v>
      </c>
      <c r="E1883">
        <v>167000</v>
      </c>
      <c r="F1883">
        <v>2359</v>
      </c>
      <c r="G1883">
        <v>1</v>
      </c>
      <c r="H1883">
        <v>0</v>
      </c>
      <c r="I1883">
        <v>0</v>
      </c>
      <c r="J1883">
        <v>25</v>
      </c>
      <c r="K1883">
        <v>1</v>
      </c>
      <c r="L1883">
        <f>Résultats!G$32+Résultats!G$33*Données!C1883+Résultats!G$34*Données!D1883+Résultats!G$35*Données!E1883+Résultats!G$36*Données!F1883+Résultats!G$37*Données!G1883+Résultats!G$38*Données!H1883+Résultats!G$39*Données!I1883</f>
        <v>114847.42021902274</v>
      </c>
      <c r="M1883">
        <f t="shared" si="116"/>
        <v>17152.579780977263</v>
      </c>
      <c r="Q1883">
        <v>188000</v>
      </c>
      <c r="R1883">
        <v>1</v>
      </c>
      <c r="S1883">
        <v>20</v>
      </c>
      <c r="T1883">
        <v>0</v>
      </c>
      <c r="U1883">
        <f t="shared" si="117"/>
        <v>12.624782980388359</v>
      </c>
      <c r="V1883">
        <f t="shared" si="118"/>
        <v>8.9226582995244019</v>
      </c>
      <c r="W1883">
        <v>0</v>
      </c>
      <c r="X1883">
        <v>0</v>
      </c>
      <c r="Y1883">
        <v>1</v>
      </c>
      <c r="Z1883">
        <f>'Résultat (Ln)'!F$30+'Résultat (Ln)'!F$31*Données!S1883+'Résultat (Ln)'!F$32*Données!T1883+'Résultat (Ln)'!F$33*Données!U1883+'Résultat (Ln)'!F$34*Données!V1883+'Résultat (Ln)'!F$35*Données!W1883+'Résultat (Ln)'!F$36*Données!X1883+'Résultat (Ln)'!F$37*Données!Y1883</f>
        <v>212261.51309583022</v>
      </c>
      <c r="AA1883">
        <f t="shared" si="119"/>
        <v>-24261.513095830218</v>
      </c>
    </row>
    <row r="1884" spans="1:27" x14ac:dyDescent="0.25">
      <c r="A1884">
        <v>150000</v>
      </c>
      <c r="B1884">
        <v>1</v>
      </c>
      <c r="C1884">
        <v>25</v>
      </c>
      <c r="D1884">
        <v>0</v>
      </c>
      <c r="E1884">
        <v>190000</v>
      </c>
      <c r="F1884">
        <v>4666</v>
      </c>
      <c r="G1884">
        <v>0</v>
      </c>
      <c r="H1884">
        <v>0</v>
      </c>
      <c r="I1884">
        <v>0</v>
      </c>
      <c r="J1884">
        <v>23</v>
      </c>
      <c r="K1884">
        <v>1</v>
      </c>
      <c r="L1884">
        <f>Résultats!G$32+Résultats!G$33*Données!C1884+Résultats!G$34*Données!D1884+Résultats!G$35*Données!E1884+Résultats!G$36*Données!F1884+Résultats!G$37*Données!G1884+Résultats!G$38*Données!H1884+Résultats!G$39*Données!I1884</f>
        <v>123041.20237024305</v>
      </c>
      <c r="M1884">
        <f t="shared" si="116"/>
        <v>26958.797629756955</v>
      </c>
      <c r="Q1884">
        <v>132000</v>
      </c>
      <c r="R1884">
        <v>1</v>
      </c>
      <c r="S1884">
        <v>25</v>
      </c>
      <c r="T1884">
        <v>0</v>
      </c>
      <c r="U1884">
        <f t="shared" si="117"/>
        <v>12.025749091398891</v>
      </c>
      <c r="V1884">
        <f t="shared" si="118"/>
        <v>7.765993079407675</v>
      </c>
      <c r="W1884">
        <v>1</v>
      </c>
      <c r="X1884">
        <v>0</v>
      </c>
      <c r="Y1884">
        <v>0</v>
      </c>
      <c r="Z1884">
        <f>'Résultat (Ln)'!F$30+'Résultat (Ln)'!F$31*Données!S1884+'Résultat (Ln)'!F$32*Données!T1884+'Résultat (Ln)'!F$33*Données!U1884+'Résultat (Ln)'!F$34*Données!V1884+'Résultat (Ln)'!F$35*Données!W1884+'Résultat (Ln)'!F$36*Données!X1884+'Résultat (Ln)'!F$37*Données!Y1884</f>
        <v>112145.44767257712</v>
      </c>
      <c r="AA1884">
        <f t="shared" si="119"/>
        <v>19854.552327422876</v>
      </c>
    </row>
    <row r="1885" spans="1:27" x14ac:dyDescent="0.25">
      <c r="A1885">
        <v>119000</v>
      </c>
      <c r="B1885">
        <v>1</v>
      </c>
      <c r="C1885">
        <v>33.099998474121087</v>
      </c>
      <c r="D1885">
        <v>0</v>
      </c>
      <c r="E1885">
        <v>150000</v>
      </c>
      <c r="F1885">
        <v>2993</v>
      </c>
      <c r="G1885">
        <v>1</v>
      </c>
      <c r="H1885">
        <v>0</v>
      </c>
      <c r="I1885">
        <v>1</v>
      </c>
      <c r="J1885">
        <v>17.25</v>
      </c>
      <c r="K1885">
        <v>1</v>
      </c>
      <c r="L1885">
        <f>Résultats!G$32+Résultats!G$33*Données!C1885+Résultats!G$34*Données!D1885+Résultats!G$35*Données!E1885+Résultats!G$36*Données!F1885+Résultats!G$37*Données!G1885+Résultats!G$38*Données!H1885+Résultats!G$39*Données!I1885</f>
        <v>127367.45701656795</v>
      </c>
      <c r="M1885">
        <f t="shared" si="116"/>
        <v>-8367.457016567947</v>
      </c>
      <c r="Q1885">
        <v>150000</v>
      </c>
      <c r="R1885">
        <v>1</v>
      </c>
      <c r="S1885">
        <v>25</v>
      </c>
      <c r="T1885">
        <v>0</v>
      </c>
      <c r="U1885">
        <f t="shared" si="117"/>
        <v>12.154779351142624</v>
      </c>
      <c r="V1885">
        <f t="shared" si="118"/>
        <v>8.4480574525813754</v>
      </c>
      <c r="W1885">
        <v>0</v>
      </c>
      <c r="X1885">
        <v>0</v>
      </c>
      <c r="Y1885">
        <v>0</v>
      </c>
      <c r="Z1885">
        <f>'Résultat (Ln)'!F$30+'Résultat (Ln)'!F$31*Données!S1885+'Résultat (Ln)'!F$32*Données!T1885+'Résultat (Ln)'!F$33*Données!U1885+'Résultat (Ln)'!F$34*Données!V1885+'Résultat (Ln)'!F$35*Données!W1885+'Résultat (Ln)'!F$36*Données!X1885+'Résultat (Ln)'!F$37*Données!Y1885</f>
        <v>140591.92472609869</v>
      </c>
      <c r="AA1885">
        <f t="shared" si="119"/>
        <v>9408.0752739013114</v>
      </c>
    </row>
    <row r="1886" spans="1:27" x14ac:dyDescent="0.25">
      <c r="A1886">
        <v>109000</v>
      </c>
      <c r="B1886">
        <v>1</v>
      </c>
      <c r="C1886">
        <v>48</v>
      </c>
      <c r="D1886">
        <v>0</v>
      </c>
      <c r="E1886">
        <v>138000</v>
      </c>
      <c r="F1886">
        <v>5817</v>
      </c>
      <c r="G1886">
        <v>1</v>
      </c>
      <c r="H1886">
        <v>0</v>
      </c>
      <c r="I1886">
        <v>1</v>
      </c>
      <c r="J1886">
        <v>15</v>
      </c>
      <c r="K1886">
        <v>1</v>
      </c>
      <c r="L1886">
        <f>Résultats!G$32+Résultats!G$33*Données!C1886+Résultats!G$34*Données!D1886+Résultats!G$35*Données!E1886+Résultats!G$36*Données!F1886+Résultats!G$37*Données!G1886+Résultats!G$38*Données!H1886+Résultats!G$39*Données!I1886</f>
        <v>144351.51971497707</v>
      </c>
      <c r="M1886">
        <f t="shared" si="116"/>
        <v>-35351.519714977068</v>
      </c>
      <c r="Q1886">
        <v>119000</v>
      </c>
      <c r="R1886">
        <v>1</v>
      </c>
      <c r="S1886">
        <v>33.099998474121087</v>
      </c>
      <c r="T1886">
        <v>0</v>
      </c>
      <c r="U1886">
        <f t="shared" si="117"/>
        <v>11.918390573078392</v>
      </c>
      <c r="V1886">
        <f t="shared" si="118"/>
        <v>8.0040315078526998</v>
      </c>
      <c r="W1886">
        <v>1</v>
      </c>
      <c r="X1886">
        <v>0</v>
      </c>
      <c r="Y1886">
        <v>1</v>
      </c>
      <c r="Z1886">
        <f>'Résultat (Ln)'!F$30+'Résultat (Ln)'!F$31*Données!S1886+'Résultat (Ln)'!F$32*Données!T1886+'Résultat (Ln)'!F$33*Données!U1886+'Résultat (Ln)'!F$34*Données!V1886+'Résultat (Ln)'!F$35*Données!W1886+'Résultat (Ln)'!F$36*Données!X1886+'Résultat (Ln)'!F$37*Données!Y1886</f>
        <v>131298.52786538796</v>
      </c>
      <c r="AA1886">
        <f t="shared" si="119"/>
        <v>-12298.527865387965</v>
      </c>
    </row>
    <row r="1887" spans="1:27" x14ac:dyDescent="0.25">
      <c r="A1887">
        <v>50000</v>
      </c>
      <c r="B1887">
        <v>1</v>
      </c>
      <c r="C1887">
        <v>11</v>
      </c>
      <c r="D1887">
        <v>0</v>
      </c>
      <c r="E1887">
        <v>175000</v>
      </c>
      <c r="F1887">
        <v>5200</v>
      </c>
      <c r="G1887">
        <v>1</v>
      </c>
      <c r="H1887">
        <v>0</v>
      </c>
      <c r="I1887">
        <v>0</v>
      </c>
      <c r="J1887">
        <v>9</v>
      </c>
      <c r="K1887">
        <v>1</v>
      </c>
      <c r="L1887">
        <f>Résultats!G$32+Résultats!G$33*Données!C1887+Résultats!G$34*Données!D1887+Résultats!G$35*Données!E1887+Résultats!G$36*Données!F1887+Résultats!G$37*Données!G1887+Résultats!G$38*Données!H1887+Résultats!G$39*Données!I1887</f>
        <v>108006.91496686773</v>
      </c>
      <c r="M1887">
        <f t="shared" si="116"/>
        <v>-58006.914966867727</v>
      </c>
      <c r="Q1887">
        <v>109000</v>
      </c>
      <c r="R1887">
        <v>1</v>
      </c>
      <c r="S1887">
        <v>48</v>
      </c>
      <c r="T1887">
        <v>0</v>
      </c>
      <c r="U1887">
        <f t="shared" si="117"/>
        <v>11.835008964139341</v>
      </c>
      <c r="V1887">
        <f t="shared" si="118"/>
        <v>8.668539943910762</v>
      </c>
      <c r="W1887">
        <v>1</v>
      </c>
      <c r="X1887">
        <v>0</v>
      </c>
      <c r="Y1887">
        <v>1</v>
      </c>
      <c r="Z1887">
        <f>'Résultat (Ln)'!F$30+'Résultat (Ln)'!F$31*Données!S1887+'Résultat (Ln)'!F$32*Données!T1887+'Résultat (Ln)'!F$33*Données!U1887+'Résultat (Ln)'!F$34*Données!V1887+'Résultat (Ln)'!F$35*Données!W1887+'Résultat (Ln)'!F$36*Données!X1887+'Résultat (Ln)'!F$37*Données!Y1887</f>
        <v>159205.46734530421</v>
      </c>
      <c r="AA1887">
        <f t="shared" si="119"/>
        <v>-50205.467345304205</v>
      </c>
    </row>
    <row r="1888" spans="1:27" x14ac:dyDescent="0.25">
      <c r="A1888">
        <v>30000</v>
      </c>
      <c r="B1888">
        <v>1</v>
      </c>
      <c r="C1888">
        <v>38</v>
      </c>
      <c r="D1888">
        <v>0</v>
      </c>
      <c r="E1888">
        <v>96000</v>
      </c>
      <c r="F1888">
        <v>4350</v>
      </c>
      <c r="G1888">
        <v>0</v>
      </c>
      <c r="H1888">
        <v>0</v>
      </c>
      <c r="I1888">
        <v>0</v>
      </c>
      <c r="J1888">
        <v>11</v>
      </c>
      <c r="K1888">
        <v>1</v>
      </c>
      <c r="L1888">
        <f>Résultats!G$32+Résultats!G$33*Données!C1888+Résultats!G$34*Données!D1888+Résultats!G$35*Données!E1888+Résultats!G$36*Données!F1888+Résultats!G$37*Données!G1888+Résultats!G$38*Données!H1888+Résultats!G$39*Données!I1888</f>
        <v>93467.969235968441</v>
      </c>
      <c r="M1888">
        <f t="shared" si="116"/>
        <v>-63467.969235968441</v>
      </c>
      <c r="Q1888">
        <v>50000</v>
      </c>
      <c r="R1888">
        <v>1</v>
      </c>
      <c r="S1888">
        <v>11</v>
      </c>
      <c r="T1888">
        <v>0</v>
      </c>
      <c r="U1888">
        <f t="shared" si="117"/>
        <v>12.072541252905651</v>
      </c>
      <c r="V1888">
        <f t="shared" si="118"/>
        <v>8.5564139045695189</v>
      </c>
      <c r="W1888">
        <v>1</v>
      </c>
      <c r="X1888">
        <v>0</v>
      </c>
      <c r="Y1888">
        <v>0</v>
      </c>
      <c r="Z1888">
        <f>'Résultat (Ln)'!F$30+'Résultat (Ln)'!F$31*Données!S1888+'Résultat (Ln)'!F$32*Données!T1888+'Résultat (Ln)'!F$33*Données!U1888+'Résultat (Ln)'!F$34*Données!V1888+'Résultat (Ln)'!F$35*Données!W1888+'Résultat (Ln)'!F$36*Données!X1888+'Résultat (Ln)'!F$37*Données!Y1888</f>
        <v>122220.76510755446</v>
      </c>
      <c r="AA1888">
        <f t="shared" si="119"/>
        <v>-72220.765107554456</v>
      </c>
    </row>
    <row r="1889" spans="1:27" x14ac:dyDescent="0.25">
      <c r="A1889">
        <v>484000</v>
      </c>
      <c r="B1889">
        <v>1</v>
      </c>
      <c r="C1889">
        <v>39</v>
      </c>
      <c r="D1889">
        <v>0</v>
      </c>
      <c r="E1889">
        <v>605000</v>
      </c>
      <c r="F1889">
        <v>15000</v>
      </c>
      <c r="G1889">
        <v>1</v>
      </c>
      <c r="H1889">
        <v>0</v>
      </c>
      <c r="I1889">
        <v>0</v>
      </c>
      <c r="J1889">
        <v>34</v>
      </c>
      <c r="K1889">
        <v>1</v>
      </c>
      <c r="L1889">
        <f>Résultats!G$32+Résultats!G$33*Données!C1889+Résultats!G$34*Données!D1889+Résultats!G$35*Données!E1889+Résultats!G$36*Données!F1889+Résultats!G$37*Données!G1889+Résultats!G$38*Données!H1889+Résultats!G$39*Données!I1889</f>
        <v>359949.90729579789</v>
      </c>
      <c r="M1889">
        <f t="shared" si="116"/>
        <v>124050.09270420211</v>
      </c>
      <c r="Q1889">
        <v>30000</v>
      </c>
      <c r="R1889">
        <v>1</v>
      </c>
      <c r="S1889">
        <v>38</v>
      </c>
      <c r="T1889">
        <v>0</v>
      </c>
      <c r="U1889">
        <f t="shared" si="117"/>
        <v>11.472103470449973</v>
      </c>
      <c r="V1889">
        <f t="shared" si="118"/>
        <v>8.3779311240827301</v>
      </c>
      <c r="W1889">
        <v>0</v>
      </c>
      <c r="X1889">
        <v>0</v>
      </c>
      <c r="Y1889">
        <v>0</v>
      </c>
      <c r="Z1889">
        <f>'Résultat (Ln)'!F$30+'Résultat (Ln)'!F$31*Données!S1889+'Résultat (Ln)'!F$32*Données!T1889+'Résultat (Ln)'!F$33*Données!U1889+'Résultat (Ln)'!F$34*Données!V1889+'Résultat (Ln)'!F$35*Données!W1889+'Résultat (Ln)'!F$36*Données!X1889+'Résultat (Ln)'!F$37*Données!Y1889</f>
        <v>81331.881154270581</v>
      </c>
      <c r="AA1889">
        <f t="shared" si="119"/>
        <v>-51331.881154270581</v>
      </c>
    </row>
    <row r="1890" spans="1:27" x14ac:dyDescent="0.25">
      <c r="A1890">
        <v>146000</v>
      </c>
      <c r="B1890">
        <v>1</v>
      </c>
      <c r="C1890">
        <v>35</v>
      </c>
      <c r="D1890">
        <v>1</v>
      </c>
      <c r="E1890">
        <v>162000</v>
      </c>
      <c r="F1890">
        <v>2787</v>
      </c>
      <c r="G1890">
        <v>1</v>
      </c>
      <c r="H1890">
        <v>0</v>
      </c>
      <c r="I1890">
        <v>1</v>
      </c>
      <c r="J1890">
        <v>29.20000076293945</v>
      </c>
      <c r="K1890">
        <v>1</v>
      </c>
      <c r="L1890">
        <f>Résultats!G$32+Résultats!G$33*Données!C1890+Résultats!G$34*Données!D1890+Résultats!G$35*Données!E1890+Résultats!G$36*Données!F1890+Résultats!G$37*Données!G1890+Résultats!G$38*Données!H1890+Résultats!G$39*Données!I1890</f>
        <v>139602.43623163982</v>
      </c>
      <c r="M1890">
        <f t="shared" si="116"/>
        <v>6397.5637683601817</v>
      </c>
      <c r="Q1890">
        <v>484000</v>
      </c>
      <c r="R1890">
        <v>1</v>
      </c>
      <c r="S1890">
        <v>39</v>
      </c>
      <c r="T1890">
        <v>0</v>
      </c>
      <c r="U1890">
        <f t="shared" si="117"/>
        <v>13.312983737012978</v>
      </c>
      <c r="V1890">
        <f t="shared" si="118"/>
        <v>9.6158054800843473</v>
      </c>
      <c r="W1890">
        <v>1</v>
      </c>
      <c r="X1890">
        <v>0</v>
      </c>
      <c r="Y1890">
        <v>0</v>
      </c>
      <c r="Z1890">
        <f>'Résultat (Ln)'!F$30+'Résultat (Ln)'!F$31*Données!S1890+'Résultat (Ln)'!F$32*Données!T1890+'Résultat (Ln)'!F$33*Données!U1890+'Résultat (Ln)'!F$34*Données!V1890+'Résultat (Ln)'!F$35*Données!W1890+'Résultat (Ln)'!F$36*Données!X1890+'Résultat (Ln)'!F$37*Données!Y1890</f>
        <v>319119.32361776725</v>
      </c>
      <c r="AA1890">
        <f t="shared" si="119"/>
        <v>164880.67638223275</v>
      </c>
    </row>
    <row r="1891" spans="1:27" x14ac:dyDescent="0.25">
      <c r="A1891">
        <v>172000</v>
      </c>
      <c r="B1891">
        <v>1</v>
      </c>
      <c r="C1891">
        <v>34</v>
      </c>
      <c r="D1891">
        <v>0</v>
      </c>
      <c r="E1891">
        <v>235000</v>
      </c>
      <c r="F1891">
        <v>4283</v>
      </c>
      <c r="G1891">
        <v>1</v>
      </c>
      <c r="H1891">
        <v>0</v>
      </c>
      <c r="I1891">
        <v>0</v>
      </c>
      <c r="J1891">
        <v>23</v>
      </c>
      <c r="K1891">
        <v>1</v>
      </c>
      <c r="L1891">
        <f>Résultats!G$32+Résultats!G$33*Données!C1891+Résultats!G$34*Données!D1891+Résultats!G$35*Données!E1891+Résultats!G$36*Données!F1891+Résultats!G$37*Données!G1891+Résultats!G$38*Données!H1891+Résultats!G$39*Données!I1891</f>
        <v>160666.57879253471</v>
      </c>
      <c r="M1891">
        <f t="shared" si="116"/>
        <v>11333.42120746529</v>
      </c>
      <c r="Q1891">
        <v>146000</v>
      </c>
      <c r="R1891">
        <v>1</v>
      </c>
      <c r="S1891">
        <v>35</v>
      </c>
      <c r="T1891">
        <v>1</v>
      </c>
      <c r="U1891">
        <f t="shared" si="117"/>
        <v>11.99535161421452</v>
      </c>
      <c r="V1891">
        <f t="shared" si="118"/>
        <v>7.9327210274819482</v>
      </c>
      <c r="W1891">
        <v>1</v>
      </c>
      <c r="X1891">
        <v>0</v>
      </c>
      <c r="Y1891">
        <v>1</v>
      </c>
      <c r="Z1891">
        <f>'Résultat (Ln)'!F$30+'Résultat (Ln)'!F$31*Données!S1891+'Résultat (Ln)'!F$32*Données!T1891+'Résultat (Ln)'!F$33*Données!U1891+'Résultat (Ln)'!F$34*Données!V1891+'Résultat (Ln)'!F$35*Données!W1891+'Résultat (Ln)'!F$36*Données!X1891+'Résultat (Ln)'!F$37*Données!Y1891</f>
        <v>144219.14300044416</v>
      </c>
      <c r="AA1891">
        <f t="shared" si="119"/>
        <v>1780.8569995558355</v>
      </c>
    </row>
    <row r="1892" spans="1:27" x14ac:dyDescent="0.25">
      <c r="A1892">
        <v>192000</v>
      </c>
      <c r="B1892">
        <v>1</v>
      </c>
      <c r="C1892">
        <v>40</v>
      </c>
      <c r="D1892">
        <v>0</v>
      </c>
      <c r="E1892">
        <v>197000</v>
      </c>
      <c r="F1892">
        <v>4167</v>
      </c>
      <c r="G1892">
        <v>0</v>
      </c>
      <c r="H1892">
        <v>0</v>
      </c>
      <c r="I1892">
        <v>1</v>
      </c>
      <c r="J1892">
        <v>27</v>
      </c>
      <c r="K1892">
        <v>1</v>
      </c>
      <c r="L1892">
        <f>Résultats!G$32+Résultats!G$33*Données!C1892+Résultats!G$34*Données!D1892+Résultats!G$35*Données!E1892+Résultats!G$36*Données!F1892+Résultats!G$37*Données!G1892+Résultats!G$38*Données!H1892+Résultats!G$39*Données!I1892</f>
        <v>152498.43189917403</v>
      </c>
      <c r="M1892">
        <f t="shared" si="116"/>
        <v>39501.568100825971</v>
      </c>
      <c r="Q1892">
        <v>172000</v>
      </c>
      <c r="R1892">
        <v>1</v>
      </c>
      <c r="S1892">
        <v>34</v>
      </c>
      <c r="T1892">
        <v>0</v>
      </c>
      <c r="U1892">
        <f t="shared" si="117"/>
        <v>12.367340793126296</v>
      </c>
      <c r="V1892">
        <f t="shared" si="118"/>
        <v>8.3624089776153703</v>
      </c>
      <c r="W1892">
        <v>1</v>
      </c>
      <c r="X1892">
        <v>0</v>
      </c>
      <c r="Y1892">
        <v>0</v>
      </c>
      <c r="Z1892">
        <f>'Résultat (Ln)'!F$30+'Résultat (Ln)'!F$31*Données!S1892+'Résultat (Ln)'!F$32*Données!T1892+'Résultat (Ln)'!F$33*Données!U1892+'Résultat (Ln)'!F$34*Données!V1892+'Résultat (Ln)'!F$35*Données!W1892+'Résultat (Ln)'!F$36*Données!X1892+'Résultat (Ln)'!F$37*Données!Y1892</f>
        <v>176487.88909123235</v>
      </c>
      <c r="AA1892">
        <f t="shared" si="119"/>
        <v>-4487.889091232355</v>
      </c>
    </row>
    <row r="1893" spans="1:27" x14ac:dyDescent="0.25">
      <c r="A1893">
        <v>176000</v>
      </c>
      <c r="B1893">
        <v>1</v>
      </c>
      <c r="C1893">
        <v>33</v>
      </c>
      <c r="D1893">
        <v>0</v>
      </c>
      <c r="E1893">
        <v>186000</v>
      </c>
      <c r="F1893">
        <v>2800</v>
      </c>
      <c r="G1893">
        <v>1</v>
      </c>
      <c r="H1893">
        <v>0</v>
      </c>
      <c r="I1893">
        <v>1</v>
      </c>
      <c r="J1893">
        <v>26</v>
      </c>
      <c r="K1893">
        <v>1</v>
      </c>
      <c r="L1893">
        <f>Résultats!G$32+Résultats!G$33*Données!C1893+Résultats!G$34*Données!D1893+Résultats!G$35*Données!E1893+Résultats!G$36*Données!F1893+Résultats!G$37*Données!G1893+Résultats!G$38*Données!H1893+Résultats!G$39*Données!I1893</f>
        <v>143688.91644201151</v>
      </c>
      <c r="M1893">
        <f t="shared" si="116"/>
        <v>32311.083557988488</v>
      </c>
      <c r="Q1893">
        <v>192000</v>
      </c>
      <c r="R1893">
        <v>1</v>
      </c>
      <c r="S1893">
        <v>40</v>
      </c>
      <c r="T1893">
        <v>0</v>
      </c>
      <c r="U1893">
        <f t="shared" si="117"/>
        <v>12.190959007720126</v>
      </c>
      <c r="V1893">
        <f t="shared" si="118"/>
        <v>8.3349516314224541</v>
      </c>
      <c r="W1893">
        <v>0</v>
      </c>
      <c r="X1893">
        <v>0</v>
      </c>
      <c r="Y1893">
        <v>1</v>
      </c>
      <c r="Z1893">
        <f>'Résultat (Ln)'!F$30+'Résultat (Ln)'!F$31*Données!S1893+'Résultat (Ln)'!F$32*Données!T1893+'Résultat (Ln)'!F$33*Données!U1893+'Résultat (Ln)'!F$34*Données!V1893+'Résultat (Ln)'!F$35*Données!W1893+'Résultat (Ln)'!F$36*Données!X1893+'Résultat (Ln)'!F$37*Données!Y1893</f>
        <v>173715.62653330687</v>
      </c>
      <c r="AA1893">
        <f t="shared" si="119"/>
        <v>18284.373466693127</v>
      </c>
    </row>
    <row r="1894" spans="1:27" x14ac:dyDescent="0.25">
      <c r="A1894">
        <v>144000</v>
      </c>
      <c r="B1894">
        <v>1</v>
      </c>
      <c r="C1894">
        <v>21</v>
      </c>
      <c r="D1894">
        <v>0</v>
      </c>
      <c r="E1894">
        <v>180000</v>
      </c>
      <c r="F1894">
        <v>7010</v>
      </c>
      <c r="G1894">
        <v>0</v>
      </c>
      <c r="H1894">
        <v>0</v>
      </c>
      <c r="I1894">
        <v>0</v>
      </c>
      <c r="J1894">
        <v>21</v>
      </c>
      <c r="K1894">
        <v>1</v>
      </c>
      <c r="L1894">
        <f>Résultats!G$32+Résultats!G$33*Données!C1894+Résultats!G$34*Données!D1894+Résultats!G$35*Données!E1894+Résultats!G$36*Données!F1894+Résultats!G$37*Données!G1894+Résultats!G$38*Données!H1894+Résultats!G$39*Données!I1894</f>
        <v>118319.16175237755</v>
      </c>
      <c r="M1894">
        <f t="shared" si="116"/>
        <v>25680.838247622451</v>
      </c>
      <c r="Q1894">
        <v>176000</v>
      </c>
      <c r="R1894">
        <v>1</v>
      </c>
      <c r="S1894">
        <v>33</v>
      </c>
      <c r="T1894">
        <v>0</v>
      </c>
      <c r="U1894">
        <f t="shared" si="117"/>
        <v>12.133501952695338</v>
      </c>
      <c r="V1894">
        <f t="shared" si="118"/>
        <v>7.9373746961632952</v>
      </c>
      <c r="W1894">
        <v>1</v>
      </c>
      <c r="X1894">
        <v>0</v>
      </c>
      <c r="Y1894">
        <v>1</v>
      </c>
      <c r="Z1894">
        <f>'Résultat (Ln)'!F$30+'Résultat (Ln)'!F$31*Données!S1894+'Résultat (Ln)'!F$32*Données!T1894+'Résultat (Ln)'!F$33*Données!U1894+'Résultat (Ln)'!F$34*Données!V1894+'Résultat (Ln)'!F$35*Données!W1894+'Résultat (Ln)'!F$36*Données!X1894+'Résultat (Ln)'!F$37*Données!Y1894</f>
        <v>152365.86867288503</v>
      </c>
      <c r="AA1894">
        <f t="shared" si="119"/>
        <v>23634.13132711497</v>
      </c>
    </row>
    <row r="1895" spans="1:27" x14ac:dyDescent="0.25">
      <c r="A1895">
        <v>104000</v>
      </c>
      <c r="B1895">
        <v>1</v>
      </c>
      <c r="C1895">
        <v>38</v>
      </c>
      <c r="D1895">
        <v>0</v>
      </c>
      <c r="E1895">
        <v>130000</v>
      </c>
      <c r="F1895">
        <v>2297</v>
      </c>
      <c r="G1895">
        <v>1</v>
      </c>
      <c r="H1895">
        <v>0</v>
      </c>
      <c r="I1895">
        <v>0</v>
      </c>
      <c r="J1895">
        <v>28</v>
      </c>
      <c r="K1895">
        <v>1</v>
      </c>
      <c r="L1895">
        <f>Résultats!G$32+Résultats!G$33*Données!C1895+Résultats!G$34*Données!D1895+Résultats!G$35*Données!E1895+Résultats!G$36*Données!F1895+Résultats!G$37*Données!G1895+Résultats!G$38*Données!H1895+Résultats!G$39*Données!I1895</f>
        <v>112382.72138998947</v>
      </c>
      <c r="M1895">
        <f t="shared" si="116"/>
        <v>-8382.7213899894705</v>
      </c>
      <c r="Q1895">
        <v>144000</v>
      </c>
      <c r="R1895">
        <v>1</v>
      </c>
      <c r="S1895">
        <v>21</v>
      </c>
      <c r="T1895">
        <v>0</v>
      </c>
      <c r="U1895">
        <f t="shared" si="117"/>
        <v>12.100712129872347</v>
      </c>
      <c r="V1895">
        <f t="shared" si="118"/>
        <v>8.8550929800286351</v>
      </c>
      <c r="W1895">
        <v>0</v>
      </c>
      <c r="X1895">
        <v>0</v>
      </c>
      <c r="Y1895">
        <v>0</v>
      </c>
      <c r="Z1895">
        <f>'Résultat (Ln)'!F$30+'Résultat (Ln)'!F$31*Données!S1895+'Résultat (Ln)'!F$32*Données!T1895+'Résultat (Ln)'!F$33*Données!U1895+'Résultat (Ln)'!F$34*Données!V1895+'Résultat (Ln)'!F$35*Données!W1895+'Résultat (Ln)'!F$36*Données!X1895+'Résultat (Ln)'!F$37*Données!Y1895</f>
        <v>141323.62853967428</v>
      </c>
      <c r="AA1895">
        <f t="shared" si="119"/>
        <v>2676.3714603257249</v>
      </c>
    </row>
    <row r="1896" spans="1:27" x14ac:dyDescent="0.25">
      <c r="A1896">
        <v>70000</v>
      </c>
      <c r="B1896">
        <v>1</v>
      </c>
      <c r="C1896">
        <v>32.900001525878913</v>
      </c>
      <c r="D1896">
        <v>0</v>
      </c>
      <c r="E1896">
        <v>77500</v>
      </c>
      <c r="F1896">
        <v>2165</v>
      </c>
      <c r="G1896">
        <v>0</v>
      </c>
      <c r="H1896">
        <v>1</v>
      </c>
      <c r="I1896">
        <v>0</v>
      </c>
      <c r="J1896">
        <v>30.239999771118161</v>
      </c>
      <c r="K1896">
        <v>0</v>
      </c>
      <c r="L1896">
        <f>Résultats!G$32+Résultats!G$33*Données!C1896+Résultats!G$34*Données!D1896+Résultats!G$35*Données!E1896+Résultats!G$36*Données!F1896+Résultats!G$37*Données!G1896+Résultats!G$38*Données!H1896+Résultats!G$39*Données!I1896</f>
        <v>73111.774711402613</v>
      </c>
      <c r="M1896">
        <f t="shared" si="116"/>
        <v>-3111.7747114026133</v>
      </c>
      <c r="Q1896">
        <v>104000</v>
      </c>
      <c r="R1896">
        <v>1</v>
      </c>
      <c r="S1896">
        <v>38</v>
      </c>
      <c r="T1896">
        <v>0</v>
      </c>
      <c r="U1896">
        <f t="shared" si="117"/>
        <v>11.77528972943772</v>
      </c>
      <c r="V1896">
        <f t="shared" si="118"/>
        <v>7.7393592026890978</v>
      </c>
      <c r="W1896">
        <v>1</v>
      </c>
      <c r="X1896">
        <v>0</v>
      </c>
      <c r="Y1896">
        <v>0</v>
      </c>
      <c r="Z1896">
        <f>'Résultat (Ln)'!F$30+'Résultat (Ln)'!F$31*Données!S1896+'Résultat (Ln)'!F$32*Données!T1896+'Résultat (Ln)'!F$33*Données!U1896+'Résultat (Ln)'!F$34*Données!V1896+'Résultat (Ln)'!F$35*Données!W1896+'Résultat (Ln)'!F$36*Données!X1896+'Résultat (Ln)'!F$37*Données!Y1896</f>
        <v>100436.87892314528</v>
      </c>
      <c r="AA1896">
        <f t="shared" si="119"/>
        <v>3563.1210768547171</v>
      </c>
    </row>
    <row r="1897" spans="1:27" x14ac:dyDescent="0.25">
      <c r="A1897">
        <v>60000</v>
      </c>
      <c r="B1897">
        <v>1</v>
      </c>
      <c r="C1897">
        <v>17.5</v>
      </c>
      <c r="D1897">
        <v>0</v>
      </c>
      <c r="E1897">
        <v>100000</v>
      </c>
      <c r="F1897">
        <v>5400</v>
      </c>
      <c r="G1897">
        <v>1</v>
      </c>
      <c r="H1897">
        <v>0</v>
      </c>
      <c r="I1897">
        <v>1</v>
      </c>
      <c r="J1897">
        <v>12</v>
      </c>
      <c r="K1897">
        <v>1</v>
      </c>
      <c r="L1897">
        <f>Résultats!G$32+Résultats!G$33*Données!C1897+Résultats!G$34*Données!D1897+Résultats!G$35*Données!E1897+Résultats!G$36*Données!F1897+Résultats!G$37*Données!G1897+Résultats!G$38*Données!H1897+Résultats!G$39*Données!I1897</f>
        <v>90764.791610806467</v>
      </c>
      <c r="M1897">
        <f t="shared" si="116"/>
        <v>-30764.791610806467</v>
      </c>
      <c r="Q1897">
        <v>70000</v>
      </c>
      <c r="R1897">
        <v>1</v>
      </c>
      <c r="S1897">
        <v>32.900001525878913</v>
      </c>
      <c r="T1897">
        <v>0</v>
      </c>
      <c r="U1897">
        <f t="shared" si="117"/>
        <v>11.258033215341438</v>
      </c>
      <c r="V1897">
        <f t="shared" si="118"/>
        <v>7.6801756404365902</v>
      </c>
      <c r="W1897">
        <v>0</v>
      </c>
      <c r="X1897">
        <v>1</v>
      </c>
      <c r="Y1897">
        <v>0</v>
      </c>
      <c r="Z1897">
        <f>'Résultat (Ln)'!F$30+'Résultat (Ln)'!F$31*Données!S1897+'Résultat (Ln)'!F$32*Données!T1897+'Résultat (Ln)'!F$33*Données!U1897+'Résultat (Ln)'!F$34*Données!V1897+'Résultat (Ln)'!F$35*Données!W1897+'Résultat (Ln)'!F$36*Données!X1897+'Résultat (Ln)'!F$37*Données!Y1897</f>
        <v>32405.446981685127</v>
      </c>
      <c r="AA1897">
        <f t="shared" si="119"/>
        <v>37594.553018314873</v>
      </c>
    </row>
    <row r="1898" spans="1:27" x14ac:dyDescent="0.25">
      <c r="A1898">
        <v>95000</v>
      </c>
      <c r="B1898">
        <v>1</v>
      </c>
      <c r="C1898">
        <v>36</v>
      </c>
      <c r="D1898">
        <v>0</v>
      </c>
      <c r="E1898">
        <v>100000</v>
      </c>
      <c r="F1898">
        <v>3718</v>
      </c>
      <c r="G1898">
        <v>1</v>
      </c>
      <c r="H1898">
        <v>0</v>
      </c>
      <c r="I1898">
        <v>0</v>
      </c>
      <c r="J1898">
        <v>22</v>
      </c>
      <c r="K1898">
        <v>1</v>
      </c>
      <c r="L1898">
        <f>Résultats!G$32+Résultats!G$33*Données!C1898+Résultats!G$34*Données!D1898+Résultats!G$35*Données!E1898+Résultats!G$36*Données!F1898+Résultats!G$37*Données!G1898+Résultats!G$38*Données!H1898+Résultats!G$39*Données!I1898</f>
        <v>98830.378418314416</v>
      </c>
      <c r="M1898">
        <f t="shared" si="116"/>
        <v>-3830.3784183144162</v>
      </c>
      <c r="Q1898">
        <v>60000</v>
      </c>
      <c r="R1898">
        <v>1</v>
      </c>
      <c r="S1898">
        <v>17.5</v>
      </c>
      <c r="T1898">
        <v>0</v>
      </c>
      <c r="U1898">
        <f t="shared" si="117"/>
        <v>11.512925464970229</v>
      </c>
      <c r="V1898">
        <f t="shared" si="118"/>
        <v>8.5941542325523663</v>
      </c>
      <c r="W1898">
        <v>1</v>
      </c>
      <c r="X1898">
        <v>0</v>
      </c>
      <c r="Y1898">
        <v>1</v>
      </c>
      <c r="Z1898">
        <f>'Résultat (Ln)'!F$30+'Résultat (Ln)'!F$31*Données!S1898+'Résultat (Ln)'!F$32*Données!T1898+'Résultat (Ln)'!F$33*Données!U1898+'Résultat (Ln)'!F$34*Données!V1898+'Résultat (Ln)'!F$35*Données!W1898+'Résultat (Ln)'!F$36*Données!X1898+'Résultat (Ln)'!F$37*Données!Y1898</f>
        <v>85321.088403913498</v>
      </c>
      <c r="AA1898">
        <f t="shared" si="119"/>
        <v>-25321.088403913498</v>
      </c>
    </row>
    <row r="1899" spans="1:27" x14ac:dyDescent="0.25">
      <c r="A1899">
        <v>120000</v>
      </c>
      <c r="B1899">
        <v>1</v>
      </c>
      <c r="C1899">
        <v>32.099998474121087</v>
      </c>
      <c r="D1899">
        <v>0</v>
      </c>
      <c r="E1899">
        <v>220000</v>
      </c>
      <c r="F1899">
        <v>5119</v>
      </c>
      <c r="G1899">
        <v>1</v>
      </c>
      <c r="H1899">
        <v>0</v>
      </c>
      <c r="I1899">
        <v>0</v>
      </c>
      <c r="J1899">
        <v>13.60000038146973</v>
      </c>
      <c r="K1899">
        <v>1</v>
      </c>
      <c r="L1899">
        <f>Résultats!G$32+Résultats!G$33*Données!C1899+Résultats!G$34*Données!D1899+Résultats!G$35*Données!E1899+Résultats!G$36*Données!F1899+Résultats!G$37*Données!G1899+Résultats!G$38*Données!H1899+Résultats!G$39*Données!I1899</f>
        <v>153099.79452716169</v>
      </c>
      <c r="M1899">
        <f t="shared" si="116"/>
        <v>-33099.794527161692</v>
      </c>
      <c r="Q1899">
        <v>95000</v>
      </c>
      <c r="R1899">
        <v>1</v>
      </c>
      <c r="S1899">
        <v>36</v>
      </c>
      <c r="T1899">
        <v>0</v>
      </c>
      <c r="U1899">
        <f t="shared" si="117"/>
        <v>11.512925464970229</v>
      </c>
      <c r="V1899">
        <f t="shared" si="118"/>
        <v>8.2209411682813887</v>
      </c>
      <c r="W1899">
        <v>1</v>
      </c>
      <c r="X1899">
        <v>0</v>
      </c>
      <c r="Y1899">
        <v>0</v>
      </c>
      <c r="Z1899">
        <f>'Résultat (Ln)'!F$30+'Résultat (Ln)'!F$31*Données!S1899+'Résultat (Ln)'!F$32*Données!T1899+'Résultat (Ln)'!F$33*Données!U1899+'Résultat (Ln)'!F$34*Données!V1899+'Résultat (Ln)'!F$35*Données!W1899+'Résultat (Ln)'!F$36*Données!X1899+'Résultat (Ln)'!F$37*Données!Y1899</f>
        <v>83374.85911751019</v>
      </c>
      <c r="AA1899">
        <f t="shared" si="119"/>
        <v>11625.14088248981</v>
      </c>
    </row>
    <row r="1900" spans="1:27" x14ac:dyDescent="0.25">
      <c r="A1900">
        <v>158000</v>
      </c>
      <c r="B1900">
        <v>1</v>
      </c>
      <c r="C1900">
        <v>41</v>
      </c>
      <c r="D1900">
        <v>0</v>
      </c>
      <c r="E1900">
        <v>175000</v>
      </c>
      <c r="F1900">
        <v>5316</v>
      </c>
      <c r="G1900">
        <v>1</v>
      </c>
      <c r="H1900">
        <v>0</v>
      </c>
      <c r="I1900">
        <v>0</v>
      </c>
      <c r="J1900">
        <v>33</v>
      </c>
      <c r="K1900">
        <v>1</v>
      </c>
      <c r="L1900">
        <f>Résultats!G$32+Résultats!G$33*Données!C1900+Résultats!G$34*Données!D1900+Résultats!G$35*Données!E1900+Résultats!G$36*Données!F1900+Résultats!G$37*Données!G1900+Résultats!G$38*Données!H1900+Résultats!G$39*Données!I1900</f>
        <v>142691.80967482738</v>
      </c>
      <c r="M1900">
        <f t="shared" si="116"/>
        <v>15308.190325172618</v>
      </c>
      <c r="Q1900">
        <v>120000</v>
      </c>
      <c r="R1900">
        <v>1</v>
      </c>
      <c r="S1900">
        <v>32.099998474121087</v>
      </c>
      <c r="T1900">
        <v>0</v>
      </c>
      <c r="U1900">
        <f t="shared" si="117"/>
        <v>12.301382825334498</v>
      </c>
      <c r="V1900">
        <f t="shared" si="118"/>
        <v>8.5407143864575836</v>
      </c>
      <c r="W1900">
        <v>1</v>
      </c>
      <c r="X1900">
        <v>0</v>
      </c>
      <c r="Y1900">
        <v>0</v>
      </c>
      <c r="Z1900">
        <f>'Résultat (Ln)'!F$30+'Résultat (Ln)'!F$31*Données!S1900+'Résultat (Ln)'!F$32*Données!T1900+'Résultat (Ln)'!F$33*Données!U1900+'Résultat (Ln)'!F$34*Données!V1900+'Résultat (Ln)'!F$35*Données!W1900+'Résultat (Ln)'!F$36*Données!X1900+'Résultat (Ln)'!F$37*Données!Y1900</f>
        <v>172096.32423548584</v>
      </c>
      <c r="AA1900">
        <f t="shared" si="119"/>
        <v>-52096.324235485838</v>
      </c>
    </row>
    <row r="1901" spans="1:27" x14ac:dyDescent="0.25">
      <c r="A1901">
        <v>175000</v>
      </c>
      <c r="B1901">
        <v>1</v>
      </c>
      <c r="C1901">
        <v>37</v>
      </c>
      <c r="D1901">
        <v>0</v>
      </c>
      <c r="E1901">
        <v>245000</v>
      </c>
      <c r="F1901">
        <v>7388</v>
      </c>
      <c r="G1901">
        <v>1</v>
      </c>
      <c r="H1901">
        <v>0</v>
      </c>
      <c r="I1901">
        <v>1</v>
      </c>
      <c r="J1901">
        <v>20</v>
      </c>
      <c r="K1901">
        <v>1</v>
      </c>
      <c r="L1901">
        <f>Résultats!G$32+Résultats!G$33*Données!C1901+Résultats!G$34*Données!D1901+Résultats!G$35*Données!E1901+Résultats!G$36*Données!F1901+Résultats!G$37*Données!G1901+Résultats!G$38*Données!H1901+Résultats!G$39*Données!I1901</f>
        <v>184724.40924425473</v>
      </c>
      <c r="M1901">
        <f t="shared" si="116"/>
        <v>-9724.4092442547262</v>
      </c>
      <c r="Q1901">
        <v>158000</v>
      </c>
      <c r="R1901">
        <v>1</v>
      </c>
      <c r="S1901">
        <v>41</v>
      </c>
      <c r="T1901">
        <v>0</v>
      </c>
      <c r="U1901">
        <f t="shared" si="117"/>
        <v>12.072541252905651</v>
      </c>
      <c r="V1901">
        <f t="shared" si="118"/>
        <v>8.5784764198331356</v>
      </c>
      <c r="W1901">
        <v>1</v>
      </c>
      <c r="X1901">
        <v>0</v>
      </c>
      <c r="Y1901">
        <v>0</v>
      </c>
      <c r="Z1901">
        <f>'Résultat (Ln)'!F$30+'Résultat (Ln)'!F$31*Données!S1901+'Résultat (Ln)'!F$32*Données!T1901+'Résultat (Ln)'!F$33*Données!U1901+'Résultat (Ln)'!F$34*Données!V1901+'Résultat (Ln)'!F$35*Données!W1901+'Résultat (Ln)'!F$36*Données!X1901+'Résultat (Ln)'!F$37*Données!Y1901</f>
        <v>159500.75492580017</v>
      </c>
      <c r="AA1901">
        <f t="shared" si="119"/>
        <v>-1500.7549258001673</v>
      </c>
    </row>
    <row r="1902" spans="1:27" x14ac:dyDescent="0.25">
      <c r="A1902">
        <v>75000</v>
      </c>
      <c r="B1902">
        <v>1</v>
      </c>
      <c r="C1902">
        <v>36.200000762939453</v>
      </c>
      <c r="D1902">
        <v>0</v>
      </c>
      <c r="E1902">
        <v>100000</v>
      </c>
      <c r="F1902">
        <v>3365</v>
      </c>
      <c r="G1902">
        <v>1</v>
      </c>
      <c r="H1902">
        <v>0</v>
      </c>
      <c r="I1902">
        <v>0</v>
      </c>
      <c r="J1902">
        <v>26.20000076293945</v>
      </c>
      <c r="K1902">
        <v>1</v>
      </c>
      <c r="L1902">
        <f>Résultats!G$32+Résultats!G$33*Données!C1902+Résultats!G$34*Données!D1902+Résultats!G$35*Données!E1902+Résultats!G$36*Données!F1902+Résultats!G$37*Données!G1902+Résultats!G$38*Données!H1902+Résultats!G$39*Données!I1902</f>
        <v>98376.074430392109</v>
      </c>
      <c r="M1902">
        <f t="shared" si="116"/>
        <v>-23376.074430392109</v>
      </c>
      <c r="Q1902">
        <v>175000</v>
      </c>
      <c r="R1902">
        <v>1</v>
      </c>
      <c r="S1902">
        <v>37</v>
      </c>
      <c r="T1902">
        <v>0</v>
      </c>
      <c r="U1902">
        <f t="shared" si="117"/>
        <v>12.409013489526863</v>
      </c>
      <c r="V1902">
        <f t="shared" si="118"/>
        <v>8.9076123413191297</v>
      </c>
      <c r="W1902">
        <v>1</v>
      </c>
      <c r="X1902">
        <v>0</v>
      </c>
      <c r="Y1902">
        <v>1</v>
      </c>
      <c r="Z1902">
        <f>'Résultat (Ln)'!F$30+'Résultat (Ln)'!F$31*Données!S1902+'Résultat (Ln)'!F$32*Données!T1902+'Résultat (Ln)'!F$33*Données!U1902+'Résultat (Ln)'!F$34*Données!V1902+'Résultat (Ln)'!F$35*Données!W1902+'Résultat (Ln)'!F$36*Données!X1902+'Résultat (Ln)'!F$37*Données!Y1902</f>
        <v>213998.73183096209</v>
      </c>
      <c r="AA1902">
        <f t="shared" si="119"/>
        <v>-38998.73183096209</v>
      </c>
    </row>
    <row r="1903" spans="1:27" x14ac:dyDescent="0.25">
      <c r="A1903">
        <v>80000</v>
      </c>
      <c r="B1903">
        <v>1</v>
      </c>
      <c r="C1903">
        <v>27</v>
      </c>
      <c r="D1903">
        <v>0</v>
      </c>
      <c r="E1903">
        <v>80000</v>
      </c>
      <c r="F1903">
        <v>2620</v>
      </c>
      <c r="G1903">
        <v>1</v>
      </c>
      <c r="H1903">
        <v>6</v>
      </c>
      <c r="I1903">
        <v>0</v>
      </c>
      <c r="J1903">
        <v>25</v>
      </c>
      <c r="K1903">
        <v>1</v>
      </c>
      <c r="L1903">
        <f>Résultats!G$32+Résultats!G$33*Données!C1903+Résultats!G$34*Données!D1903+Résultats!G$35*Données!E1903+Résultats!G$36*Données!F1903+Résultats!G$37*Données!G1903+Résultats!G$38*Données!H1903+Résultats!G$39*Données!I1903</f>
        <v>67273.930230138329</v>
      </c>
      <c r="M1903">
        <f t="shared" si="116"/>
        <v>12726.069769861671</v>
      </c>
      <c r="Q1903">
        <v>75000</v>
      </c>
      <c r="R1903">
        <v>1</v>
      </c>
      <c r="S1903">
        <v>36.200000762939453</v>
      </c>
      <c r="T1903">
        <v>0</v>
      </c>
      <c r="U1903">
        <f t="shared" si="117"/>
        <v>11.512925464970229</v>
      </c>
      <c r="V1903">
        <f t="shared" si="118"/>
        <v>8.1211832420788284</v>
      </c>
      <c r="W1903">
        <v>1</v>
      </c>
      <c r="X1903">
        <v>0</v>
      </c>
      <c r="Y1903">
        <v>0</v>
      </c>
      <c r="Z1903">
        <f>'Résultat (Ln)'!F$30+'Résultat (Ln)'!F$31*Données!S1903+'Résultat (Ln)'!F$32*Données!T1903+'Résultat (Ln)'!F$33*Données!U1903+'Résultat (Ln)'!F$34*Données!V1903+'Résultat (Ln)'!F$35*Données!W1903+'Résultat (Ln)'!F$36*Données!X1903+'Résultat (Ln)'!F$37*Données!Y1903</f>
        <v>80821.478107076764</v>
      </c>
      <c r="AA1903">
        <f t="shared" si="119"/>
        <v>-5821.478107076764</v>
      </c>
    </row>
    <row r="1904" spans="1:27" x14ac:dyDescent="0.25">
      <c r="A1904">
        <v>106000</v>
      </c>
      <c r="B1904">
        <v>1</v>
      </c>
      <c r="C1904">
        <v>40.599998474121087</v>
      </c>
      <c r="D1904">
        <v>0</v>
      </c>
      <c r="E1904">
        <v>117500</v>
      </c>
      <c r="F1904">
        <v>2726</v>
      </c>
      <c r="G1904">
        <v>1</v>
      </c>
      <c r="H1904">
        <v>1</v>
      </c>
      <c r="I1904">
        <v>1</v>
      </c>
      <c r="J1904">
        <v>40.599998474121087</v>
      </c>
      <c r="K1904">
        <v>1</v>
      </c>
      <c r="L1904">
        <f>Résultats!G$32+Résultats!G$33*Données!C1904+Résultats!G$34*Données!D1904+Résultats!G$35*Données!E1904+Résultats!G$36*Données!F1904+Résultats!G$37*Données!G1904+Résultats!G$38*Données!H1904+Résultats!G$39*Données!I1904</f>
        <v>118663.83792225663</v>
      </c>
      <c r="M1904">
        <f t="shared" si="116"/>
        <v>-12663.837922256629</v>
      </c>
      <c r="Q1904">
        <v>80000</v>
      </c>
      <c r="R1904">
        <v>1</v>
      </c>
      <c r="S1904">
        <v>27</v>
      </c>
      <c r="T1904">
        <v>0</v>
      </c>
      <c r="U1904">
        <f t="shared" si="117"/>
        <v>11.289781913656018</v>
      </c>
      <c r="V1904">
        <f t="shared" si="118"/>
        <v>7.8709295967551425</v>
      </c>
      <c r="W1904">
        <v>1</v>
      </c>
      <c r="X1904">
        <v>6</v>
      </c>
      <c r="Y1904">
        <v>0</v>
      </c>
      <c r="Z1904">
        <f>'Résultat (Ln)'!F$30+'Résultat (Ln)'!F$31*Données!S1904+'Résultat (Ln)'!F$32*Données!T1904+'Résultat (Ln)'!F$33*Données!U1904+'Résultat (Ln)'!F$34*Données!V1904+'Résultat (Ln)'!F$35*Données!W1904+'Résultat (Ln)'!F$36*Données!X1904+'Résultat (Ln)'!F$37*Données!Y1904</f>
        <v>37574.904546042831</v>
      </c>
      <c r="AA1904">
        <f t="shared" si="119"/>
        <v>42425.095453957169</v>
      </c>
    </row>
    <row r="1905" spans="1:27" x14ac:dyDescent="0.25">
      <c r="A1905">
        <v>113000</v>
      </c>
      <c r="B1905">
        <v>1</v>
      </c>
      <c r="C1905">
        <v>20</v>
      </c>
      <c r="D1905">
        <v>0</v>
      </c>
      <c r="E1905">
        <v>158000</v>
      </c>
      <c r="F1905">
        <v>4083</v>
      </c>
      <c r="G1905">
        <v>0</v>
      </c>
      <c r="H1905">
        <v>1</v>
      </c>
      <c r="I1905">
        <v>0</v>
      </c>
      <c r="J1905">
        <v>20</v>
      </c>
      <c r="K1905">
        <v>0</v>
      </c>
      <c r="L1905">
        <f>Résultats!G$32+Résultats!G$33*Données!C1905+Résultats!G$34*Données!D1905+Résultats!G$35*Données!E1905+Résultats!G$36*Données!F1905+Résultats!G$37*Données!G1905+Résultats!G$38*Données!H1905+Résultats!G$39*Données!I1905</f>
        <v>99600.339363717532</v>
      </c>
      <c r="M1905">
        <f t="shared" si="116"/>
        <v>13399.660636282468</v>
      </c>
      <c r="Q1905">
        <v>106000</v>
      </c>
      <c r="R1905">
        <v>1</v>
      </c>
      <c r="S1905">
        <v>40.599998474121087</v>
      </c>
      <c r="T1905">
        <v>0</v>
      </c>
      <c r="U1905">
        <f t="shared" si="117"/>
        <v>11.67419361256635</v>
      </c>
      <c r="V1905">
        <f t="shared" si="118"/>
        <v>7.9105906122564775</v>
      </c>
      <c r="W1905">
        <v>1</v>
      </c>
      <c r="X1905">
        <v>1</v>
      </c>
      <c r="Y1905">
        <v>1</v>
      </c>
      <c r="Z1905">
        <f>'Résultat (Ln)'!F$30+'Résultat (Ln)'!F$31*Données!S1905+'Résultat (Ln)'!F$32*Données!T1905+'Résultat (Ln)'!F$33*Données!U1905+'Résultat (Ln)'!F$34*Données!V1905+'Résultat (Ln)'!F$35*Données!W1905+'Résultat (Ln)'!F$36*Données!X1905+'Résultat (Ln)'!F$37*Données!Y1905</f>
        <v>111488.84056692474</v>
      </c>
      <c r="AA1905">
        <f t="shared" si="119"/>
        <v>-5488.8405669247441</v>
      </c>
    </row>
    <row r="1906" spans="1:27" x14ac:dyDescent="0.25">
      <c r="A1906">
        <v>56000</v>
      </c>
      <c r="B1906">
        <v>1</v>
      </c>
      <c r="C1906">
        <v>14</v>
      </c>
      <c r="D1906">
        <v>0</v>
      </c>
      <c r="E1906">
        <v>175000</v>
      </c>
      <c r="F1906">
        <v>3000</v>
      </c>
      <c r="G1906">
        <v>1</v>
      </c>
      <c r="H1906">
        <v>0</v>
      </c>
      <c r="I1906">
        <v>0</v>
      </c>
      <c r="J1906">
        <v>12</v>
      </c>
      <c r="K1906">
        <v>1</v>
      </c>
      <c r="L1906">
        <f>Résultats!G$32+Résultats!G$33*Données!C1906+Résultats!G$34*Données!D1906+Résultats!G$35*Données!E1906+Résultats!G$36*Données!F1906+Résultats!G$37*Données!G1906+Résultats!G$38*Données!H1906+Résultats!G$39*Données!I1906</f>
        <v>107189.79389955812</v>
      </c>
      <c r="M1906">
        <f t="shared" si="116"/>
        <v>-51189.793899558121</v>
      </c>
      <c r="Q1906">
        <v>113000</v>
      </c>
      <c r="R1906">
        <v>1</v>
      </c>
      <c r="S1906">
        <v>20</v>
      </c>
      <c r="T1906">
        <v>0</v>
      </c>
      <c r="U1906">
        <f t="shared" si="117"/>
        <v>11.970350312009105</v>
      </c>
      <c r="V1906">
        <f t="shared" si="118"/>
        <v>8.314587291319576</v>
      </c>
      <c r="W1906">
        <v>0</v>
      </c>
      <c r="X1906">
        <v>1</v>
      </c>
      <c r="Y1906">
        <v>0</v>
      </c>
      <c r="Z1906">
        <f>'Résultat (Ln)'!F$30+'Résultat (Ln)'!F$31*Données!S1906+'Résultat (Ln)'!F$32*Données!T1906+'Résultat (Ln)'!F$33*Données!U1906+'Résultat (Ln)'!F$34*Données!V1906+'Résultat (Ln)'!F$35*Données!W1906+'Résultat (Ln)'!F$36*Données!X1906+'Résultat (Ln)'!F$37*Données!Y1906</f>
        <v>110790.92899893828</v>
      </c>
      <c r="AA1906">
        <f t="shared" si="119"/>
        <v>2209.0710010617186</v>
      </c>
    </row>
    <row r="1907" spans="1:27" x14ac:dyDescent="0.25">
      <c r="A1907">
        <v>128000</v>
      </c>
      <c r="B1907">
        <v>1</v>
      </c>
      <c r="C1907">
        <v>29.5</v>
      </c>
      <c r="D1907">
        <v>0</v>
      </c>
      <c r="E1907">
        <v>170000</v>
      </c>
      <c r="F1907">
        <v>5048</v>
      </c>
      <c r="G1907">
        <v>0</v>
      </c>
      <c r="H1907">
        <v>0</v>
      </c>
      <c r="I1907">
        <v>0</v>
      </c>
      <c r="J1907">
        <v>29.10000038146973</v>
      </c>
      <c r="K1907">
        <v>1</v>
      </c>
      <c r="L1907">
        <f>Résultats!G$32+Résultats!G$33*Données!C1907+Résultats!G$34*Données!D1907+Résultats!G$35*Données!E1907+Résultats!G$36*Données!F1907+Résultats!G$37*Données!G1907+Résultats!G$38*Données!H1907+Résultats!G$39*Données!I1907</f>
        <v>119611.38847653916</v>
      </c>
      <c r="M1907">
        <f t="shared" si="116"/>
        <v>8388.6115234608442</v>
      </c>
      <c r="Q1907">
        <v>56000</v>
      </c>
      <c r="R1907">
        <v>1</v>
      </c>
      <c r="S1907">
        <v>14</v>
      </c>
      <c r="T1907">
        <v>0</v>
      </c>
      <c r="U1907">
        <f t="shared" si="117"/>
        <v>12.072541252905651</v>
      </c>
      <c r="V1907">
        <f t="shared" si="118"/>
        <v>8.0063675676502459</v>
      </c>
      <c r="W1907">
        <v>1</v>
      </c>
      <c r="X1907">
        <v>0</v>
      </c>
      <c r="Y1907">
        <v>0</v>
      </c>
      <c r="Z1907">
        <f>'Résultat (Ln)'!F$30+'Résultat (Ln)'!F$31*Données!S1907+'Résultat (Ln)'!F$32*Données!T1907+'Résultat (Ln)'!F$33*Données!U1907+'Résultat (Ln)'!F$34*Données!V1907+'Résultat (Ln)'!F$35*Données!W1907+'Résultat (Ln)'!F$36*Données!X1907+'Résultat (Ln)'!F$37*Données!Y1907</f>
        <v>110460.40237495334</v>
      </c>
      <c r="AA1907">
        <f t="shared" si="119"/>
        <v>-54460.402374953337</v>
      </c>
    </row>
    <row r="1908" spans="1:27" x14ac:dyDescent="0.25">
      <c r="A1908">
        <v>112000</v>
      </c>
      <c r="B1908">
        <v>1</v>
      </c>
      <c r="C1908">
        <v>35</v>
      </c>
      <c r="D1908">
        <v>1</v>
      </c>
      <c r="E1908">
        <v>140000</v>
      </c>
      <c r="F1908">
        <v>5000</v>
      </c>
      <c r="G1908">
        <v>0</v>
      </c>
      <c r="H1908">
        <v>1</v>
      </c>
      <c r="I1908">
        <v>1</v>
      </c>
      <c r="J1908">
        <v>23</v>
      </c>
      <c r="K1908">
        <v>1</v>
      </c>
      <c r="L1908">
        <f>Résultats!G$32+Résultats!G$33*Données!C1908+Résultats!G$34*Données!D1908+Résultats!G$35*Données!E1908+Résultats!G$36*Données!F1908+Résultats!G$37*Données!G1908+Résultats!G$38*Données!H1908+Résultats!G$39*Données!I1908</f>
        <v>124975.8928010338</v>
      </c>
      <c r="M1908">
        <f t="shared" si="116"/>
        <v>-12975.892801033799</v>
      </c>
      <c r="Q1908">
        <v>128000</v>
      </c>
      <c r="R1908">
        <v>1</v>
      </c>
      <c r="S1908">
        <v>29.5</v>
      </c>
      <c r="T1908">
        <v>0</v>
      </c>
      <c r="U1908">
        <f t="shared" si="117"/>
        <v>12.043553716032399</v>
      </c>
      <c r="V1908">
        <f t="shared" si="118"/>
        <v>8.5267474042210498</v>
      </c>
      <c r="W1908">
        <v>0</v>
      </c>
      <c r="X1908">
        <v>0</v>
      </c>
      <c r="Y1908">
        <v>0</v>
      </c>
      <c r="Z1908">
        <f>'Résultat (Ln)'!F$30+'Résultat (Ln)'!F$31*Données!S1908+'Résultat (Ln)'!F$32*Données!T1908+'Résultat (Ln)'!F$33*Données!U1908+'Résultat (Ln)'!F$34*Données!V1908+'Résultat (Ln)'!F$35*Données!W1908+'Résultat (Ln)'!F$36*Données!X1908+'Résultat (Ln)'!F$37*Données!Y1908</f>
        <v>136375.13622188783</v>
      </c>
      <c r="AA1908">
        <f t="shared" si="119"/>
        <v>-8375.1362218878348</v>
      </c>
    </row>
    <row r="1909" spans="1:27" x14ac:dyDescent="0.25">
      <c r="A1909">
        <v>205000</v>
      </c>
      <c r="B1909">
        <v>1</v>
      </c>
      <c r="C1909">
        <v>47</v>
      </c>
      <c r="D1909">
        <v>1</v>
      </c>
      <c r="E1909">
        <v>228000</v>
      </c>
      <c r="F1909">
        <v>6000</v>
      </c>
      <c r="G1909">
        <v>1</v>
      </c>
      <c r="H1909">
        <v>1</v>
      </c>
      <c r="I1909">
        <v>1</v>
      </c>
      <c r="J1909">
        <v>39</v>
      </c>
      <c r="K1909">
        <v>1</v>
      </c>
      <c r="L1909">
        <f>Résultats!G$32+Résultats!G$33*Données!C1909+Résultats!G$34*Données!D1909+Résultats!G$35*Données!E1909+Résultats!G$36*Données!F1909+Résultats!G$37*Données!G1909+Résultats!G$38*Données!H1909+Résultats!G$39*Données!I1909</f>
        <v>188806.2308404416</v>
      </c>
      <c r="M1909">
        <f t="shared" si="116"/>
        <v>16193.769159558404</v>
      </c>
      <c r="Q1909">
        <v>112000</v>
      </c>
      <c r="R1909">
        <v>1</v>
      </c>
      <c r="S1909">
        <v>35</v>
      </c>
      <c r="T1909">
        <v>1</v>
      </c>
      <c r="U1909">
        <f t="shared" si="117"/>
        <v>11.849397701591441</v>
      </c>
      <c r="V1909">
        <f t="shared" si="118"/>
        <v>8.5171931914162382</v>
      </c>
      <c r="W1909">
        <v>0</v>
      </c>
      <c r="X1909">
        <v>1</v>
      </c>
      <c r="Y1909">
        <v>1</v>
      </c>
      <c r="Z1909">
        <f>'Résultat (Ln)'!F$30+'Résultat (Ln)'!F$31*Données!S1909+'Résultat (Ln)'!F$32*Données!T1909+'Résultat (Ln)'!F$33*Données!U1909+'Résultat (Ln)'!F$34*Données!V1909+'Résultat (Ln)'!F$35*Données!W1909+'Résultat (Ln)'!F$36*Données!X1909+'Résultat (Ln)'!F$37*Données!Y1909</f>
        <v>140273.94598941196</v>
      </c>
      <c r="AA1909">
        <f t="shared" si="119"/>
        <v>-28273.945989411965</v>
      </c>
    </row>
    <row r="1910" spans="1:27" x14ac:dyDescent="0.25">
      <c r="A1910">
        <v>197000</v>
      </c>
      <c r="B1910">
        <v>1</v>
      </c>
      <c r="C1910">
        <v>30</v>
      </c>
      <c r="D1910">
        <v>0</v>
      </c>
      <c r="E1910">
        <v>330000</v>
      </c>
      <c r="F1910">
        <v>7603</v>
      </c>
      <c r="G1910">
        <v>1</v>
      </c>
      <c r="H1910">
        <v>0</v>
      </c>
      <c r="I1910">
        <v>0</v>
      </c>
      <c r="J1910">
        <v>24</v>
      </c>
      <c r="K1910">
        <v>1</v>
      </c>
      <c r="L1910">
        <f>Résultats!G$32+Résultats!G$33*Données!C1910+Résultats!G$34*Données!D1910+Résultats!G$35*Données!E1910+Résultats!G$36*Données!F1910+Résultats!G$37*Données!G1910+Résultats!G$38*Données!H1910+Résultats!G$39*Données!I1910</f>
        <v>206865.91185427201</v>
      </c>
      <c r="M1910">
        <f t="shared" si="116"/>
        <v>-9865.9118542720098</v>
      </c>
      <c r="Q1910">
        <v>205000</v>
      </c>
      <c r="R1910">
        <v>1</v>
      </c>
      <c r="S1910">
        <v>47</v>
      </c>
      <c r="T1910">
        <v>1</v>
      </c>
      <c r="U1910">
        <f t="shared" si="117"/>
        <v>12.337100907936577</v>
      </c>
      <c r="V1910">
        <f t="shared" si="118"/>
        <v>8.6995147482101913</v>
      </c>
      <c r="W1910">
        <v>1</v>
      </c>
      <c r="X1910">
        <v>1</v>
      </c>
      <c r="Y1910">
        <v>1</v>
      </c>
      <c r="Z1910">
        <f>'Résultat (Ln)'!F$30+'Résultat (Ln)'!F$31*Données!S1910+'Résultat (Ln)'!F$32*Données!T1910+'Résultat (Ln)'!F$33*Données!U1910+'Résultat (Ln)'!F$34*Données!V1910+'Résultat (Ln)'!F$35*Données!W1910+'Résultat (Ln)'!F$36*Données!X1910+'Résultat (Ln)'!F$37*Données!Y1910</f>
        <v>216845.44254031195</v>
      </c>
      <c r="AA1910">
        <f t="shared" si="119"/>
        <v>-11845.442540311953</v>
      </c>
    </row>
    <row r="1911" spans="1:27" x14ac:dyDescent="0.25">
      <c r="A1911">
        <v>292000</v>
      </c>
      <c r="B1911">
        <v>1</v>
      </c>
      <c r="C1911">
        <v>32.400001525878913</v>
      </c>
      <c r="D1911">
        <v>0</v>
      </c>
      <c r="E1911">
        <v>517000</v>
      </c>
      <c r="F1911">
        <v>9357</v>
      </c>
      <c r="G1911">
        <v>0</v>
      </c>
      <c r="H1911">
        <v>0</v>
      </c>
      <c r="I1911">
        <v>1</v>
      </c>
      <c r="J1911">
        <v>29.180000305175781</v>
      </c>
      <c r="K1911">
        <v>0</v>
      </c>
      <c r="L1911">
        <f>Résultats!G$32+Résultats!G$33*Données!C1911+Résultats!G$34*Données!D1911+Résultats!G$35*Données!E1911+Résultats!G$36*Données!F1911+Résultats!G$37*Données!G1911+Résultats!G$38*Données!H1911+Résultats!G$39*Données!I1911</f>
        <v>303250.70117412234</v>
      </c>
      <c r="M1911">
        <f t="shared" si="116"/>
        <v>-11250.70117412234</v>
      </c>
      <c r="Q1911">
        <v>197000</v>
      </c>
      <c r="R1911">
        <v>1</v>
      </c>
      <c r="S1911">
        <v>30</v>
      </c>
      <c r="T1911">
        <v>0</v>
      </c>
      <c r="U1911">
        <f t="shared" si="117"/>
        <v>12.706847933442663</v>
      </c>
      <c r="V1911">
        <f t="shared" si="118"/>
        <v>8.936298185228436</v>
      </c>
      <c r="W1911">
        <v>1</v>
      </c>
      <c r="X1911">
        <v>0</v>
      </c>
      <c r="Y1911">
        <v>0</v>
      </c>
      <c r="Z1911">
        <f>'Résultat (Ln)'!F$30+'Résultat (Ln)'!F$31*Données!S1911+'Résultat (Ln)'!F$32*Données!T1911+'Résultat (Ln)'!F$33*Données!U1911+'Résultat (Ln)'!F$34*Données!V1911+'Résultat (Ln)'!F$35*Données!W1911+'Résultat (Ln)'!F$36*Données!X1911+'Résultat (Ln)'!F$37*Données!Y1911</f>
        <v>224088.56326664594</v>
      </c>
      <c r="AA1911">
        <f t="shared" si="119"/>
        <v>-27088.563266645942</v>
      </c>
    </row>
    <row r="1912" spans="1:27" x14ac:dyDescent="0.25">
      <c r="A1912">
        <v>41000</v>
      </c>
      <c r="B1912">
        <v>1</v>
      </c>
      <c r="C1912">
        <v>34</v>
      </c>
      <c r="D1912">
        <v>0</v>
      </c>
      <c r="E1912">
        <v>116500</v>
      </c>
      <c r="F1912">
        <v>2600</v>
      </c>
      <c r="G1912">
        <v>1</v>
      </c>
      <c r="H1912">
        <v>0</v>
      </c>
      <c r="I1912">
        <v>0</v>
      </c>
      <c r="J1912">
        <v>20</v>
      </c>
      <c r="K1912">
        <v>0</v>
      </c>
      <c r="L1912">
        <f>Résultats!G$32+Résultats!G$33*Données!C1912+Résultats!G$34*Données!D1912+Résultats!G$35*Données!E1912+Résultats!G$36*Données!F1912+Résultats!G$37*Données!G1912+Résultats!G$38*Données!H1912+Résultats!G$39*Données!I1912</f>
        <v>102071.32031826219</v>
      </c>
      <c r="M1912">
        <f t="shared" si="116"/>
        <v>-61071.320318262195</v>
      </c>
      <c r="Q1912">
        <v>292000</v>
      </c>
      <c r="R1912">
        <v>1</v>
      </c>
      <c r="S1912">
        <v>32.400001525878913</v>
      </c>
      <c r="T1912">
        <v>0</v>
      </c>
      <c r="U1912">
        <f t="shared" si="117"/>
        <v>13.155798153490567</v>
      </c>
      <c r="V1912">
        <f t="shared" si="118"/>
        <v>9.1438800052759124</v>
      </c>
      <c r="W1912">
        <v>0</v>
      </c>
      <c r="X1912">
        <v>0</v>
      </c>
      <c r="Y1912">
        <v>1</v>
      </c>
      <c r="Z1912">
        <f>'Résultat (Ln)'!F$30+'Résultat (Ln)'!F$31*Données!S1912+'Résultat (Ln)'!F$32*Données!T1912+'Résultat (Ln)'!F$33*Données!U1912+'Résultat (Ln)'!F$34*Données!V1912+'Résultat (Ln)'!F$35*Données!W1912+'Résultat (Ln)'!F$36*Données!X1912+'Résultat (Ln)'!F$37*Données!Y1912</f>
        <v>290541.63336432405</v>
      </c>
      <c r="AA1912">
        <f t="shared" si="119"/>
        <v>1458.3666356759495</v>
      </c>
    </row>
    <row r="1913" spans="1:27" x14ac:dyDescent="0.25">
      <c r="A1913">
        <v>85000</v>
      </c>
      <c r="B1913">
        <v>1</v>
      </c>
      <c r="C1913">
        <v>28</v>
      </c>
      <c r="D1913">
        <v>0</v>
      </c>
      <c r="E1913">
        <v>90000</v>
      </c>
      <c r="F1913">
        <v>3791</v>
      </c>
      <c r="G1913">
        <v>1</v>
      </c>
      <c r="H1913">
        <v>0</v>
      </c>
      <c r="I1913">
        <v>0</v>
      </c>
      <c r="J1913">
        <v>17</v>
      </c>
      <c r="K1913">
        <v>1</v>
      </c>
      <c r="L1913">
        <f>Résultats!G$32+Résultats!G$33*Données!C1913+Résultats!G$34*Données!D1913+Résultats!G$35*Données!E1913+Résultats!G$36*Données!F1913+Résultats!G$37*Données!G1913+Résultats!G$38*Données!H1913+Résultats!G$39*Données!I1913</f>
        <v>85112.941176346532</v>
      </c>
      <c r="M1913">
        <f t="shared" si="116"/>
        <v>-112.9411763465323</v>
      </c>
      <c r="Q1913">
        <v>41000</v>
      </c>
      <c r="R1913">
        <v>1</v>
      </c>
      <c r="S1913">
        <v>34</v>
      </c>
      <c r="T1913">
        <v>0</v>
      </c>
      <c r="U1913">
        <f t="shared" si="117"/>
        <v>11.665646551987892</v>
      </c>
      <c r="V1913">
        <f t="shared" si="118"/>
        <v>7.8632667240095735</v>
      </c>
      <c r="W1913">
        <v>1</v>
      </c>
      <c r="X1913">
        <v>0</v>
      </c>
      <c r="Y1913">
        <v>0</v>
      </c>
      <c r="Z1913">
        <f>'Résultat (Ln)'!F$30+'Résultat (Ln)'!F$31*Données!S1913+'Résultat (Ln)'!F$32*Données!T1913+'Résultat (Ln)'!F$33*Données!U1913+'Résultat (Ln)'!F$34*Données!V1913+'Résultat (Ln)'!F$35*Données!W1913+'Résultat (Ln)'!F$36*Données!X1913+'Résultat (Ln)'!F$37*Données!Y1913</f>
        <v>87270.537217385383</v>
      </c>
      <c r="AA1913">
        <f t="shared" si="119"/>
        <v>-46270.537217385383</v>
      </c>
    </row>
    <row r="1914" spans="1:27" x14ac:dyDescent="0.25">
      <c r="A1914">
        <v>142000</v>
      </c>
      <c r="B1914">
        <v>1</v>
      </c>
      <c r="C1914">
        <v>32</v>
      </c>
      <c r="D1914">
        <v>0</v>
      </c>
      <c r="E1914">
        <v>178000</v>
      </c>
      <c r="F1914">
        <v>3859</v>
      </c>
      <c r="G1914">
        <v>1</v>
      </c>
      <c r="H1914">
        <v>0</v>
      </c>
      <c r="I1914">
        <v>0</v>
      </c>
      <c r="J1914">
        <v>27</v>
      </c>
      <c r="K1914">
        <v>1</v>
      </c>
      <c r="L1914">
        <f>Résultats!G$32+Résultats!G$33*Données!C1914+Résultats!G$34*Données!D1914+Résultats!G$35*Données!E1914+Résultats!G$36*Données!F1914+Résultats!G$37*Données!G1914+Résultats!G$38*Données!H1914+Résultats!G$39*Données!I1914</f>
        <v>130931.27987687943</v>
      </c>
      <c r="M1914">
        <f t="shared" si="116"/>
        <v>11068.720123120569</v>
      </c>
      <c r="Q1914">
        <v>85000</v>
      </c>
      <c r="R1914">
        <v>1</v>
      </c>
      <c r="S1914">
        <v>28</v>
      </c>
      <c r="T1914">
        <v>0</v>
      </c>
      <c r="U1914">
        <f t="shared" si="117"/>
        <v>11.407564949312402</v>
      </c>
      <c r="V1914">
        <f t="shared" si="118"/>
        <v>8.2403851155163341</v>
      </c>
      <c r="W1914">
        <v>1</v>
      </c>
      <c r="X1914">
        <v>0</v>
      </c>
      <c r="Y1914">
        <v>0</v>
      </c>
      <c r="Z1914">
        <f>'Résultat (Ln)'!F$30+'Résultat (Ln)'!F$31*Données!S1914+'Résultat (Ln)'!F$32*Données!T1914+'Résultat (Ln)'!F$33*Données!U1914+'Résultat (Ln)'!F$34*Données!V1914+'Résultat (Ln)'!F$35*Données!W1914+'Résultat (Ln)'!F$36*Données!X1914+'Résultat (Ln)'!F$37*Données!Y1914</f>
        <v>62849.672127655438</v>
      </c>
      <c r="AA1914">
        <f t="shared" si="119"/>
        <v>22150.327872344562</v>
      </c>
    </row>
    <row r="1915" spans="1:27" x14ac:dyDescent="0.25">
      <c r="A1915">
        <v>85000</v>
      </c>
      <c r="B1915">
        <v>1</v>
      </c>
      <c r="C1915">
        <v>34</v>
      </c>
      <c r="D1915">
        <v>0</v>
      </c>
      <c r="E1915">
        <v>95000</v>
      </c>
      <c r="F1915">
        <v>1248</v>
      </c>
      <c r="G1915">
        <v>1</v>
      </c>
      <c r="H1915">
        <v>1</v>
      </c>
      <c r="I1915">
        <v>0</v>
      </c>
      <c r="J1915">
        <v>29</v>
      </c>
      <c r="K1915">
        <v>1</v>
      </c>
      <c r="L1915">
        <f>Résultats!G$32+Résultats!G$33*Données!C1915+Résultats!G$34*Données!D1915+Résultats!G$35*Données!E1915+Résultats!G$36*Données!F1915+Résultats!G$37*Données!G1915+Résultats!G$38*Données!H1915+Résultats!G$39*Données!I1915</f>
        <v>87786.660044121614</v>
      </c>
      <c r="M1915">
        <f t="shared" si="116"/>
        <v>-2786.6600441216142</v>
      </c>
      <c r="Q1915">
        <v>142000</v>
      </c>
      <c r="R1915">
        <v>1</v>
      </c>
      <c r="S1915">
        <v>32</v>
      </c>
      <c r="T1915">
        <v>0</v>
      </c>
      <c r="U1915">
        <f t="shared" si="117"/>
        <v>12.089538829274222</v>
      </c>
      <c r="V1915">
        <f t="shared" si="118"/>
        <v>8.2581633615376191</v>
      </c>
      <c r="W1915">
        <v>1</v>
      </c>
      <c r="X1915">
        <v>0</v>
      </c>
      <c r="Y1915">
        <v>0</v>
      </c>
      <c r="Z1915">
        <f>'Résultat (Ln)'!F$30+'Résultat (Ln)'!F$31*Données!S1915+'Résultat (Ln)'!F$32*Données!T1915+'Résultat (Ln)'!F$33*Données!U1915+'Résultat (Ln)'!F$34*Données!V1915+'Résultat (Ln)'!F$35*Données!W1915+'Résultat (Ln)'!F$36*Données!X1915+'Résultat (Ln)'!F$37*Données!Y1915</f>
        <v>141341.01733590203</v>
      </c>
      <c r="AA1915">
        <f t="shared" si="119"/>
        <v>658.98266409797361</v>
      </c>
    </row>
    <row r="1916" spans="1:27" x14ac:dyDescent="0.25">
      <c r="A1916">
        <v>260000</v>
      </c>
      <c r="B1916">
        <v>1</v>
      </c>
      <c r="C1916">
        <v>13</v>
      </c>
      <c r="D1916">
        <v>0</v>
      </c>
      <c r="E1916">
        <v>325000</v>
      </c>
      <c r="F1916">
        <v>16120</v>
      </c>
      <c r="G1916">
        <v>1</v>
      </c>
      <c r="H1916">
        <v>0</v>
      </c>
      <c r="I1916">
        <v>1</v>
      </c>
      <c r="J1916">
        <v>12</v>
      </c>
      <c r="K1916">
        <v>1</v>
      </c>
      <c r="L1916">
        <f>Résultats!G$32+Résultats!G$33*Données!C1916+Résultats!G$34*Données!D1916+Résultats!G$35*Données!E1916+Résultats!G$36*Données!F1916+Résultats!G$37*Données!G1916+Résultats!G$38*Données!H1916+Résultats!G$39*Données!I1916</f>
        <v>211433.34091701859</v>
      </c>
      <c r="M1916">
        <f t="shared" si="116"/>
        <v>48566.659082981409</v>
      </c>
      <c r="Q1916">
        <v>85000</v>
      </c>
      <c r="R1916">
        <v>1</v>
      </c>
      <c r="S1916">
        <v>34</v>
      </c>
      <c r="T1916">
        <v>0</v>
      </c>
      <c r="U1916">
        <f t="shared" si="117"/>
        <v>11.461632170582678</v>
      </c>
      <c r="V1916">
        <f t="shared" si="118"/>
        <v>7.1292975489293733</v>
      </c>
      <c r="W1916">
        <v>1</v>
      </c>
      <c r="X1916">
        <v>1</v>
      </c>
      <c r="Y1916">
        <v>0</v>
      </c>
      <c r="Z1916">
        <f>'Résultat (Ln)'!F$30+'Résultat (Ln)'!F$31*Données!S1916+'Résultat (Ln)'!F$32*Données!T1916+'Résultat (Ln)'!F$33*Données!U1916+'Résultat (Ln)'!F$34*Données!V1916+'Résultat (Ln)'!F$35*Données!W1916+'Résultat (Ln)'!F$36*Données!X1916+'Résultat (Ln)'!F$37*Données!Y1916</f>
        <v>44638.813512194116</v>
      </c>
      <c r="AA1916">
        <f t="shared" si="119"/>
        <v>40361.186487805884</v>
      </c>
    </row>
    <row r="1917" spans="1:27" x14ac:dyDescent="0.25">
      <c r="A1917">
        <v>135000</v>
      </c>
      <c r="B1917">
        <v>1</v>
      </c>
      <c r="C1917">
        <v>28</v>
      </c>
      <c r="D1917">
        <v>0</v>
      </c>
      <c r="E1917">
        <v>245000</v>
      </c>
      <c r="F1917">
        <v>3604</v>
      </c>
      <c r="G1917">
        <v>1</v>
      </c>
      <c r="H1917">
        <v>0</v>
      </c>
      <c r="I1917">
        <v>0</v>
      </c>
      <c r="J1917">
        <v>27</v>
      </c>
      <c r="K1917">
        <v>1</v>
      </c>
      <c r="L1917">
        <f>Résultats!G$32+Résultats!G$33*Données!C1917+Résultats!G$34*Données!D1917+Résultats!G$35*Données!E1917+Résultats!G$36*Données!F1917+Résultats!G$37*Données!G1917+Résultats!G$38*Données!H1917+Résultats!G$39*Données!I1917</f>
        <v>157128.33158320631</v>
      </c>
      <c r="M1917">
        <f t="shared" si="116"/>
        <v>-22128.331583206309</v>
      </c>
      <c r="Q1917">
        <v>260000</v>
      </c>
      <c r="R1917">
        <v>1</v>
      </c>
      <c r="S1917">
        <v>13</v>
      </c>
      <c r="T1917">
        <v>0</v>
      </c>
      <c r="U1917">
        <f t="shared" si="117"/>
        <v>12.691580461311874</v>
      </c>
      <c r="V1917">
        <f t="shared" si="118"/>
        <v>9.6878160160606193</v>
      </c>
      <c r="W1917">
        <v>1</v>
      </c>
      <c r="X1917">
        <v>0</v>
      </c>
      <c r="Y1917">
        <v>1</v>
      </c>
      <c r="Z1917">
        <f>'Résultat (Ln)'!F$30+'Résultat (Ln)'!F$31*Données!S1917+'Résultat (Ln)'!F$32*Données!T1917+'Résultat (Ln)'!F$33*Données!U1917+'Résultat (Ln)'!F$34*Données!V1917+'Résultat (Ln)'!F$35*Données!W1917+'Résultat (Ln)'!F$36*Données!X1917+'Résultat (Ln)'!F$37*Données!Y1917</f>
        <v>236841.10581438118</v>
      </c>
      <c r="AA1917">
        <f t="shared" si="119"/>
        <v>23158.894185618818</v>
      </c>
    </row>
    <row r="1918" spans="1:27" x14ac:dyDescent="0.25">
      <c r="A1918">
        <v>110000</v>
      </c>
      <c r="B1918">
        <v>1</v>
      </c>
      <c r="C1918">
        <v>32.400001525878913</v>
      </c>
      <c r="D1918">
        <v>0</v>
      </c>
      <c r="E1918">
        <v>122500</v>
      </c>
      <c r="F1918">
        <v>3833</v>
      </c>
      <c r="G1918">
        <v>0</v>
      </c>
      <c r="H1918">
        <v>0</v>
      </c>
      <c r="I1918">
        <v>0</v>
      </c>
      <c r="J1918">
        <v>30.020000457763668</v>
      </c>
      <c r="K1918">
        <v>1</v>
      </c>
      <c r="L1918">
        <f>Résultats!G$32+Résultats!G$33*Données!C1918+Résultats!G$34*Données!D1918+Résultats!G$35*Données!E1918+Résultats!G$36*Données!F1918+Résultats!G$37*Données!G1918+Résultats!G$38*Données!H1918+Résultats!G$39*Données!I1918</f>
        <v>98407.842417369728</v>
      </c>
      <c r="M1918">
        <f t="shared" si="116"/>
        <v>11592.157582630272</v>
      </c>
      <c r="Q1918">
        <v>135000</v>
      </c>
      <c r="R1918">
        <v>1</v>
      </c>
      <c r="S1918">
        <v>28</v>
      </c>
      <c r="T1918">
        <v>0</v>
      </c>
      <c r="U1918">
        <f t="shared" si="117"/>
        <v>12.409013489526863</v>
      </c>
      <c r="V1918">
        <f t="shared" si="118"/>
        <v>8.1897996187282285</v>
      </c>
      <c r="W1918">
        <v>1</v>
      </c>
      <c r="X1918">
        <v>0</v>
      </c>
      <c r="Y1918">
        <v>0</v>
      </c>
      <c r="Z1918">
        <f>'Résultat (Ln)'!F$30+'Résultat (Ln)'!F$31*Données!S1918+'Résultat (Ln)'!F$32*Données!T1918+'Résultat (Ln)'!F$33*Données!U1918+'Résultat (Ln)'!F$34*Données!V1918+'Résultat (Ln)'!F$35*Données!W1918+'Résultat (Ln)'!F$36*Données!X1918+'Résultat (Ln)'!F$37*Données!Y1918</f>
        <v>168781.80523893479</v>
      </c>
      <c r="AA1918">
        <f t="shared" si="119"/>
        <v>-33781.805238934787</v>
      </c>
    </row>
    <row r="1919" spans="1:27" x14ac:dyDescent="0.25">
      <c r="A1919">
        <v>187000</v>
      </c>
      <c r="B1919">
        <v>1</v>
      </c>
      <c r="C1919">
        <v>37</v>
      </c>
      <c r="D1919">
        <v>0</v>
      </c>
      <c r="E1919">
        <v>234000</v>
      </c>
      <c r="F1919">
        <v>6383</v>
      </c>
      <c r="G1919">
        <v>1</v>
      </c>
      <c r="H1919">
        <v>0</v>
      </c>
      <c r="I1919">
        <v>0</v>
      </c>
      <c r="J1919">
        <v>32</v>
      </c>
      <c r="K1919">
        <v>1</v>
      </c>
      <c r="L1919">
        <f>Résultats!G$32+Résultats!G$33*Données!C1919+Résultats!G$34*Données!D1919+Résultats!G$35*Données!E1919+Résultats!G$36*Données!F1919+Résultats!G$37*Données!G1919+Résultats!G$38*Données!H1919+Résultats!G$39*Données!I1919</f>
        <v>167714.99012930252</v>
      </c>
      <c r="M1919">
        <f t="shared" si="116"/>
        <v>19285.009870697482</v>
      </c>
      <c r="Q1919">
        <v>110000</v>
      </c>
      <c r="R1919">
        <v>1</v>
      </c>
      <c r="S1919">
        <v>32.400001525878913</v>
      </c>
      <c r="T1919">
        <v>0</v>
      </c>
      <c r="U1919">
        <f t="shared" si="117"/>
        <v>11.715866308966918</v>
      </c>
      <c r="V1919">
        <f t="shared" si="118"/>
        <v>8.2514030653805559</v>
      </c>
      <c r="W1919">
        <v>0</v>
      </c>
      <c r="X1919">
        <v>0</v>
      </c>
      <c r="Y1919">
        <v>0</v>
      </c>
      <c r="Z1919">
        <f>'Résultat (Ln)'!F$30+'Résultat (Ln)'!F$31*Données!S1919+'Résultat (Ln)'!F$32*Données!T1919+'Résultat (Ln)'!F$33*Données!U1919+'Résultat (Ln)'!F$34*Données!V1919+'Résultat (Ln)'!F$35*Données!W1919+'Résultat (Ln)'!F$36*Données!X1919+'Résultat (Ln)'!F$37*Données!Y1919</f>
        <v>97070.169400868355</v>
      </c>
      <c r="AA1919">
        <f t="shared" si="119"/>
        <v>12929.830599131645</v>
      </c>
    </row>
    <row r="1920" spans="1:27" x14ac:dyDescent="0.25">
      <c r="A1920">
        <v>123000</v>
      </c>
      <c r="B1920">
        <v>1</v>
      </c>
      <c r="C1920">
        <v>32</v>
      </c>
      <c r="D1920">
        <v>0</v>
      </c>
      <c r="E1920">
        <v>154000</v>
      </c>
      <c r="F1920">
        <v>2750</v>
      </c>
      <c r="G1920">
        <v>0</v>
      </c>
      <c r="H1920">
        <v>0</v>
      </c>
      <c r="I1920">
        <v>0</v>
      </c>
      <c r="J1920">
        <v>25.79999923706055</v>
      </c>
      <c r="K1920">
        <v>1</v>
      </c>
      <c r="L1920">
        <f>Résultats!G$32+Résultats!G$33*Données!C1920+Résultats!G$34*Données!D1920+Résultats!G$35*Données!E1920+Résultats!G$36*Données!F1920+Résultats!G$37*Données!G1920+Résultats!G$38*Données!H1920+Résultats!G$39*Données!I1920</f>
        <v>110558.7767590647</v>
      </c>
      <c r="M1920">
        <f t="shared" si="116"/>
        <v>12441.223240935302</v>
      </c>
      <c r="Q1920">
        <v>187000</v>
      </c>
      <c r="R1920">
        <v>1</v>
      </c>
      <c r="S1920">
        <v>37</v>
      </c>
      <c r="T1920">
        <v>0</v>
      </c>
      <c r="U1920">
        <f t="shared" si="117"/>
        <v>12.363076394339839</v>
      </c>
      <c r="V1920">
        <f t="shared" si="118"/>
        <v>8.7613934852560575</v>
      </c>
      <c r="W1920">
        <v>1</v>
      </c>
      <c r="X1920">
        <v>0</v>
      </c>
      <c r="Y1920">
        <v>0</v>
      </c>
      <c r="Z1920">
        <f>'Résultat (Ln)'!F$30+'Résultat (Ln)'!F$31*Données!S1920+'Résultat (Ln)'!F$32*Données!T1920+'Résultat (Ln)'!F$33*Données!U1920+'Résultat (Ln)'!F$34*Données!V1920+'Résultat (Ln)'!F$35*Données!W1920+'Résultat (Ln)'!F$36*Données!X1920+'Résultat (Ln)'!F$37*Données!Y1920</f>
        <v>190886.7242211384</v>
      </c>
      <c r="AA1920">
        <f t="shared" si="119"/>
        <v>-3886.7242211384</v>
      </c>
    </row>
    <row r="1921" spans="1:27" x14ac:dyDescent="0.25">
      <c r="A1921">
        <v>88000</v>
      </c>
      <c r="B1921">
        <v>1</v>
      </c>
      <c r="C1921">
        <v>66</v>
      </c>
      <c r="D1921">
        <v>0</v>
      </c>
      <c r="E1921">
        <v>97500</v>
      </c>
      <c r="F1921">
        <v>2987</v>
      </c>
      <c r="G1921">
        <v>0</v>
      </c>
      <c r="H1921">
        <v>0</v>
      </c>
      <c r="I1921">
        <v>0</v>
      </c>
      <c r="J1921">
        <v>31</v>
      </c>
      <c r="K1921">
        <v>1</v>
      </c>
      <c r="L1921">
        <f>Résultats!G$32+Résultats!G$33*Données!C1921+Résultats!G$34*Données!D1921+Résultats!G$35*Données!E1921+Résultats!G$36*Données!F1921+Résultats!G$37*Données!G1921+Résultats!G$38*Données!H1921+Résultats!G$39*Données!I1921</f>
        <v>123689.96557474873</v>
      </c>
      <c r="M1921">
        <f t="shared" si="116"/>
        <v>-35689.965574748727</v>
      </c>
      <c r="Q1921">
        <v>123000</v>
      </c>
      <c r="R1921">
        <v>1</v>
      </c>
      <c r="S1921">
        <v>32</v>
      </c>
      <c r="T1921">
        <v>0</v>
      </c>
      <c r="U1921">
        <f t="shared" si="117"/>
        <v>11.944707881395766</v>
      </c>
      <c r="V1921">
        <f t="shared" si="118"/>
        <v>7.9193561906606167</v>
      </c>
      <c r="W1921">
        <v>0</v>
      </c>
      <c r="X1921">
        <v>0</v>
      </c>
      <c r="Y1921">
        <v>0</v>
      </c>
      <c r="Z1921">
        <f>'Résultat (Ln)'!F$30+'Résultat (Ln)'!F$31*Données!S1921+'Résultat (Ln)'!F$32*Données!T1921+'Résultat (Ln)'!F$33*Données!U1921+'Résultat (Ln)'!F$34*Données!V1921+'Résultat (Ln)'!F$35*Données!W1921+'Résultat (Ln)'!F$36*Données!X1921+'Résultat (Ln)'!F$37*Données!Y1921</f>
        <v>111799.63524238401</v>
      </c>
      <c r="AA1921">
        <f t="shared" si="119"/>
        <v>11200.364757615986</v>
      </c>
    </row>
    <row r="1922" spans="1:27" x14ac:dyDescent="0.25">
      <c r="A1922">
        <v>186000</v>
      </c>
      <c r="B1922">
        <v>1</v>
      </c>
      <c r="C1922">
        <v>25.5</v>
      </c>
      <c r="D1922">
        <v>1</v>
      </c>
      <c r="E1922">
        <v>235000</v>
      </c>
      <c r="F1922">
        <v>2419</v>
      </c>
      <c r="G1922">
        <v>1</v>
      </c>
      <c r="H1922">
        <v>1</v>
      </c>
      <c r="I1922">
        <v>0</v>
      </c>
      <c r="J1922">
        <v>17.10000038146973</v>
      </c>
      <c r="K1922">
        <v>1</v>
      </c>
      <c r="L1922">
        <f>Résultats!G$32+Résultats!G$33*Données!C1922+Résultats!G$34*Données!D1922+Résultats!G$35*Données!E1922+Résultats!G$36*Données!F1922+Résultats!G$37*Données!G1922+Résultats!G$38*Données!H1922+Résultats!G$39*Données!I1922</f>
        <v>150513.8171563783</v>
      </c>
      <c r="M1922">
        <f t="shared" si="116"/>
        <v>35486.182843621704</v>
      </c>
      <c r="Q1922">
        <v>88000</v>
      </c>
      <c r="R1922">
        <v>1</v>
      </c>
      <c r="S1922">
        <v>66</v>
      </c>
      <c r="T1922">
        <v>0</v>
      </c>
      <c r="U1922">
        <f t="shared" si="117"/>
        <v>11.487607656985938</v>
      </c>
      <c r="V1922">
        <f t="shared" si="118"/>
        <v>8.0020248182161104</v>
      </c>
      <c r="W1922">
        <v>0</v>
      </c>
      <c r="X1922">
        <v>0</v>
      </c>
      <c r="Y1922">
        <v>0</v>
      </c>
      <c r="Z1922">
        <f>'Résultat (Ln)'!F$30+'Résultat (Ln)'!F$31*Données!S1922+'Résultat (Ln)'!F$32*Données!T1922+'Résultat (Ln)'!F$33*Données!U1922+'Résultat (Ln)'!F$34*Données!V1922+'Résultat (Ln)'!F$35*Données!W1922+'Résultat (Ln)'!F$36*Données!X1922+'Résultat (Ln)'!F$37*Données!Y1922</f>
        <v>106668.41795949932</v>
      </c>
      <c r="AA1922">
        <f t="shared" si="119"/>
        <v>-18668.417959499318</v>
      </c>
    </row>
    <row r="1923" spans="1:27" x14ac:dyDescent="0.25">
      <c r="A1923">
        <v>180000</v>
      </c>
      <c r="B1923">
        <v>1</v>
      </c>
      <c r="C1923">
        <v>24.39999961853027</v>
      </c>
      <c r="D1923">
        <v>0</v>
      </c>
      <c r="E1923">
        <v>240000</v>
      </c>
      <c r="F1923">
        <v>9963</v>
      </c>
      <c r="G1923">
        <v>1</v>
      </c>
      <c r="H1923">
        <v>0</v>
      </c>
      <c r="I1923">
        <v>1</v>
      </c>
      <c r="J1923">
        <v>20.39999961853027</v>
      </c>
      <c r="K1923">
        <v>1</v>
      </c>
      <c r="L1923">
        <f>Résultats!G$32+Résultats!G$33*Données!C1923+Résultats!G$34*Données!D1923+Résultats!G$35*Données!E1923+Résultats!G$36*Données!F1923+Résultats!G$37*Données!G1923+Résultats!G$38*Données!H1923+Résultats!G$39*Données!I1923</f>
        <v>172906.19815264645</v>
      </c>
      <c r="M1923">
        <f t="shared" ref="M1923:M1968" si="120">A1923-L1923</f>
        <v>7093.8018473535485</v>
      </c>
      <c r="Q1923">
        <v>186000</v>
      </c>
      <c r="R1923">
        <v>1</v>
      </c>
      <c r="S1923">
        <v>25.5</v>
      </c>
      <c r="T1923">
        <v>1</v>
      </c>
      <c r="U1923">
        <f t="shared" si="117"/>
        <v>12.367340793126296</v>
      </c>
      <c r="V1923">
        <f t="shared" si="118"/>
        <v>7.7911095106100277</v>
      </c>
      <c r="W1923">
        <v>1</v>
      </c>
      <c r="X1923">
        <v>1</v>
      </c>
      <c r="Y1923">
        <v>0</v>
      </c>
      <c r="Z1923">
        <f>'Résultat (Ln)'!F$30+'Résultat (Ln)'!F$31*Données!S1923+'Résultat (Ln)'!F$32*Données!T1923+'Résultat (Ln)'!F$33*Données!U1923+'Résultat (Ln)'!F$34*Données!V1923+'Résultat (Ln)'!F$35*Données!W1923+'Résultat (Ln)'!F$36*Données!X1923+'Résultat (Ln)'!F$37*Données!Y1923</f>
        <v>154249.26724916906</v>
      </c>
      <c r="AA1923">
        <f t="shared" si="119"/>
        <v>31750.732750830939</v>
      </c>
    </row>
    <row r="1924" spans="1:27" x14ac:dyDescent="0.25">
      <c r="A1924">
        <v>20000</v>
      </c>
      <c r="B1924">
        <v>1</v>
      </c>
      <c r="C1924">
        <v>11.30000019073486</v>
      </c>
      <c r="D1924">
        <v>0</v>
      </c>
      <c r="E1924">
        <v>220000</v>
      </c>
      <c r="F1924">
        <v>2560</v>
      </c>
      <c r="G1924">
        <v>1</v>
      </c>
      <c r="H1924">
        <v>0</v>
      </c>
      <c r="I1924">
        <v>1</v>
      </c>
      <c r="J1924">
        <v>11.30000019073486</v>
      </c>
      <c r="K1924">
        <v>1</v>
      </c>
      <c r="L1924">
        <f>Résultats!G$32+Résultats!G$33*Données!C1924+Résultats!G$34*Données!D1924+Résultats!G$35*Données!E1924+Résultats!G$36*Données!F1924+Résultats!G$37*Données!G1924+Résultats!G$38*Données!H1924+Résultats!G$39*Données!I1924</f>
        <v>134174.1116013359</v>
      </c>
      <c r="M1924">
        <f t="shared" si="120"/>
        <v>-114174.1116013359</v>
      </c>
      <c r="Q1924">
        <v>180000</v>
      </c>
      <c r="R1924">
        <v>1</v>
      </c>
      <c r="S1924">
        <v>24.39999961853027</v>
      </c>
      <c r="T1924">
        <v>0</v>
      </c>
      <c r="U1924">
        <f t="shared" ref="U1924:U1969" si="121">LN(E1923)</f>
        <v>12.388394202324129</v>
      </c>
      <c r="V1924">
        <f t="shared" ref="V1924:V1969" si="122">LN(F1923)</f>
        <v>9.2066335100448562</v>
      </c>
      <c r="W1924">
        <v>1</v>
      </c>
      <c r="X1924">
        <v>0</v>
      </c>
      <c r="Y1924">
        <v>1</v>
      </c>
      <c r="Z1924">
        <f>'Résultat (Ln)'!F$30+'Résultat (Ln)'!F$31*Données!S1924+'Résultat (Ln)'!F$32*Données!T1924+'Résultat (Ln)'!F$33*Données!U1924+'Résultat (Ln)'!F$34*Données!V1924+'Résultat (Ln)'!F$35*Données!W1924+'Résultat (Ln)'!F$36*Données!X1924+'Résultat (Ln)'!F$37*Données!Y1924</f>
        <v>204777.00474459288</v>
      </c>
      <c r="AA1924">
        <f t="shared" ref="AA1924:AA1969" si="123">Q1924-Z1924</f>
        <v>-24777.004744592879</v>
      </c>
    </row>
    <row r="1925" spans="1:27" x14ac:dyDescent="0.25">
      <c r="A1925">
        <v>122000</v>
      </c>
      <c r="B1925">
        <v>1</v>
      </c>
      <c r="C1925">
        <v>27</v>
      </c>
      <c r="D1925">
        <v>0</v>
      </c>
      <c r="E1925">
        <v>151000</v>
      </c>
      <c r="F1925">
        <v>3666</v>
      </c>
      <c r="G1925">
        <v>1</v>
      </c>
      <c r="H1925">
        <v>0</v>
      </c>
      <c r="I1925">
        <v>0</v>
      </c>
      <c r="J1925">
        <v>20</v>
      </c>
      <c r="K1925">
        <v>0</v>
      </c>
      <c r="L1925">
        <f>Résultats!G$32+Résultats!G$33*Données!C1925+Résultats!G$34*Données!D1925+Résultats!G$35*Données!E1925+Résultats!G$36*Données!F1925+Résultats!G$37*Données!G1925+Résultats!G$38*Données!H1925+Résultats!G$39*Données!I1925</f>
        <v>112206.19676553915</v>
      </c>
      <c r="M1925">
        <f t="shared" si="120"/>
        <v>9793.8032344608509</v>
      </c>
      <c r="Q1925">
        <v>20000</v>
      </c>
      <c r="R1925">
        <v>1</v>
      </c>
      <c r="S1925">
        <v>11.30000019073486</v>
      </c>
      <c r="T1925">
        <v>0</v>
      </c>
      <c r="U1925">
        <f t="shared" si="121"/>
        <v>12.301382825334498</v>
      </c>
      <c r="V1925">
        <f t="shared" si="122"/>
        <v>7.8477625374736082</v>
      </c>
      <c r="W1925">
        <v>1</v>
      </c>
      <c r="X1925">
        <v>0</v>
      </c>
      <c r="Y1925">
        <v>1</v>
      </c>
      <c r="Z1925">
        <f>'Résultat (Ln)'!F$30+'Résultat (Ln)'!F$31*Données!S1925+'Résultat (Ln)'!F$32*Données!T1925+'Résultat (Ln)'!F$33*Données!U1925+'Résultat (Ln)'!F$34*Données!V1925+'Résultat (Ln)'!F$35*Données!W1925+'Résultat (Ln)'!F$36*Données!X1925+'Résultat (Ln)'!F$37*Données!Y1925</f>
        <v>141330.42105399206</v>
      </c>
      <c r="AA1925">
        <f t="shared" si="123"/>
        <v>-121330.42105399206</v>
      </c>
    </row>
    <row r="1926" spans="1:27" x14ac:dyDescent="0.25">
      <c r="A1926">
        <v>192000</v>
      </c>
      <c r="B1926">
        <v>1</v>
      </c>
      <c r="C1926">
        <v>36</v>
      </c>
      <c r="D1926">
        <v>0</v>
      </c>
      <c r="E1926">
        <v>213000</v>
      </c>
      <c r="F1926">
        <v>5780</v>
      </c>
      <c r="G1926">
        <v>1</v>
      </c>
      <c r="H1926">
        <v>0</v>
      </c>
      <c r="I1926">
        <v>0</v>
      </c>
      <c r="J1926">
        <v>34</v>
      </c>
      <c r="K1926">
        <v>1</v>
      </c>
      <c r="L1926">
        <f>Résultats!G$32+Résultats!G$33*Données!C1926+Résultats!G$34*Données!D1926+Résultats!G$35*Données!E1926+Résultats!G$36*Données!F1926+Résultats!G$37*Données!G1926+Résultats!G$38*Données!H1926+Résultats!G$39*Données!I1926</f>
        <v>155591.81532650898</v>
      </c>
      <c r="M1926">
        <f t="shared" si="120"/>
        <v>36408.184673491021</v>
      </c>
      <c r="Q1926">
        <v>122000</v>
      </c>
      <c r="R1926">
        <v>1</v>
      </c>
      <c r="S1926">
        <v>27</v>
      </c>
      <c r="T1926">
        <v>0</v>
      </c>
      <c r="U1926">
        <f t="shared" si="121"/>
        <v>11.925035115797062</v>
      </c>
      <c r="V1926">
        <f t="shared" si="122"/>
        <v>8.2068564283996501</v>
      </c>
      <c r="W1926">
        <v>1</v>
      </c>
      <c r="X1926">
        <v>0</v>
      </c>
      <c r="Y1926">
        <v>0</v>
      </c>
      <c r="Z1926">
        <f>'Résultat (Ln)'!F$30+'Résultat (Ln)'!F$31*Données!S1926+'Résultat (Ln)'!F$32*Données!T1926+'Résultat (Ln)'!F$33*Données!U1926+'Résultat (Ln)'!F$34*Données!V1926+'Résultat (Ln)'!F$35*Données!W1926+'Résultat (Ln)'!F$36*Données!X1926+'Résultat (Ln)'!F$37*Données!Y1926</f>
        <v>116157.80012905561</v>
      </c>
      <c r="AA1926">
        <f t="shared" si="123"/>
        <v>5842.1998709443869</v>
      </c>
    </row>
    <row r="1927" spans="1:27" x14ac:dyDescent="0.25">
      <c r="A1927">
        <v>350000</v>
      </c>
      <c r="B1927">
        <v>1</v>
      </c>
      <c r="C1927">
        <v>12</v>
      </c>
      <c r="D1927">
        <v>1</v>
      </c>
      <c r="E1927">
        <v>440000</v>
      </c>
      <c r="F1927">
        <v>416</v>
      </c>
      <c r="G1927">
        <v>0</v>
      </c>
      <c r="H1927">
        <v>1</v>
      </c>
      <c r="I1927">
        <v>0</v>
      </c>
      <c r="J1927">
        <v>12</v>
      </c>
      <c r="K1927">
        <v>0</v>
      </c>
      <c r="L1927">
        <f>Résultats!G$32+Résultats!G$33*Données!C1927+Résultats!G$34*Données!D1927+Résultats!G$35*Données!E1927+Résultats!G$36*Données!F1927+Résultats!G$37*Données!G1927+Résultats!G$38*Données!H1927+Résultats!G$39*Données!I1927</f>
        <v>219834.18054151846</v>
      </c>
      <c r="M1927">
        <f t="shared" si="120"/>
        <v>130165.81945848154</v>
      </c>
      <c r="Q1927">
        <v>192000</v>
      </c>
      <c r="R1927">
        <v>1</v>
      </c>
      <c r="S1927">
        <v>36</v>
      </c>
      <c r="T1927">
        <v>0</v>
      </c>
      <c r="U1927">
        <f t="shared" si="121"/>
        <v>12.269047444691562</v>
      </c>
      <c r="V1927">
        <f t="shared" si="122"/>
        <v>8.6621589616664227</v>
      </c>
      <c r="W1927">
        <v>1</v>
      </c>
      <c r="X1927">
        <v>0</v>
      </c>
      <c r="Y1927">
        <v>0</v>
      </c>
      <c r="Z1927">
        <f>'Résultat (Ln)'!F$30+'Résultat (Ln)'!F$31*Données!S1927+'Résultat (Ln)'!F$32*Données!T1927+'Résultat (Ln)'!F$33*Données!U1927+'Résultat (Ln)'!F$34*Données!V1927+'Résultat (Ln)'!F$35*Données!W1927+'Résultat (Ln)'!F$36*Données!X1927+'Résultat (Ln)'!F$37*Données!Y1927</f>
        <v>176802.08584180297</v>
      </c>
      <c r="AA1927">
        <f t="shared" si="123"/>
        <v>15197.914158197033</v>
      </c>
    </row>
    <row r="1928" spans="1:27" x14ac:dyDescent="0.25">
      <c r="A1928">
        <v>155000</v>
      </c>
      <c r="B1928">
        <v>1</v>
      </c>
      <c r="C1928">
        <v>38</v>
      </c>
      <c r="D1928">
        <v>0</v>
      </c>
      <c r="E1928">
        <v>220000</v>
      </c>
      <c r="F1928">
        <v>2894</v>
      </c>
      <c r="G1928">
        <v>1</v>
      </c>
      <c r="H1928">
        <v>0</v>
      </c>
      <c r="I1928">
        <v>1</v>
      </c>
      <c r="J1928">
        <v>27</v>
      </c>
      <c r="K1928">
        <v>1</v>
      </c>
      <c r="L1928">
        <f>Résultats!G$32+Résultats!G$33*Données!C1928+Résultats!G$34*Données!D1928+Résultats!G$35*Données!E1928+Résultats!G$36*Données!F1928+Résultats!G$37*Données!G1928+Résultats!G$38*Données!H1928+Résultats!G$39*Données!I1928</f>
        <v>165490.83148485032</v>
      </c>
      <c r="M1928">
        <f t="shared" si="120"/>
        <v>-10490.831484850321</v>
      </c>
      <c r="Q1928">
        <v>350000</v>
      </c>
      <c r="R1928">
        <v>1</v>
      </c>
      <c r="S1928">
        <v>12</v>
      </c>
      <c r="T1928">
        <v>1</v>
      </c>
      <c r="U1928">
        <f t="shared" si="121"/>
        <v>12.994530005894443</v>
      </c>
      <c r="V1928">
        <f t="shared" si="122"/>
        <v>6.0306852602612633</v>
      </c>
      <c r="W1928">
        <v>0</v>
      </c>
      <c r="X1928">
        <v>1</v>
      </c>
      <c r="Y1928">
        <v>0</v>
      </c>
      <c r="Z1928">
        <f>'Résultat (Ln)'!F$30+'Résultat (Ln)'!F$31*Données!S1928+'Résultat (Ln)'!F$32*Données!T1928+'Résultat (Ln)'!F$33*Données!U1928+'Résultat (Ln)'!F$34*Données!V1928+'Résultat (Ln)'!F$35*Données!W1928+'Résultat (Ln)'!F$36*Données!X1928+'Résultat (Ln)'!F$37*Données!Y1928</f>
        <v>151097.09228203518</v>
      </c>
      <c r="AA1928">
        <f t="shared" si="123"/>
        <v>198902.90771796482</v>
      </c>
    </row>
    <row r="1929" spans="1:27" x14ac:dyDescent="0.25">
      <c r="A1929">
        <v>103000</v>
      </c>
      <c r="B1929">
        <v>1</v>
      </c>
      <c r="C1929">
        <v>33</v>
      </c>
      <c r="D1929">
        <v>0</v>
      </c>
      <c r="E1929">
        <v>127000</v>
      </c>
      <c r="F1929">
        <v>2872</v>
      </c>
      <c r="G1929">
        <v>1</v>
      </c>
      <c r="H1929">
        <v>0</v>
      </c>
      <c r="I1929">
        <v>1</v>
      </c>
      <c r="J1929">
        <v>22</v>
      </c>
      <c r="K1929">
        <v>1</v>
      </c>
      <c r="L1929">
        <f>Résultats!G$32+Résultats!G$33*Données!C1929+Résultats!G$34*Données!D1929+Résultats!G$35*Données!E1929+Résultats!G$36*Données!F1929+Résultats!G$37*Données!G1929+Résultats!G$38*Données!H1929+Résultats!G$39*Données!I1929</f>
        <v>116278.19428066137</v>
      </c>
      <c r="M1929">
        <f t="shared" si="120"/>
        <v>-13278.194280661366</v>
      </c>
      <c r="Q1929">
        <v>155000</v>
      </c>
      <c r="R1929">
        <v>1</v>
      </c>
      <c r="S1929">
        <v>38</v>
      </c>
      <c r="T1929">
        <v>0</v>
      </c>
      <c r="U1929">
        <f t="shared" si="121"/>
        <v>12.301382825334498</v>
      </c>
      <c r="V1929">
        <f t="shared" si="122"/>
        <v>7.9703949071914293</v>
      </c>
      <c r="W1929">
        <v>1</v>
      </c>
      <c r="X1929">
        <v>0</v>
      </c>
      <c r="Y1929">
        <v>1</v>
      </c>
      <c r="Z1929">
        <f>'Résultat (Ln)'!F$30+'Résultat (Ln)'!F$31*Données!S1929+'Résultat (Ln)'!F$32*Données!T1929+'Résultat (Ln)'!F$33*Données!U1929+'Résultat (Ln)'!F$34*Données!V1929+'Résultat (Ln)'!F$35*Données!W1929+'Résultat (Ln)'!F$36*Données!X1929+'Résultat (Ln)'!F$37*Données!Y1929</f>
        <v>177398.23674809156</v>
      </c>
      <c r="AA1929">
        <f t="shared" si="123"/>
        <v>-22398.236748091556</v>
      </c>
    </row>
    <row r="1930" spans="1:27" x14ac:dyDescent="0.25">
      <c r="A1930">
        <v>60000</v>
      </c>
      <c r="B1930">
        <v>1</v>
      </c>
      <c r="C1930">
        <v>27</v>
      </c>
      <c r="D1930">
        <v>0</v>
      </c>
      <c r="E1930">
        <v>120000</v>
      </c>
      <c r="F1930">
        <v>2500</v>
      </c>
      <c r="G1930">
        <v>0</v>
      </c>
      <c r="H1930">
        <v>0</v>
      </c>
      <c r="I1930">
        <v>0</v>
      </c>
      <c r="J1930">
        <v>27</v>
      </c>
      <c r="K1930">
        <v>1</v>
      </c>
      <c r="L1930">
        <f>Résultats!G$32+Résultats!G$33*Données!C1930+Résultats!G$34*Données!D1930+Résultats!G$35*Données!E1930+Résultats!G$36*Données!F1930+Résultats!G$37*Données!G1930+Résultats!G$38*Données!H1930+Résultats!G$39*Données!I1930</f>
        <v>88454.56688716801</v>
      </c>
      <c r="M1930">
        <f t="shared" si="120"/>
        <v>-28454.56688716801</v>
      </c>
      <c r="Q1930">
        <v>103000</v>
      </c>
      <c r="R1930">
        <v>1</v>
      </c>
      <c r="S1930">
        <v>33</v>
      </c>
      <c r="T1930">
        <v>0</v>
      </c>
      <c r="U1930">
        <f t="shared" si="121"/>
        <v>11.751942365440728</v>
      </c>
      <c r="V1930">
        <f t="shared" si="122"/>
        <v>7.9627639301681148</v>
      </c>
      <c r="W1930">
        <v>1</v>
      </c>
      <c r="X1930">
        <v>0</v>
      </c>
      <c r="Y1930">
        <v>1</v>
      </c>
      <c r="Z1930">
        <f>'Résultat (Ln)'!F$30+'Résultat (Ln)'!F$31*Données!S1930+'Résultat (Ln)'!F$32*Données!T1930+'Résultat (Ln)'!F$33*Données!U1930+'Résultat (Ln)'!F$34*Données!V1930+'Résultat (Ln)'!F$35*Données!W1930+'Résultat (Ln)'!F$36*Données!X1930+'Résultat (Ln)'!F$37*Données!Y1930</f>
        <v>112176.43380457423</v>
      </c>
      <c r="AA1930">
        <f t="shared" si="123"/>
        <v>-9176.4338045742334</v>
      </c>
    </row>
    <row r="1931" spans="1:27" x14ac:dyDescent="0.25">
      <c r="A1931">
        <v>128000</v>
      </c>
      <c r="B1931">
        <v>1</v>
      </c>
      <c r="C1931">
        <v>24</v>
      </c>
      <c r="D1931">
        <v>0</v>
      </c>
      <c r="E1931">
        <v>135000</v>
      </c>
      <c r="F1931">
        <v>5703</v>
      </c>
      <c r="G1931">
        <v>1</v>
      </c>
      <c r="H1931">
        <v>0</v>
      </c>
      <c r="I1931">
        <v>0</v>
      </c>
      <c r="J1931">
        <v>23</v>
      </c>
      <c r="K1931">
        <v>1</v>
      </c>
      <c r="L1931">
        <f>Résultats!G$32+Résultats!G$33*Données!C1931+Résultats!G$34*Données!D1931+Résultats!G$35*Données!E1931+Résultats!G$36*Données!F1931+Résultats!G$37*Données!G1931+Résultats!G$38*Données!H1931+Résultats!G$39*Données!I1931</f>
        <v>105236.20619346864</v>
      </c>
      <c r="M1931">
        <f t="shared" si="120"/>
        <v>22763.793806531365</v>
      </c>
      <c r="Q1931">
        <v>60000</v>
      </c>
      <c r="R1931">
        <v>1</v>
      </c>
      <c r="S1931">
        <v>27</v>
      </c>
      <c r="T1931">
        <v>0</v>
      </c>
      <c r="U1931">
        <f t="shared" si="121"/>
        <v>11.695247021764184</v>
      </c>
      <c r="V1931">
        <f t="shared" si="122"/>
        <v>7.8240460108562919</v>
      </c>
      <c r="W1931">
        <v>0</v>
      </c>
      <c r="X1931">
        <v>0</v>
      </c>
      <c r="Y1931">
        <v>0</v>
      </c>
      <c r="Z1931">
        <f>'Résultat (Ln)'!F$30+'Résultat (Ln)'!F$31*Données!S1931+'Résultat (Ln)'!F$32*Données!T1931+'Résultat (Ln)'!F$33*Données!U1931+'Résultat (Ln)'!F$34*Données!V1931+'Résultat (Ln)'!F$35*Données!W1931+'Résultat (Ln)'!F$36*Données!X1931+'Résultat (Ln)'!F$37*Données!Y1931</f>
        <v>76275.282692610752</v>
      </c>
      <c r="AA1931">
        <f t="shared" si="123"/>
        <v>-16275.282692610752</v>
      </c>
    </row>
    <row r="1932" spans="1:27" x14ac:dyDescent="0.25">
      <c r="A1932">
        <v>76000</v>
      </c>
      <c r="B1932">
        <v>1</v>
      </c>
      <c r="C1932">
        <v>26.5</v>
      </c>
      <c r="D1932">
        <v>1</v>
      </c>
      <c r="E1932">
        <v>80000</v>
      </c>
      <c r="F1932">
        <v>3132</v>
      </c>
      <c r="G1932">
        <v>1</v>
      </c>
      <c r="H1932">
        <v>0</v>
      </c>
      <c r="I1932">
        <v>0</v>
      </c>
      <c r="J1932">
        <v>26.5</v>
      </c>
      <c r="K1932">
        <v>1</v>
      </c>
      <c r="L1932">
        <f>Résultats!G$32+Résultats!G$33*Données!C1932+Résultats!G$34*Données!D1932+Résultats!G$35*Données!E1932+Résultats!G$36*Données!F1932+Résultats!G$37*Données!G1932+Résultats!G$38*Données!H1932+Résultats!G$39*Données!I1932</f>
        <v>82291.649762201181</v>
      </c>
      <c r="M1932">
        <f t="shared" si="120"/>
        <v>-6291.6497622011811</v>
      </c>
      <c r="Q1932">
        <v>128000</v>
      </c>
      <c r="R1932">
        <v>1</v>
      </c>
      <c r="S1932">
        <v>24</v>
      </c>
      <c r="T1932">
        <v>0</v>
      </c>
      <c r="U1932">
        <f t="shared" si="121"/>
        <v>11.813030057420567</v>
      </c>
      <c r="V1932">
        <f t="shared" si="122"/>
        <v>8.6487476311565388</v>
      </c>
      <c r="W1932">
        <v>1</v>
      </c>
      <c r="X1932">
        <v>0</v>
      </c>
      <c r="Y1932">
        <v>0</v>
      </c>
      <c r="Z1932">
        <f>'Résultat (Ln)'!F$30+'Résultat (Ln)'!F$31*Données!S1932+'Résultat (Ln)'!F$32*Données!T1932+'Résultat (Ln)'!F$33*Données!U1932+'Résultat (Ln)'!F$34*Données!V1932+'Résultat (Ln)'!F$35*Données!W1932+'Résultat (Ln)'!F$36*Données!X1932+'Résultat (Ln)'!F$37*Données!Y1932</f>
        <v>112878.4206987217</v>
      </c>
      <c r="AA1932">
        <f t="shared" si="123"/>
        <v>15121.579301278296</v>
      </c>
    </row>
    <row r="1933" spans="1:27" x14ac:dyDescent="0.25">
      <c r="A1933">
        <v>136000</v>
      </c>
      <c r="B1933">
        <v>1</v>
      </c>
      <c r="C1933">
        <v>33</v>
      </c>
      <c r="D1933">
        <v>0</v>
      </c>
      <c r="E1933">
        <v>170000</v>
      </c>
      <c r="F1933">
        <v>2340</v>
      </c>
      <c r="G1933">
        <v>0</v>
      </c>
      <c r="H1933">
        <v>0</v>
      </c>
      <c r="I1933">
        <v>0</v>
      </c>
      <c r="J1933">
        <v>30</v>
      </c>
      <c r="K1933">
        <v>1</v>
      </c>
      <c r="L1933">
        <f>Résultats!G$32+Résultats!G$33*Données!C1933+Résultats!G$34*Données!D1933+Résultats!G$35*Données!E1933+Résultats!G$36*Données!F1933+Résultats!G$37*Données!G1933+Résultats!G$38*Données!H1933+Résultats!G$39*Données!I1933</f>
        <v>118384.20661698448</v>
      </c>
      <c r="M1933">
        <f t="shared" si="120"/>
        <v>17615.793383015523</v>
      </c>
      <c r="Q1933">
        <v>76000</v>
      </c>
      <c r="R1933">
        <v>1</v>
      </c>
      <c r="S1933">
        <v>26.5</v>
      </c>
      <c r="T1933">
        <v>1</v>
      </c>
      <c r="U1933">
        <f t="shared" si="121"/>
        <v>11.289781913656018</v>
      </c>
      <c r="V1933">
        <f t="shared" si="122"/>
        <v>8.0494270571106945</v>
      </c>
      <c r="W1933">
        <v>1</v>
      </c>
      <c r="X1933">
        <v>0</v>
      </c>
      <c r="Y1933">
        <v>0</v>
      </c>
      <c r="Z1933">
        <f>'Résultat (Ln)'!F$30+'Résultat (Ln)'!F$31*Données!S1933+'Résultat (Ln)'!F$32*Données!T1933+'Résultat (Ln)'!F$33*Données!U1933+'Résultat (Ln)'!F$34*Données!V1933+'Résultat (Ln)'!F$35*Données!W1933+'Résultat (Ln)'!F$36*Données!X1933+'Résultat (Ln)'!F$37*Données!Y1933</f>
        <v>47384.033296741974</v>
      </c>
      <c r="AA1933">
        <f t="shared" si="123"/>
        <v>28615.966703258026</v>
      </c>
    </row>
    <row r="1934" spans="1:27" x14ac:dyDescent="0.25">
      <c r="A1934">
        <v>162000</v>
      </c>
      <c r="B1934">
        <v>1</v>
      </c>
      <c r="C1934">
        <v>33</v>
      </c>
      <c r="D1934">
        <v>0</v>
      </c>
      <c r="E1934">
        <v>180000</v>
      </c>
      <c r="F1934">
        <v>5265</v>
      </c>
      <c r="G1934">
        <v>0</v>
      </c>
      <c r="H1934">
        <v>0</v>
      </c>
      <c r="I1934">
        <v>0</v>
      </c>
      <c r="J1934">
        <v>31</v>
      </c>
      <c r="K1934">
        <v>0</v>
      </c>
      <c r="L1934">
        <f>Résultats!G$32+Résultats!G$33*Données!C1934+Résultats!G$34*Données!D1934+Résultats!G$35*Données!E1934+Résultats!G$36*Données!F1934+Résultats!G$37*Données!G1934+Résultats!G$38*Données!H1934+Résultats!G$39*Données!I1934</f>
        <v>128721.76734854645</v>
      </c>
      <c r="M1934">
        <f t="shared" si="120"/>
        <v>33278.232651453553</v>
      </c>
      <c r="Q1934">
        <v>136000</v>
      </c>
      <c r="R1934">
        <v>1</v>
      </c>
      <c r="S1934">
        <v>33</v>
      </c>
      <c r="T1934">
        <v>0</v>
      </c>
      <c r="U1934">
        <f t="shared" si="121"/>
        <v>12.043553716032399</v>
      </c>
      <c r="V1934">
        <f t="shared" si="122"/>
        <v>7.7579062083517467</v>
      </c>
      <c r="W1934">
        <v>0</v>
      </c>
      <c r="X1934">
        <v>0</v>
      </c>
      <c r="Y1934">
        <v>0</v>
      </c>
      <c r="Z1934">
        <f>'Résultat (Ln)'!F$30+'Résultat (Ln)'!F$31*Données!S1934+'Résultat (Ln)'!F$32*Données!T1934+'Résultat (Ln)'!F$33*Données!U1934+'Résultat (Ln)'!F$34*Données!V1934+'Résultat (Ln)'!F$35*Données!W1934+'Résultat (Ln)'!F$36*Données!X1934+'Résultat (Ln)'!F$37*Données!Y1934</f>
        <v>119089.51867614166</v>
      </c>
      <c r="AA1934">
        <f t="shared" si="123"/>
        <v>16910.481323858345</v>
      </c>
    </row>
    <row r="1935" spans="1:27" x14ac:dyDescent="0.25">
      <c r="A1935">
        <v>69000</v>
      </c>
      <c r="B1935">
        <v>1</v>
      </c>
      <c r="C1935">
        <v>28.39999961853027</v>
      </c>
      <c r="D1935">
        <v>0</v>
      </c>
      <c r="E1935">
        <v>189000</v>
      </c>
      <c r="F1935">
        <v>3293</v>
      </c>
      <c r="G1935">
        <v>0</v>
      </c>
      <c r="H1935">
        <v>0</v>
      </c>
      <c r="I1935">
        <v>0</v>
      </c>
      <c r="J1935">
        <v>25.39999961853027</v>
      </c>
      <c r="K1935">
        <v>0</v>
      </c>
      <c r="L1935">
        <f>Résultats!G$32+Résultats!G$33*Données!C1935+Résultats!G$34*Données!D1935+Résultats!G$35*Données!E1935+Résultats!G$36*Données!F1935+Résultats!G$37*Données!G1935+Résultats!G$38*Données!H1935+Résultats!G$39*Données!I1935</f>
        <v>123819.14589920499</v>
      </c>
      <c r="M1935">
        <f t="shared" si="120"/>
        <v>-54819.145899204988</v>
      </c>
      <c r="Q1935">
        <v>162000</v>
      </c>
      <c r="R1935">
        <v>1</v>
      </c>
      <c r="S1935">
        <v>33</v>
      </c>
      <c r="T1935">
        <v>0</v>
      </c>
      <c r="U1935">
        <f t="shared" si="121"/>
        <v>12.100712129872347</v>
      </c>
      <c r="V1935">
        <f t="shared" si="122"/>
        <v>8.5688364245680759</v>
      </c>
      <c r="W1935">
        <v>0</v>
      </c>
      <c r="X1935">
        <v>0</v>
      </c>
      <c r="Y1935">
        <v>0</v>
      </c>
      <c r="Z1935">
        <f>'Résultat (Ln)'!F$30+'Résultat (Ln)'!F$31*Données!S1935+'Résultat (Ln)'!F$32*Données!T1935+'Résultat (Ln)'!F$33*Données!U1935+'Résultat (Ln)'!F$34*Données!V1935+'Résultat (Ln)'!F$35*Données!W1935+'Résultat (Ln)'!F$36*Données!X1935+'Résultat (Ln)'!F$37*Données!Y1935</f>
        <v>147959.8281078185</v>
      </c>
      <c r="AA1935">
        <f t="shared" si="123"/>
        <v>14040.171892181505</v>
      </c>
    </row>
    <row r="1936" spans="1:27" x14ac:dyDescent="0.25">
      <c r="A1936">
        <v>172000</v>
      </c>
      <c r="B1936">
        <v>1</v>
      </c>
      <c r="C1936">
        <v>28</v>
      </c>
      <c r="D1936">
        <v>0</v>
      </c>
      <c r="E1936">
        <v>216000</v>
      </c>
      <c r="F1936">
        <v>3676</v>
      </c>
      <c r="G1936">
        <v>0</v>
      </c>
      <c r="H1936">
        <v>0</v>
      </c>
      <c r="I1936">
        <v>0</v>
      </c>
      <c r="J1936">
        <v>24</v>
      </c>
      <c r="K1936">
        <v>1</v>
      </c>
      <c r="L1936">
        <f>Résultats!G$32+Résultats!G$33*Données!C1936+Résultats!G$34*Données!D1936+Résultats!G$35*Données!E1936+Résultats!G$36*Données!F1936+Résultats!G$37*Données!G1936+Résultats!G$38*Données!H1936+Résultats!G$39*Données!I1936</f>
        <v>136709.5890009861</v>
      </c>
      <c r="M1936">
        <f t="shared" si="120"/>
        <v>35290.410999013897</v>
      </c>
      <c r="Q1936">
        <v>69000</v>
      </c>
      <c r="R1936">
        <v>1</v>
      </c>
      <c r="S1936">
        <v>28.39999961853027</v>
      </c>
      <c r="T1936">
        <v>0</v>
      </c>
      <c r="U1936">
        <f t="shared" si="121"/>
        <v>12.149502294041779</v>
      </c>
      <c r="V1936">
        <f t="shared" si="122"/>
        <v>8.0995542823763635</v>
      </c>
      <c r="W1936">
        <v>0</v>
      </c>
      <c r="X1936">
        <v>0</v>
      </c>
      <c r="Y1936">
        <v>0</v>
      </c>
      <c r="Z1936">
        <f>'Résultat (Ln)'!F$30+'Résultat (Ln)'!F$31*Données!S1936+'Résultat (Ln)'!F$32*Données!T1936+'Résultat (Ln)'!F$33*Données!U1936+'Résultat (Ln)'!F$34*Données!V1936+'Résultat (Ln)'!F$35*Données!W1936+'Résultat (Ln)'!F$36*Données!X1936+'Résultat (Ln)'!F$37*Données!Y1936</f>
        <v>134407.13870090459</v>
      </c>
      <c r="AA1936">
        <f t="shared" si="123"/>
        <v>-65407.138700904587</v>
      </c>
    </row>
    <row r="1937" spans="1:27" x14ac:dyDescent="0.25">
      <c r="A1937">
        <v>496000</v>
      </c>
      <c r="B1937">
        <v>1</v>
      </c>
      <c r="C1937">
        <v>32.900001525878913</v>
      </c>
      <c r="D1937">
        <v>0</v>
      </c>
      <c r="E1937">
        <v>620000</v>
      </c>
      <c r="F1937">
        <v>12000</v>
      </c>
      <c r="G1937">
        <v>1</v>
      </c>
      <c r="H1937">
        <v>0</v>
      </c>
      <c r="I1937">
        <v>1</v>
      </c>
      <c r="J1937">
        <v>26.10000038146973</v>
      </c>
      <c r="K1937">
        <v>0</v>
      </c>
      <c r="L1937">
        <f>Résultats!G$32+Résultats!G$33*Données!C1937+Résultats!G$34*Données!D1937+Résultats!G$35*Données!E1937+Résultats!G$36*Données!F1937+Résultats!G$37*Données!G1937+Résultats!G$38*Données!H1937+Résultats!G$39*Données!I1937</f>
        <v>364059.41352570226</v>
      </c>
      <c r="M1937">
        <f t="shared" si="120"/>
        <v>131940.58647429774</v>
      </c>
      <c r="Q1937">
        <v>172000</v>
      </c>
      <c r="R1937">
        <v>1</v>
      </c>
      <c r="S1937">
        <v>28</v>
      </c>
      <c r="T1937">
        <v>0</v>
      </c>
      <c r="U1937">
        <f t="shared" si="121"/>
        <v>12.283033686666302</v>
      </c>
      <c r="V1937">
        <f t="shared" si="122"/>
        <v>8.2095804834755768</v>
      </c>
      <c r="W1937">
        <v>0</v>
      </c>
      <c r="X1937">
        <v>0</v>
      </c>
      <c r="Y1937">
        <v>0</v>
      </c>
      <c r="Z1937">
        <f>'Résultat (Ln)'!F$30+'Résultat (Ln)'!F$31*Données!S1937+'Résultat (Ln)'!F$32*Données!T1937+'Résultat (Ln)'!F$33*Données!U1937+'Résultat (Ln)'!F$34*Données!V1937+'Résultat (Ln)'!F$35*Données!W1937+'Résultat (Ln)'!F$36*Données!X1937+'Résultat (Ln)'!F$37*Données!Y1937</f>
        <v>151318.06808997714</v>
      </c>
      <c r="AA1937">
        <f t="shared" si="123"/>
        <v>20681.93191002286</v>
      </c>
    </row>
    <row r="1938" spans="1:27" x14ac:dyDescent="0.25">
      <c r="A1938">
        <v>60000</v>
      </c>
      <c r="B1938">
        <v>1</v>
      </c>
      <c r="C1938">
        <v>14</v>
      </c>
      <c r="D1938">
        <v>0</v>
      </c>
      <c r="E1938">
        <v>207000</v>
      </c>
      <c r="F1938">
        <v>2400</v>
      </c>
      <c r="G1938">
        <v>1</v>
      </c>
      <c r="H1938">
        <v>0</v>
      </c>
      <c r="I1938">
        <v>1</v>
      </c>
      <c r="J1938">
        <v>14</v>
      </c>
      <c r="K1938">
        <v>1</v>
      </c>
      <c r="L1938">
        <f>Résultats!G$32+Résultats!G$33*Données!C1938+Résultats!G$34*Données!D1938+Résultats!G$35*Données!E1938+Résultats!G$36*Données!F1938+Résultats!G$37*Données!G1938+Résultats!G$38*Données!H1938+Résultats!G$39*Données!I1938</f>
        <v>130895.08293459729</v>
      </c>
      <c r="M1938">
        <f t="shared" si="120"/>
        <v>-70895.082934597289</v>
      </c>
      <c r="Q1938">
        <v>496000</v>
      </c>
      <c r="R1938">
        <v>1</v>
      </c>
      <c r="S1938">
        <v>32.900001525878913</v>
      </c>
      <c r="T1938">
        <v>0</v>
      </c>
      <c r="U1938">
        <f t="shared" si="121"/>
        <v>13.337474757021274</v>
      </c>
      <c r="V1938">
        <f t="shared" si="122"/>
        <v>9.3926619287701367</v>
      </c>
      <c r="W1938">
        <v>1</v>
      </c>
      <c r="X1938">
        <v>0</v>
      </c>
      <c r="Y1938">
        <v>1</v>
      </c>
      <c r="Z1938">
        <f>'Résultat (Ln)'!F$30+'Résultat (Ln)'!F$31*Données!S1938+'Résultat (Ln)'!F$32*Données!T1938+'Résultat (Ln)'!F$33*Données!U1938+'Résultat (Ln)'!F$34*Données!V1938+'Résultat (Ln)'!F$35*Données!W1938+'Résultat (Ln)'!F$36*Données!X1938+'Résultat (Ln)'!F$37*Données!Y1938</f>
        <v>322118.89742687746</v>
      </c>
      <c r="AA1938">
        <f t="shared" si="123"/>
        <v>173881.10257312254</v>
      </c>
    </row>
    <row r="1939" spans="1:27" x14ac:dyDescent="0.25">
      <c r="A1939">
        <v>173000</v>
      </c>
      <c r="B1939">
        <v>1</v>
      </c>
      <c r="C1939">
        <v>38.299999237060547</v>
      </c>
      <c r="D1939">
        <v>0</v>
      </c>
      <c r="E1939">
        <v>216000</v>
      </c>
      <c r="F1939">
        <v>3400</v>
      </c>
      <c r="G1939">
        <v>1</v>
      </c>
      <c r="H1939">
        <v>0</v>
      </c>
      <c r="I1939">
        <v>1</v>
      </c>
      <c r="J1939">
        <v>28.440000534057621</v>
      </c>
      <c r="K1939">
        <v>1</v>
      </c>
      <c r="L1939">
        <f>Résultats!G$32+Résultats!G$33*Données!C1939+Résultats!G$34*Données!D1939+Résultats!G$35*Données!E1939+Résultats!G$36*Données!F1939+Résultats!G$37*Données!G1939+Résultats!G$38*Données!H1939+Résultats!G$39*Données!I1939</f>
        <v>164948.13905460166</v>
      </c>
      <c r="M1939">
        <f t="shared" si="120"/>
        <v>8051.8609453983372</v>
      </c>
      <c r="Q1939">
        <v>60000</v>
      </c>
      <c r="R1939">
        <v>1</v>
      </c>
      <c r="S1939">
        <v>14</v>
      </c>
      <c r="T1939">
        <v>0</v>
      </c>
      <c r="U1939">
        <f t="shared" si="121"/>
        <v>12.240474072247506</v>
      </c>
      <c r="V1939">
        <f t="shared" si="122"/>
        <v>7.7832240163360371</v>
      </c>
      <c r="W1939">
        <v>1</v>
      </c>
      <c r="X1939">
        <v>0</v>
      </c>
      <c r="Y1939">
        <v>1</v>
      </c>
      <c r="Z1939">
        <f>'Résultat (Ln)'!F$30+'Résultat (Ln)'!F$31*Données!S1939+'Résultat (Ln)'!F$32*Données!T1939+'Résultat (Ln)'!F$33*Données!U1939+'Résultat (Ln)'!F$34*Données!V1939+'Résultat (Ln)'!F$35*Données!W1939+'Résultat (Ln)'!F$36*Données!X1939+'Résultat (Ln)'!F$37*Données!Y1939</f>
        <v>136290.74915658752</v>
      </c>
      <c r="AA1939">
        <f t="shared" si="123"/>
        <v>-76290.749156587524</v>
      </c>
    </row>
    <row r="1940" spans="1:27" x14ac:dyDescent="0.25">
      <c r="A1940">
        <v>152000</v>
      </c>
      <c r="B1940">
        <v>1</v>
      </c>
      <c r="C1940">
        <v>33</v>
      </c>
      <c r="D1940">
        <v>0</v>
      </c>
      <c r="E1940">
        <v>190000</v>
      </c>
      <c r="F1940">
        <v>4000</v>
      </c>
      <c r="G1940">
        <v>0</v>
      </c>
      <c r="H1940">
        <v>1</v>
      </c>
      <c r="I1940">
        <v>0</v>
      </c>
      <c r="J1940">
        <v>27</v>
      </c>
      <c r="K1940">
        <v>1</v>
      </c>
      <c r="L1940">
        <f>Résultats!G$32+Résultats!G$33*Données!C1940+Résultats!G$34*Données!D1940+Résultats!G$35*Données!E1940+Résultats!G$36*Données!F1940+Résultats!G$37*Données!G1940+Résultats!G$38*Données!H1940+Résultats!G$39*Données!I1940</f>
        <v>129314.72253841415</v>
      </c>
      <c r="M1940">
        <f t="shared" si="120"/>
        <v>22685.277461585851</v>
      </c>
      <c r="Q1940">
        <v>173000</v>
      </c>
      <c r="R1940">
        <v>1</v>
      </c>
      <c r="S1940">
        <v>38.299999237060547</v>
      </c>
      <c r="T1940">
        <v>0</v>
      </c>
      <c r="U1940">
        <f t="shared" si="121"/>
        <v>12.283033686666302</v>
      </c>
      <c r="V1940">
        <f t="shared" si="122"/>
        <v>8.1315307106042525</v>
      </c>
      <c r="W1940">
        <v>1</v>
      </c>
      <c r="X1940">
        <v>0</v>
      </c>
      <c r="Y1940">
        <v>1</v>
      </c>
      <c r="Z1940">
        <f>'Résultat (Ln)'!F$30+'Résultat (Ln)'!F$31*Données!S1940+'Résultat (Ln)'!F$32*Données!T1940+'Résultat (Ln)'!F$33*Données!U1940+'Résultat (Ln)'!F$34*Données!V1940+'Résultat (Ln)'!F$35*Données!W1940+'Résultat (Ln)'!F$36*Données!X1940+'Résultat (Ln)'!F$37*Données!Y1940</f>
        <v>180317.08316280719</v>
      </c>
      <c r="AA1940">
        <f t="shared" si="123"/>
        <v>-7317.0831628071901</v>
      </c>
    </row>
    <row r="1941" spans="1:27" x14ac:dyDescent="0.25">
      <c r="A1941">
        <v>138000</v>
      </c>
      <c r="B1941">
        <v>1</v>
      </c>
      <c r="C1941">
        <v>34</v>
      </c>
      <c r="D1941">
        <v>0</v>
      </c>
      <c r="E1941">
        <v>172000</v>
      </c>
      <c r="F1941">
        <v>3750</v>
      </c>
      <c r="G1941">
        <v>0</v>
      </c>
      <c r="H1941">
        <v>0</v>
      </c>
      <c r="I1941">
        <v>0</v>
      </c>
      <c r="J1941">
        <v>24</v>
      </c>
      <c r="K1941">
        <v>1</v>
      </c>
      <c r="L1941">
        <f>Résultats!G$32+Résultats!G$33*Données!C1941+Résultats!G$34*Données!D1941+Résultats!G$35*Données!E1941+Résultats!G$36*Données!F1941+Résultats!G$37*Données!G1941+Résultats!G$38*Données!H1941+Résultats!G$39*Données!I1941</f>
        <v>123199.06371916315</v>
      </c>
      <c r="M1941">
        <f t="shared" si="120"/>
        <v>14800.936280836846</v>
      </c>
      <c r="Q1941">
        <v>152000</v>
      </c>
      <c r="R1941">
        <v>1</v>
      </c>
      <c r="S1941">
        <v>33</v>
      </c>
      <c r="T1941">
        <v>0</v>
      </c>
      <c r="U1941">
        <f t="shared" si="121"/>
        <v>12.154779351142624</v>
      </c>
      <c r="V1941">
        <f t="shared" si="122"/>
        <v>8.2940496401020276</v>
      </c>
      <c r="W1941">
        <v>0</v>
      </c>
      <c r="X1941">
        <v>1</v>
      </c>
      <c r="Y1941">
        <v>0</v>
      </c>
      <c r="Z1941">
        <f>'Résultat (Ln)'!F$30+'Résultat (Ln)'!F$31*Données!S1941+'Résultat (Ln)'!F$32*Données!T1941+'Résultat (Ln)'!F$33*Données!U1941+'Résultat (Ln)'!F$34*Données!V1941+'Résultat (Ln)'!F$35*Données!W1941+'Résultat (Ln)'!F$36*Données!X1941+'Résultat (Ln)'!F$37*Données!Y1941</f>
        <v>145871.44219833735</v>
      </c>
      <c r="AA1941">
        <f t="shared" si="123"/>
        <v>6128.5578016626532</v>
      </c>
    </row>
    <row r="1942" spans="1:27" x14ac:dyDescent="0.25">
      <c r="A1942">
        <v>157000</v>
      </c>
      <c r="B1942">
        <v>1</v>
      </c>
      <c r="C1942">
        <v>35.400001525878913</v>
      </c>
      <c r="D1942">
        <v>0</v>
      </c>
      <c r="E1942">
        <v>185000</v>
      </c>
      <c r="F1942">
        <v>3987</v>
      </c>
      <c r="G1942">
        <v>1</v>
      </c>
      <c r="H1942">
        <v>0</v>
      </c>
      <c r="I1942">
        <v>0</v>
      </c>
      <c r="J1942">
        <v>27.60000038146973</v>
      </c>
      <c r="K1942">
        <v>1</v>
      </c>
      <c r="L1942">
        <f>Résultats!G$32+Résultats!G$33*Données!C1942+Résultats!G$34*Données!D1942+Résultats!G$35*Données!E1942+Résultats!G$36*Données!F1942+Résultats!G$37*Données!G1942+Résultats!G$38*Données!H1942+Résultats!G$39*Données!I1942</f>
        <v>138353.47058213671</v>
      </c>
      <c r="M1942">
        <f t="shared" si="120"/>
        <v>18646.52941786329</v>
      </c>
      <c r="Q1942">
        <v>138000</v>
      </c>
      <c r="R1942">
        <v>1</v>
      </c>
      <c r="S1942">
        <v>34</v>
      </c>
      <c r="T1942">
        <v>0</v>
      </c>
      <c r="U1942">
        <f t="shared" si="121"/>
        <v>12.05524975579559</v>
      </c>
      <c r="V1942">
        <f t="shared" si="122"/>
        <v>8.2295111189644565</v>
      </c>
      <c r="W1942">
        <v>0</v>
      </c>
      <c r="X1942">
        <v>0</v>
      </c>
      <c r="Y1942">
        <v>0</v>
      </c>
      <c r="Z1942">
        <f>'Résultat (Ln)'!F$30+'Résultat (Ln)'!F$31*Données!S1942+'Résultat (Ln)'!F$32*Données!T1942+'Résultat (Ln)'!F$33*Données!U1942+'Résultat (Ln)'!F$34*Données!V1942+'Résultat (Ln)'!F$35*Données!W1942+'Résultat (Ln)'!F$36*Données!X1942+'Résultat (Ln)'!F$37*Données!Y1942</f>
        <v>134791.85689800783</v>
      </c>
      <c r="AA1942">
        <f t="shared" si="123"/>
        <v>3208.1431019921729</v>
      </c>
    </row>
    <row r="1943" spans="1:27" x14ac:dyDescent="0.25">
      <c r="A1943">
        <v>96000</v>
      </c>
      <c r="B1943">
        <v>1</v>
      </c>
      <c r="C1943">
        <v>17</v>
      </c>
      <c r="D1943">
        <v>0</v>
      </c>
      <c r="E1943">
        <v>381000</v>
      </c>
      <c r="F1943">
        <v>8550</v>
      </c>
      <c r="G1943">
        <v>1</v>
      </c>
      <c r="H1943">
        <v>0</v>
      </c>
      <c r="I1943">
        <v>0</v>
      </c>
      <c r="J1943">
        <v>17</v>
      </c>
      <c r="K1943">
        <v>0</v>
      </c>
      <c r="L1943">
        <f>Résultats!G$32+Résultats!G$33*Données!C1943+Résultats!G$34*Données!D1943+Résultats!G$35*Données!E1943+Résultats!G$36*Données!F1943+Résultats!G$37*Données!G1943+Résultats!G$38*Données!H1943+Résultats!G$39*Données!I1943</f>
        <v>217582.89826341585</v>
      </c>
      <c r="M1943">
        <f t="shared" si="120"/>
        <v>-121582.89826341585</v>
      </c>
      <c r="Q1943">
        <v>157000</v>
      </c>
      <c r="R1943">
        <v>1</v>
      </c>
      <c r="S1943">
        <v>35.400001525878913</v>
      </c>
      <c r="T1943">
        <v>0</v>
      </c>
      <c r="U1943">
        <f t="shared" si="121"/>
        <v>12.128111104060462</v>
      </c>
      <c r="V1943">
        <f t="shared" si="122"/>
        <v>8.2907943473813557</v>
      </c>
      <c r="W1943">
        <v>1</v>
      </c>
      <c r="X1943">
        <v>0</v>
      </c>
      <c r="Y1943">
        <v>0</v>
      </c>
      <c r="Z1943">
        <f>'Résultat (Ln)'!F$30+'Résultat (Ln)'!F$31*Données!S1943+'Résultat (Ln)'!F$32*Données!T1943+'Résultat (Ln)'!F$33*Données!U1943+'Résultat (Ln)'!F$34*Données!V1943+'Résultat (Ln)'!F$35*Données!W1943+'Résultat (Ln)'!F$36*Données!X1943+'Résultat (Ln)'!F$37*Données!Y1943</f>
        <v>150545.89720997988</v>
      </c>
      <c r="AA1943">
        <f t="shared" si="123"/>
        <v>6454.1027900201152</v>
      </c>
    </row>
    <row r="1944" spans="1:27" x14ac:dyDescent="0.25">
      <c r="A1944">
        <v>215000</v>
      </c>
      <c r="B1944">
        <v>1</v>
      </c>
      <c r="C1944">
        <v>23</v>
      </c>
      <c r="D1944">
        <v>0</v>
      </c>
      <c r="E1944">
        <v>290000</v>
      </c>
      <c r="F1944">
        <v>9534</v>
      </c>
      <c r="G1944">
        <v>1</v>
      </c>
      <c r="H1944">
        <v>0</v>
      </c>
      <c r="I1944">
        <v>0</v>
      </c>
      <c r="J1944">
        <v>23</v>
      </c>
      <c r="K1944">
        <v>1</v>
      </c>
      <c r="L1944">
        <f>Résultats!G$32+Résultats!G$33*Données!C1944+Résultats!G$34*Données!D1944+Résultats!G$35*Données!E1944+Résultats!G$36*Données!F1944+Résultats!G$37*Données!G1944+Résultats!G$38*Données!H1944+Résultats!G$39*Données!I1944</f>
        <v>183888.95585681754</v>
      </c>
      <c r="M1944">
        <f t="shared" si="120"/>
        <v>31111.044143182458</v>
      </c>
      <c r="Q1944">
        <v>96000</v>
      </c>
      <c r="R1944">
        <v>1</v>
      </c>
      <c r="S1944">
        <v>17</v>
      </c>
      <c r="T1944">
        <v>0</v>
      </c>
      <c r="U1944">
        <f t="shared" si="121"/>
        <v>12.850554654108839</v>
      </c>
      <c r="V1944">
        <f t="shared" si="122"/>
        <v>9.0536865619308067</v>
      </c>
      <c r="W1944">
        <v>1</v>
      </c>
      <c r="X1944">
        <v>0</v>
      </c>
      <c r="Y1944">
        <v>0</v>
      </c>
      <c r="Z1944">
        <f>'Résultat (Ln)'!F$30+'Résultat (Ln)'!F$31*Données!S1944+'Résultat (Ln)'!F$32*Données!T1944+'Résultat (Ln)'!F$33*Données!U1944+'Résultat (Ln)'!F$34*Données!V1944+'Résultat (Ln)'!F$35*Données!W1944+'Résultat (Ln)'!F$36*Données!X1944+'Résultat (Ln)'!F$37*Données!Y1944</f>
        <v>226899.00407871901</v>
      </c>
      <c r="AA1944">
        <f t="shared" si="123"/>
        <v>-130899.00407871901</v>
      </c>
    </row>
    <row r="1945" spans="1:27" x14ac:dyDescent="0.25">
      <c r="A1945">
        <v>120000</v>
      </c>
      <c r="B1945">
        <v>1</v>
      </c>
      <c r="C1945">
        <v>25</v>
      </c>
      <c r="D1945">
        <v>0</v>
      </c>
      <c r="E1945">
        <v>120000</v>
      </c>
      <c r="F1945">
        <v>3304</v>
      </c>
      <c r="G1945">
        <v>1</v>
      </c>
      <c r="H1945">
        <v>0</v>
      </c>
      <c r="I1945">
        <v>0</v>
      </c>
      <c r="J1945">
        <v>13</v>
      </c>
      <c r="K1945">
        <v>1</v>
      </c>
      <c r="L1945">
        <f>Résultats!G$32+Résultats!G$33*Données!C1945+Résultats!G$34*Données!D1945+Résultats!G$35*Données!E1945+Résultats!G$36*Données!F1945+Résultats!G$37*Données!G1945+Résultats!G$38*Données!H1945+Résultats!G$39*Données!I1945</f>
        <v>94731.82565204885</v>
      </c>
      <c r="M1945">
        <f t="shared" si="120"/>
        <v>25268.17434795115</v>
      </c>
      <c r="Q1945">
        <v>215000</v>
      </c>
      <c r="R1945">
        <v>1</v>
      </c>
      <c r="S1945">
        <v>23</v>
      </c>
      <c r="T1945">
        <v>0</v>
      </c>
      <c r="U1945">
        <f t="shared" si="121"/>
        <v>12.577636201962656</v>
      </c>
      <c r="V1945">
        <f t="shared" si="122"/>
        <v>9.1626196357647718</v>
      </c>
      <c r="W1945">
        <v>1</v>
      </c>
      <c r="X1945">
        <v>0</v>
      </c>
      <c r="Y1945">
        <v>0</v>
      </c>
      <c r="Z1945">
        <f>'Résultat (Ln)'!F$30+'Résultat (Ln)'!F$31*Données!S1945+'Résultat (Ln)'!F$32*Données!T1945+'Résultat (Ln)'!F$33*Données!U1945+'Résultat (Ln)'!F$34*Données!V1945+'Résultat (Ln)'!F$35*Données!W1945+'Résultat (Ln)'!F$36*Données!X1945+'Résultat (Ln)'!F$37*Données!Y1945</f>
        <v>208030.71626683214</v>
      </c>
      <c r="AA1945">
        <f t="shared" si="123"/>
        <v>6969.2837331678602</v>
      </c>
    </row>
    <row r="1946" spans="1:27" x14ac:dyDescent="0.25">
      <c r="A1946">
        <v>100000</v>
      </c>
      <c r="B1946">
        <v>1</v>
      </c>
      <c r="C1946">
        <v>33</v>
      </c>
      <c r="D1946">
        <v>0</v>
      </c>
      <c r="E1946">
        <v>156000</v>
      </c>
      <c r="F1946">
        <v>3225</v>
      </c>
      <c r="G1946">
        <v>0</v>
      </c>
      <c r="H1946">
        <v>0</v>
      </c>
      <c r="I1946">
        <v>0</v>
      </c>
      <c r="J1946">
        <v>33</v>
      </c>
      <c r="K1946">
        <v>0</v>
      </c>
      <c r="L1946">
        <f>Résultats!G$32+Résultats!G$33*Données!C1946+Résultats!G$34*Données!D1946+Résultats!G$35*Données!E1946+Résultats!G$36*Données!F1946+Résultats!G$37*Données!G1946+Résultats!G$38*Données!H1946+Résultats!G$39*Données!I1946</f>
        <v>113561.80267426169</v>
      </c>
      <c r="M1946">
        <f t="shared" si="120"/>
        <v>-13561.802674261693</v>
      </c>
      <c r="Q1946">
        <v>120000</v>
      </c>
      <c r="R1946">
        <v>1</v>
      </c>
      <c r="S1946">
        <v>25</v>
      </c>
      <c r="T1946">
        <v>0</v>
      </c>
      <c r="U1946">
        <f t="shared" si="121"/>
        <v>11.695247021764184</v>
      </c>
      <c r="V1946">
        <f t="shared" si="122"/>
        <v>8.1028891346408685</v>
      </c>
      <c r="W1946">
        <v>1</v>
      </c>
      <c r="X1946">
        <v>0</v>
      </c>
      <c r="Y1946">
        <v>0</v>
      </c>
      <c r="Z1946">
        <f>'Résultat (Ln)'!F$30+'Résultat (Ln)'!F$31*Données!S1946+'Résultat (Ln)'!F$32*Données!T1946+'Résultat (Ln)'!F$33*Données!U1946+'Résultat (Ln)'!F$34*Données!V1946+'Résultat (Ln)'!F$35*Données!W1946+'Résultat (Ln)'!F$36*Données!X1946+'Résultat (Ln)'!F$37*Données!Y1946</f>
        <v>86165.608113602138</v>
      </c>
      <c r="AA1946">
        <f t="shared" si="123"/>
        <v>33834.391886397862</v>
      </c>
    </row>
    <row r="1947" spans="1:27" x14ac:dyDescent="0.25">
      <c r="A1947">
        <v>99000</v>
      </c>
      <c r="B1947">
        <v>1</v>
      </c>
      <c r="C1947">
        <v>41</v>
      </c>
      <c r="D1947">
        <v>0</v>
      </c>
      <c r="E1947">
        <v>110000</v>
      </c>
      <c r="F1947">
        <v>2269</v>
      </c>
      <c r="G1947">
        <v>1</v>
      </c>
      <c r="H1947">
        <v>0</v>
      </c>
      <c r="I1947">
        <v>0</v>
      </c>
      <c r="J1947">
        <v>22</v>
      </c>
      <c r="K1947">
        <v>1</v>
      </c>
      <c r="L1947">
        <f>Résultats!G$32+Résultats!G$33*Données!C1947+Résultats!G$34*Données!D1947+Résultats!G$35*Données!E1947+Résultats!G$36*Données!F1947+Résultats!G$37*Données!G1947+Résultats!G$38*Données!H1947+Résultats!G$39*Données!I1947</f>
        <v>106435.40910764912</v>
      </c>
      <c r="M1947">
        <f t="shared" si="120"/>
        <v>-7435.4091076491168</v>
      </c>
      <c r="Q1947">
        <v>100000</v>
      </c>
      <c r="R1947">
        <v>1</v>
      </c>
      <c r="S1947">
        <v>33</v>
      </c>
      <c r="T1947">
        <v>0</v>
      </c>
      <c r="U1947">
        <f t="shared" si="121"/>
        <v>11.957611286231675</v>
      </c>
      <c r="V1947">
        <f t="shared" si="122"/>
        <v>8.0786882292298721</v>
      </c>
      <c r="W1947">
        <v>0</v>
      </c>
      <c r="X1947">
        <v>0</v>
      </c>
      <c r="Y1947">
        <v>0</v>
      </c>
      <c r="Z1947">
        <f>'Résultat (Ln)'!F$30+'Résultat (Ln)'!F$31*Données!S1947+'Résultat (Ln)'!F$32*Données!T1947+'Résultat (Ln)'!F$33*Données!U1947+'Résultat (Ln)'!F$34*Données!V1947+'Résultat (Ln)'!F$35*Données!W1947+'Résultat (Ln)'!F$36*Données!X1947+'Résultat (Ln)'!F$37*Données!Y1947</f>
        <v>118873.45735487281</v>
      </c>
      <c r="AA1947">
        <f t="shared" si="123"/>
        <v>-18873.457354872808</v>
      </c>
    </row>
    <row r="1948" spans="1:27" x14ac:dyDescent="0.25">
      <c r="A1948">
        <v>124000</v>
      </c>
      <c r="B1948">
        <v>1</v>
      </c>
      <c r="C1948">
        <v>27</v>
      </c>
      <c r="D1948">
        <v>0</v>
      </c>
      <c r="E1948">
        <v>166000</v>
      </c>
      <c r="F1948">
        <v>6218</v>
      </c>
      <c r="G1948">
        <v>0</v>
      </c>
      <c r="H1948">
        <v>0</v>
      </c>
      <c r="I1948">
        <v>0</v>
      </c>
      <c r="J1948">
        <v>26</v>
      </c>
      <c r="K1948">
        <v>1</v>
      </c>
      <c r="L1948">
        <f>Résultats!G$32+Résultats!G$33*Données!C1948+Résultats!G$34*Données!D1948+Résultats!G$35*Données!E1948+Résultats!G$36*Données!F1948+Résultats!G$37*Données!G1948+Résultats!G$38*Données!H1948+Résultats!G$39*Données!I1948</f>
        <v>117139.11067198866</v>
      </c>
      <c r="M1948">
        <f t="shared" si="120"/>
        <v>6860.8893280113407</v>
      </c>
      <c r="Q1948">
        <v>99000</v>
      </c>
      <c r="R1948">
        <v>1</v>
      </c>
      <c r="S1948">
        <v>41</v>
      </c>
      <c r="T1948">
        <v>0</v>
      </c>
      <c r="U1948">
        <f t="shared" si="121"/>
        <v>11.608235644774552</v>
      </c>
      <c r="V1948">
        <f t="shared" si="122"/>
        <v>7.7270944847798413</v>
      </c>
      <c r="W1948">
        <v>1</v>
      </c>
      <c r="X1948">
        <v>0</v>
      </c>
      <c r="Y1948">
        <v>0</v>
      </c>
      <c r="Z1948">
        <f>'Résultat (Ln)'!F$30+'Résultat (Ln)'!F$31*Données!S1948+'Résultat (Ln)'!F$32*Données!T1948+'Résultat (Ln)'!F$33*Données!U1948+'Résultat (Ln)'!F$34*Données!V1948+'Résultat (Ln)'!F$35*Données!W1948+'Résultat (Ln)'!F$36*Données!X1948+'Résultat (Ln)'!F$37*Données!Y1948</f>
        <v>85851.570870414624</v>
      </c>
      <c r="AA1948">
        <f t="shared" si="123"/>
        <v>13148.429129585376</v>
      </c>
    </row>
    <row r="1949" spans="1:27" x14ac:dyDescent="0.25">
      <c r="A1949">
        <v>113000</v>
      </c>
      <c r="B1949">
        <v>1</v>
      </c>
      <c r="C1949">
        <v>41</v>
      </c>
      <c r="D1949">
        <v>0</v>
      </c>
      <c r="E1949">
        <v>150000</v>
      </c>
      <c r="F1949">
        <v>4009</v>
      </c>
      <c r="G1949">
        <v>1</v>
      </c>
      <c r="H1949">
        <v>0</v>
      </c>
      <c r="I1949">
        <v>0</v>
      </c>
      <c r="J1949">
        <v>20.389999389648441</v>
      </c>
      <c r="K1949">
        <v>1</v>
      </c>
      <c r="L1949">
        <f>Résultats!G$32+Résultats!G$33*Données!C1949+Résultats!G$34*Données!D1949+Résultats!G$35*Données!E1949+Résultats!G$36*Données!F1949+Résultats!G$37*Données!G1949+Résultats!G$38*Données!H1949+Résultats!G$39*Données!I1949</f>
        <v>128485.28987096905</v>
      </c>
      <c r="M1949">
        <f t="shared" si="120"/>
        <v>-15485.289870969049</v>
      </c>
      <c r="Q1949">
        <v>124000</v>
      </c>
      <c r="R1949">
        <v>1</v>
      </c>
      <c r="S1949">
        <v>27</v>
      </c>
      <c r="T1949">
        <v>0</v>
      </c>
      <c r="U1949">
        <f t="shared" si="121"/>
        <v>12.01974306733868</v>
      </c>
      <c r="V1949">
        <f t="shared" si="122"/>
        <v>8.7352035906186991</v>
      </c>
      <c r="W1949">
        <v>0</v>
      </c>
      <c r="X1949">
        <v>0</v>
      </c>
      <c r="Y1949">
        <v>0</v>
      </c>
      <c r="Z1949">
        <f>'Résultat (Ln)'!F$30+'Résultat (Ln)'!F$31*Données!S1949+'Résultat (Ln)'!F$32*Données!T1949+'Résultat (Ln)'!F$33*Données!U1949+'Résultat (Ln)'!F$34*Données!V1949+'Résultat (Ln)'!F$35*Données!W1949+'Résultat (Ln)'!F$36*Données!X1949+'Résultat (Ln)'!F$37*Données!Y1949</f>
        <v>136613.95685417141</v>
      </c>
      <c r="AA1949">
        <f t="shared" si="123"/>
        <v>-12613.956854171411</v>
      </c>
    </row>
    <row r="1950" spans="1:27" x14ac:dyDescent="0.25">
      <c r="A1950">
        <v>100000</v>
      </c>
      <c r="B1950">
        <v>1</v>
      </c>
      <c r="C1950">
        <v>36.400001525878913</v>
      </c>
      <c r="D1950">
        <v>0</v>
      </c>
      <c r="E1950">
        <v>105000</v>
      </c>
      <c r="F1950">
        <v>5875</v>
      </c>
      <c r="G1950">
        <v>1</v>
      </c>
      <c r="H1950">
        <v>0</v>
      </c>
      <c r="I1950">
        <v>0</v>
      </c>
      <c r="J1950">
        <v>12.80000019073486</v>
      </c>
      <c r="K1950">
        <v>1</v>
      </c>
      <c r="L1950">
        <f>Résultats!G$32+Résultats!G$33*Données!C1950+Résultats!G$34*Données!D1950+Résultats!G$35*Données!E1950+Résultats!G$36*Données!F1950+Résultats!G$37*Données!G1950+Résultats!G$38*Données!H1950+Résultats!G$39*Données!I1950</f>
        <v>105804.42201399183</v>
      </c>
      <c r="M1950">
        <f t="shared" si="120"/>
        <v>-5804.4220139918325</v>
      </c>
      <c r="Q1950">
        <v>113000</v>
      </c>
      <c r="R1950">
        <v>1</v>
      </c>
      <c r="S1950">
        <v>41</v>
      </c>
      <c r="T1950">
        <v>0</v>
      </c>
      <c r="U1950">
        <f t="shared" si="121"/>
        <v>11.918390573078392</v>
      </c>
      <c r="V1950">
        <f t="shared" si="122"/>
        <v>8.2962971126425078</v>
      </c>
      <c r="W1950">
        <v>1</v>
      </c>
      <c r="X1950">
        <v>0</v>
      </c>
      <c r="Y1950">
        <v>0</v>
      </c>
      <c r="Z1950">
        <f>'Résultat (Ln)'!F$30+'Résultat (Ln)'!F$31*Données!S1950+'Résultat (Ln)'!F$32*Données!T1950+'Résultat (Ln)'!F$33*Données!U1950+'Résultat (Ln)'!F$34*Données!V1950+'Résultat (Ln)'!F$35*Données!W1950+'Résultat (Ln)'!F$36*Données!X1950+'Résultat (Ln)'!F$37*Données!Y1950</f>
        <v>135062.54308734628</v>
      </c>
      <c r="AA1950">
        <f t="shared" si="123"/>
        <v>-22062.543087346276</v>
      </c>
    </row>
    <row r="1951" spans="1:27" x14ac:dyDescent="0.25">
      <c r="A1951">
        <v>96000</v>
      </c>
      <c r="B1951">
        <v>1</v>
      </c>
      <c r="C1951">
        <v>25</v>
      </c>
      <c r="D1951">
        <v>0</v>
      </c>
      <c r="E1951">
        <v>120000</v>
      </c>
      <c r="F1951">
        <v>5594</v>
      </c>
      <c r="G1951">
        <v>0</v>
      </c>
      <c r="H1951">
        <v>0</v>
      </c>
      <c r="I1951">
        <v>0</v>
      </c>
      <c r="J1951">
        <v>24</v>
      </c>
      <c r="K1951">
        <v>1</v>
      </c>
      <c r="L1951">
        <f>Résultats!G$32+Résultats!G$33*Données!C1951+Résultats!G$34*Données!D1951+Résultats!G$35*Données!E1951+Résultats!G$36*Données!F1951+Résultats!G$37*Données!G1951+Résultats!G$38*Données!H1951+Résultats!G$39*Données!I1951</f>
        <v>92152.740238581042</v>
      </c>
      <c r="M1951">
        <f t="shared" si="120"/>
        <v>3847.2597614189581</v>
      </c>
      <c r="Q1951">
        <v>100000</v>
      </c>
      <c r="R1951">
        <v>1</v>
      </c>
      <c r="S1951">
        <v>36.400001525878913</v>
      </c>
      <c r="T1951">
        <v>0</v>
      </c>
      <c r="U1951">
        <f t="shared" si="121"/>
        <v>11.561715629139661</v>
      </c>
      <c r="V1951">
        <f t="shared" si="122"/>
        <v>8.6784613390123599</v>
      </c>
      <c r="W1951">
        <v>1</v>
      </c>
      <c r="X1951">
        <v>0</v>
      </c>
      <c r="Y1951">
        <v>0</v>
      </c>
      <c r="Z1951">
        <f>'Résultat (Ln)'!F$30+'Résultat (Ln)'!F$31*Données!S1951+'Résultat (Ln)'!F$32*Données!T1951+'Résultat (Ln)'!F$33*Données!U1951+'Résultat (Ln)'!F$34*Données!V1951+'Résultat (Ln)'!F$35*Données!W1951+'Résultat (Ln)'!F$36*Données!X1951+'Résultat (Ln)'!F$37*Données!Y1951</f>
        <v>101925.28260024717</v>
      </c>
      <c r="AA1951">
        <f t="shared" si="123"/>
        <v>-1925.2826002471702</v>
      </c>
    </row>
    <row r="1952" spans="1:27" x14ac:dyDescent="0.25">
      <c r="A1952">
        <v>108000</v>
      </c>
      <c r="B1952">
        <v>1</v>
      </c>
      <c r="C1952">
        <v>32</v>
      </c>
      <c r="D1952">
        <v>0</v>
      </c>
      <c r="E1952">
        <v>135000</v>
      </c>
      <c r="F1952">
        <v>3232</v>
      </c>
      <c r="G1952">
        <v>1</v>
      </c>
      <c r="H1952">
        <v>0</v>
      </c>
      <c r="I1952">
        <v>1</v>
      </c>
      <c r="J1952">
        <v>23</v>
      </c>
      <c r="K1952">
        <v>1</v>
      </c>
      <c r="L1952">
        <f>Résultats!G$32+Résultats!G$33*Données!C1952+Résultats!G$34*Données!D1952+Résultats!G$35*Données!E1952+Résultats!G$36*Données!F1952+Résultats!G$37*Données!G1952+Résultats!G$38*Données!H1952+Résultats!G$39*Données!I1952</f>
        <v>119562.75350259669</v>
      </c>
      <c r="M1952">
        <f t="shared" si="120"/>
        <v>-11562.753502596694</v>
      </c>
      <c r="Q1952">
        <v>96000</v>
      </c>
      <c r="R1952">
        <v>1</v>
      </c>
      <c r="S1952">
        <v>25</v>
      </c>
      <c r="T1952">
        <v>0</v>
      </c>
      <c r="U1952">
        <f t="shared" si="121"/>
        <v>11.695247021764184</v>
      </c>
      <c r="V1952">
        <f t="shared" si="122"/>
        <v>8.6294498737619048</v>
      </c>
      <c r="W1952">
        <v>0</v>
      </c>
      <c r="X1952">
        <v>0</v>
      </c>
      <c r="Y1952">
        <v>0</v>
      </c>
      <c r="Z1952">
        <f>'Résultat (Ln)'!F$30+'Résultat (Ln)'!F$31*Données!S1952+'Résultat (Ln)'!F$32*Données!T1952+'Résultat (Ln)'!F$33*Données!U1952+'Résultat (Ln)'!F$34*Données!V1952+'Résultat (Ln)'!F$35*Données!W1952+'Résultat (Ln)'!F$36*Données!X1952+'Résultat (Ln)'!F$37*Données!Y1952</f>
        <v>96419.390679527598</v>
      </c>
      <c r="AA1952">
        <f t="shared" si="123"/>
        <v>-419.39067952759797</v>
      </c>
    </row>
    <row r="1953" spans="1:27" x14ac:dyDescent="0.25">
      <c r="A1953">
        <v>115000</v>
      </c>
      <c r="B1953">
        <v>1</v>
      </c>
      <c r="C1953">
        <v>33</v>
      </c>
      <c r="D1953">
        <v>0</v>
      </c>
      <c r="E1953">
        <v>130000</v>
      </c>
      <c r="F1953">
        <v>4158</v>
      </c>
      <c r="G1953">
        <v>1</v>
      </c>
      <c r="H1953">
        <v>0</v>
      </c>
      <c r="I1953">
        <v>0</v>
      </c>
      <c r="J1953">
        <v>24</v>
      </c>
      <c r="K1953">
        <v>1</v>
      </c>
      <c r="L1953">
        <f>Résultats!G$32+Résultats!G$33*Données!C1953+Résultats!G$34*Données!D1953+Résultats!G$35*Données!E1953+Résultats!G$36*Données!F1953+Résultats!G$37*Données!G1953+Résultats!G$38*Données!H1953+Résultats!G$39*Données!I1953</f>
        <v>110245.59178207238</v>
      </c>
      <c r="M1953">
        <f t="shared" si="120"/>
        <v>4754.4082179276156</v>
      </c>
      <c r="Q1953">
        <v>108000</v>
      </c>
      <c r="R1953">
        <v>1</v>
      </c>
      <c r="S1953">
        <v>32</v>
      </c>
      <c r="T1953">
        <v>0</v>
      </c>
      <c r="U1953">
        <f t="shared" si="121"/>
        <v>11.813030057420567</v>
      </c>
      <c r="V1953">
        <f t="shared" si="122"/>
        <v>8.0808564196409858</v>
      </c>
      <c r="W1953">
        <v>1</v>
      </c>
      <c r="X1953">
        <v>0</v>
      </c>
      <c r="Y1953">
        <v>1</v>
      </c>
      <c r="Z1953">
        <f>'Résultat (Ln)'!F$30+'Résultat (Ln)'!F$31*Données!S1953+'Résultat (Ln)'!F$32*Données!T1953+'Résultat (Ln)'!F$33*Données!U1953+'Résultat (Ln)'!F$34*Données!V1953+'Résultat (Ln)'!F$35*Données!W1953+'Résultat (Ln)'!F$36*Données!X1953+'Résultat (Ln)'!F$37*Données!Y1953</f>
        <v>120814.72007696632</v>
      </c>
      <c r="AA1953">
        <f t="shared" si="123"/>
        <v>-12814.720076966318</v>
      </c>
    </row>
    <row r="1954" spans="1:27" x14ac:dyDescent="0.25">
      <c r="A1954">
        <v>104000</v>
      </c>
      <c r="B1954">
        <v>1</v>
      </c>
      <c r="C1954">
        <v>40</v>
      </c>
      <c r="D1954">
        <v>0</v>
      </c>
      <c r="E1954">
        <v>263000</v>
      </c>
      <c r="F1954">
        <v>4304</v>
      </c>
      <c r="G1954">
        <v>0</v>
      </c>
      <c r="H1954">
        <v>0</v>
      </c>
      <c r="I1954">
        <v>1</v>
      </c>
      <c r="J1954">
        <v>27.879999160766602</v>
      </c>
      <c r="K1954">
        <v>1</v>
      </c>
      <c r="L1954">
        <f>Résultats!G$32+Résultats!G$33*Données!C1954+Résultats!G$34*Données!D1954+Résultats!G$35*Données!E1954+Résultats!G$36*Données!F1954+Résultats!G$37*Données!G1954+Résultats!G$38*Données!H1954+Résultats!G$39*Données!I1954</f>
        <v>183582.82450067549</v>
      </c>
      <c r="M1954">
        <f t="shared" si="120"/>
        <v>-79582.824500675488</v>
      </c>
      <c r="Q1954">
        <v>115000</v>
      </c>
      <c r="R1954">
        <v>1</v>
      </c>
      <c r="S1954">
        <v>33</v>
      </c>
      <c r="T1954">
        <v>0</v>
      </c>
      <c r="U1954">
        <f t="shared" si="121"/>
        <v>11.77528972943772</v>
      </c>
      <c r="V1954">
        <f t="shared" si="122"/>
        <v>8.3327894684179586</v>
      </c>
      <c r="W1954">
        <v>1</v>
      </c>
      <c r="X1954">
        <v>0</v>
      </c>
      <c r="Y1954">
        <v>0</v>
      </c>
      <c r="Z1954">
        <f>'Résultat (Ln)'!F$30+'Résultat (Ln)'!F$31*Données!S1954+'Résultat (Ln)'!F$32*Données!T1954+'Résultat (Ln)'!F$33*Données!U1954+'Résultat (Ln)'!F$34*Données!V1954+'Résultat (Ln)'!F$35*Données!W1954+'Résultat (Ln)'!F$36*Données!X1954+'Résultat (Ln)'!F$37*Données!Y1954</f>
        <v>110969.89639859412</v>
      </c>
      <c r="AA1954">
        <f t="shared" si="123"/>
        <v>4030.1036014058773</v>
      </c>
    </row>
    <row r="1955" spans="1:27" x14ac:dyDescent="0.25">
      <c r="A1955">
        <v>53000</v>
      </c>
      <c r="B1955">
        <v>1</v>
      </c>
      <c r="C1955">
        <v>27.89999961853027</v>
      </c>
      <c r="D1955">
        <v>0</v>
      </c>
      <c r="E1955">
        <v>72000</v>
      </c>
      <c r="F1955">
        <v>2340</v>
      </c>
      <c r="G1955">
        <v>1</v>
      </c>
      <c r="H1955">
        <v>0</v>
      </c>
      <c r="I1955">
        <v>0</v>
      </c>
      <c r="J1955">
        <v>27.89999961853027</v>
      </c>
      <c r="K1955">
        <v>1</v>
      </c>
      <c r="L1955">
        <f>Résultats!G$32+Résultats!G$33*Données!C1955+Résultats!G$34*Données!D1955+Résultats!G$35*Données!E1955+Résultats!G$36*Données!F1955+Résultats!G$37*Données!G1955+Résultats!G$38*Données!H1955+Résultats!G$39*Données!I1955</f>
        <v>73781.185396432935</v>
      </c>
      <c r="M1955">
        <f t="shared" si="120"/>
        <v>-20781.185396432935</v>
      </c>
      <c r="Q1955">
        <v>104000</v>
      </c>
      <c r="R1955">
        <v>1</v>
      </c>
      <c r="S1955">
        <v>40</v>
      </c>
      <c r="T1955">
        <v>0</v>
      </c>
      <c r="U1955">
        <f t="shared" si="121"/>
        <v>12.479909311159902</v>
      </c>
      <c r="V1955">
        <f t="shared" si="122"/>
        <v>8.3673001018416198</v>
      </c>
      <c r="W1955">
        <v>0</v>
      </c>
      <c r="X1955">
        <v>0</v>
      </c>
      <c r="Y1955">
        <v>1</v>
      </c>
      <c r="Z1955">
        <f>'Résultat (Ln)'!F$30+'Résultat (Ln)'!F$31*Données!S1955+'Résultat (Ln)'!F$32*Données!T1955+'Résultat (Ln)'!F$33*Données!U1955+'Résultat (Ln)'!F$34*Données!V1955+'Résultat (Ln)'!F$35*Données!W1955+'Résultat (Ln)'!F$36*Données!X1955+'Résultat (Ln)'!F$37*Données!Y1955</f>
        <v>205597.05647006011</v>
      </c>
      <c r="AA1955">
        <f t="shared" si="123"/>
        <v>-101597.05647006011</v>
      </c>
    </row>
    <row r="1956" spans="1:27" x14ac:dyDescent="0.25">
      <c r="A1956">
        <v>71000</v>
      </c>
      <c r="B1956">
        <v>1</v>
      </c>
      <c r="C1956">
        <v>27</v>
      </c>
      <c r="D1956">
        <v>0</v>
      </c>
      <c r="E1956">
        <v>95000</v>
      </c>
      <c r="F1956">
        <v>2900</v>
      </c>
      <c r="G1956">
        <v>0</v>
      </c>
      <c r="H1956">
        <v>0</v>
      </c>
      <c r="I1956">
        <v>0</v>
      </c>
      <c r="J1956">
        <v>26</v>
      </c>
      <c r="K1956">
        <v>0</v>
      </c>
      <c r="L1956">
        <f>Résultats!G$32+Résultats!G$33*Données!C1956+Résultats!G$34*Données!D1956+Résultats!G$35*Données!E1956+Résultats!G$36*Données!F1956+Résultats!G$37*Données!G1956+Résultats!G$38*Données!H1956+Résultats!G$39*Données!I1956</f>
        <v>77555.850116654823</v>
      </c>
      <c r="M1956">
        <f t="shared" si="120"/>
        <v>-6555.8501166548231</v>
      </c>
      <c r="Q1956">
        <v>53000</v>
      </c>
      <c r="R1956">
        <v>1</v>
      </c>
      <c r="S1956">
        <v>27.89999961853027</v>
      </c>
      <c r="T1956">
        <v>0</v>
      </c>
      <c r="U1956">
        <f t="shared" si="121"/>
        <v>11.184421397998193</v>
      </c>
      <c r="V1956">
        <f t="shared" si="122"/>
        <v>7.7579062083517467</v>
      </c>
      <c r="W1956">
        <v>1</v>
      </c>
      <c r="X1956">
        <v>0</v>
      </c>
      <c r="Y1956">
        <v>0</v>
      </c>
      <c r="Z1956">
        <f>'Résultat (Ln)'!F$30+'Résultat (Ln)'!F$31*Données!S1956+'Résultat (Ln)'!F$32*Données!T1956+'Résultat (Ln)'!F$33*Données!U1956+'Résultat (Ln)'!F$34*Données!V1956+'Résultat (Ln)'!F$35*Données!W1956+'Résultat (Ln)'!F$36*Données!X1956+'Résultat (Ln)'!F$37*Données!Y1956</f>
        <v>25275.964694942631</v>
      </c>
      <c r="AA1956">
        <f t="shared" si="123"/>
        <v>27724.035305057369</v>
      </c>
    </row>
    <row r="1957" spans="1:27" x14ac:dyDescent="0.25">
      <c r="A1957">
        <v>40000</v>
      </c>
      <c r="B1957">
        <v>1</v>
      </c>
      <c r="C1957">
        <v>21</v>
      </c>
      <c r="D1957">
        <v>0</v>
      </c>
      <c r="E1957">
        <v>190000</v>
      </c>
      <c r="F1957">
        <v>4106</v>
      </c>
      <c r="G1957">
        <v>1</v>
      </c>
      <c r="H1957">
        <v>0</v>
      </c>
      <c r="I1957">
        <v>0</v>
      </c>
      <c r="J1957">
        <v>15</v>
      </c>
      <c r="K1957">
        <v>1</v>
      </c>
      <c r="L1957">
        <f>Résultats!G$32+Résultats!G$33*Données!C1957+Résultats!G$34*Données!D1957+Résultats!G$35*Données!E1957+Résultats!G$36*Données!F1957+Résultats!G$37*Données!G1957+Résultats!G$38*Données!H1957+Résultats!G$39*Données!I1957</f>
        <v>124377.97840999749</v>
      </c>
      <c r="M1957">
        <f t="shared" si="120"/>
        <v>-84377.978409997493</v>
      </c>
      <c r="Q1957">
        <v>71000</v>
      </c>
      <c r="R1957">
        <v>1</v>
      </c>
      <c r="S1957">
        <v>27</v>
      </c>
      <c r="T1957">
        <v>0</v>
      </c>
      <c r="U1957">
        <f t="shared" si="121"/>
        <v>11.461632170582678</v>
      </c>
      <c r="V1957">
        <f t="shared" si="122"/>
        <v>7.9724660159745655</v>
      </c>
      <c r="W1957">
        <v>0</v>
      </c>
      <c r="X1957">
        <v>0</v>
      </c>
      <c r="Y1957">
        <v>0</v>
      </c>
      <c r="Z1957">
        <f>'Résultat (Ln)'!F$30+'Résultat (Ln)'!F$31*Données!S1957+'Résultat (Ln)'!F$32*Données!T1957+'Résultat (Ln)'!F$33*Données!U1957+'Résultat (Ln)'!F$34*Données!V1957+'Résultat (Ln)'!F$35*Données!W1957+'Résultat (Ln)'!F$36*Données!X1957+'Résultat (Ln)'!F$37*Données!Y1957</f>
        <v>55395.363126664015</v>
      </c>
      <c r="AA1957">
        <f t="shared" si="123"/>
        <v>15604.636873335985</v>
      </c>
    </row>
    <row r="1958" spans="1:27" x14ac:dyDescent="0.25">
      <c r="A1958">
        <v>126000</v>
      </c>
      <c r="B1958">
        <v>1</v>
      </c>
      <c r="C1958">
        <v>36</v>
      </c>
      <c r="D1958">
        <v>1</v>
      </c>
      <c r="E1958">
        <v>133000</v>
      </c>
      <c r="F1958">
        <v>3250</v>
      </c>
      <c r="G1958">
        <v>0</v>
      </c>
      <c r="H1958">
        <v>0</v>
      </c>
      <c r="I1958">
        <v>0</v>
      </c>
      <c r="J1958">
        <v>25</v>
      </c>
      <c r="K1958">
        <v>1</v>
      </c>
      <c r="L1958">
        <f>Résultats!G$32+Résultats!G$33*Données!C1958+Résultats!G$34*Données!D1958+Résultats!G$35*Données!E1958+Résultats!G$36*Données!F1958+Résultats!G$37*Données!G1958+Résultats!G$38*Données!H1958+Résultats!G$39*Données!I1958</f>
        <v>111164.58203157906</v>
      </c>
      <c r="M1958">
        <f t="shared" si="120"/>
        <v>14835.417968420938</v>
      </c>
      <c r="Q1958">
        <v>40000</v>
      </c>
      <c r="R1958">
        <v>1</v>
      </c>
      <c r="S1958">
        <v>21</v>
      </c>
      <c r="T1958">
        <v>0</v>
      </c>
      <c r="U1958">
        <f t="shared" si="121"/>
        <v>12.154779351142624</v>
      </c>
      <c r="V1958">
        <f t="shared" si="122"/>
        <v>8.3202045975788792</v>
      </c>
      <c r="W1958">
        <v>1</v>
      </c>
      <c r="X1958">
        <v>0</v>
      </c>
      <c r="Y1958">
        <v>0</v>
      </c>
      <c r="Z1958">
        <f>'Résultat (Ln)'!F$30+'Résultat (Ln)'!F$31*Données!S1958+'Résultat (Ln)'!F$32*Données!T1958+'Résultat (Ln)'!F$33*Données!U1958+'Résultat (Ln)'!F$34*Données!V1958+'Résultat (Ln)'!F$35*Données!W1958+'Résultat (Ln)'!F$36*Données!X1958+'Résultat (Ln)'!F$37*Données!Y1958</f>
        <v>136632.05702086212</v>
      </c>
      <c r="AA1958">
        <f t="shared" si="123"/>
        <v>-96632.057020862121</v>
      </c>
    </row>
    <row r="1959" spans="1:27" x14ac:dyDescent="0.25">
      <c r="A1959">
        <v>104000</v>
      </c>
      <c r="B1959">
        <v>1</v>
      </c>
      <c r="C1959">
        <v>34</v>
      </c>
      <c r="D1959">
        <v>0</v>
      </c>
      <c r="E1959">
        <v>116000</v>
      </c>
      <c r="F1959">
        <v>3333</v>
      </c>
      <c r="G1959">
        <v>0</v>
      </c>
      <c r="H1959">
        <v>0</v>
      </c>
      <c r="I1959">
        <v>1</v>
      </c>
      <c r="J1959">
        <v>29</v>
      </c>
      <c r="K1959">
        <v>1</v>
      </c>
      <c r="L1959">
        <f>Résultats!G$32+Résultats!G$33*Données!C1959+Résultats!G$34*Données!D1959+Résultats!G$35*Données!E1959+Résultats!G$36*Données!F1959+Résultats!G$37*Données!G1959+Résultats!G$38*Données!H1959+Résultats!G$39*Données!I1959</f>
        <v>106167.08019894506</v>
      </c>
      <c r="M1959">
        <f t="shared" si="120"/>
        <v>-2167.0801989450556</v>
      </c>
      <c r="Q1959">
        <v>126000</v>
      </c>
      <c r="R1959">
        <v>1</v>
      </c>
      <c r="S1959">
        <v>36</v>
      </c>
      <c r="T1959">
        <v>1</v>
      </c>
      <c r="U1959">
        <f t="shared" si="121"/>
        <v>11.798104407203891</v>
      </c>
      <c r="V1959">
        <f t="shared" si="122"/>
        <v>8.0864102753237823</v>
      </c>
      <c r="W1959">
        <v>0</v>
      </c>
      <c r="X1959">
        <v>0</v>
      </c>
      <c r="Y1959">
        <v>0</v>
      </c>
      <c r="Z1959">
        <f>'Résultat (Ln)'!F$30+'Résultat (Ln)'!F$31*Données!S1959+'Résultat (Ln)'!F$32*Données!T1959+'Résultat (Ln)'!F$33*Données!U1959+'Résultat (Ln)'!F$34*Données!V1959+'Résultat (Ln)'!F$35*Données!W1959+'Résultat (Ln)'!F$36*Données!X1959+'Résultat (Ln)'!F$37*Données!Y1959</f>
        <v>110006.53292525519</v>
      </c>
      <c r="AA1959">
        <f t="shared" si="123"/>
        <v>15993.467074744811</v>
      </c>
    </row>
    <row r="1960" spans="1:27" x14ac:dyDescent="0.25">
      <c r="A1960">
        <v>104000</v>
      </c>
      <c r="B1960">
        <v>1</v>
      </c>
      <c r="C1960">
        <v>38.700000762939453</v>
      </c>
      <c r="D1960">
        <v>0</v>
      </c>
      <c r="E1960">
        <v>116000</v>
      </c>
      <c r="F1960">
        <v>3857</v>
      </c>
      <c r="G1960">
        <v>0</v>
      </c>
      <c r="H1960">
        <v>1</v>
      </c>
      <c r="I1960">
        <v>0</v>
      </c>
      <c r="J1960">
        <v>26.5</v>
      </c>
      <c r="K1960">
        <v>1</v>
      </c>
      <c r="L1960">
        <f>Résultats!G$32+Résultats!G$33*Données!C1960+Résultats!G$34*Données!D1960+Résultats!G$35*Données!E1960+Résultats!G$36*Données!F1960+Résultats!G$37*Données!G1960+Résultats!G$38*Données!H1960+Résultats!G$39*Données!I1960</f>
        <v>101030.49910067422</v>
      </c>
      <c r="M1960">
        <f t="shared" si="120"/>
        <v>2969.5008993257798</v>
      </c>
      <c r="Q1960">
        <v>104000</v>
      </c>
      <c r="R1960">
        <v>1</v>
      </c>
      <c r="S1960">
        <v>34</v>
      </c>
      <c r="T1960">
        <v>0</v>
      </c>
      <c r="U1960">
        <f t="shared" si="121"/>
        <v>11.661345470088502</v>
      </c>
      <c r="V1960">
        <f t="shared" si="122"/>
        <v>8.1116280783077404</v>
      </c>
      <c r="W1960">
        <v>0</v>
      </c>
      <c r="X1960">
        <v>0</v>
      </c>
      <c r="Y1960">
        <v>1</v>
      </c>
      <c r="Z1960">
        <f>'Résultat (Ln)'!F$30+'Résultat (Ln)'!F$31*Données!S1960+'Résultat (Ln)'!F$32*Données!T1960+'Résultat (Ln)'!F$33*Données!U1960+'Résultat (Ln)'!F$34*Données!V1960+'Résultat (Ln)'!F$35*Données!W1960+'Résultat (Ln)'!F$36*Données!X1960+'Résultat (Ln)'!F$37*Données!Y1960</f>
        <v>103347.87146655426</v>
      </c>
      <c r="AA1960">
        <f t="shared" si="123"/>
        <v>652.12853344573523</v>
      </c>
    </row>
    <row r="1961" spans="1:27" x14ac:dyDescent="0.25">
      <c r="A1961">
        <v>253000</v>
      </c>
      <c r="B1961">
        <v>1</v>
      </c>
      <c r="C1961">
        <v>40.299999237060547</v>
      </c>
      <c r="D1961">
        <v>0</v>
      </c>
      <c r="E1961">
        <v>316000</v>
      </c>
      <c r="F1961">
        <v>8072</v>
      </c>
      <c r="G1961">
        <v>1</v>
      </c>
      <c r="H1961">
        <v>0</v>
      </c>
      <c r="I1961">
        <v>1</v>
      </c>
      <c r="J1961">
        <v>34.400001525878913</v>
      </c>
      <c r="K1961">
        <v>1</v>
      </c>
      <c r="L1961">
        <f>Résultats!G$32+Résultats!G$33*Données!C1961+Résultats!G$34*Données!D1961+Résultats!G$35*Données!E1961+Résultats!G$36*Données!F1961+Résultats!G$37*Données!G1961+Résultats!G$38*Données!H1961+Résultats!G$39*Données!I1961</f>
        <v>222994.14925291034</v>
      </c>
      <c r="M1961">
        <f t="shared" si="120"/>
        <v>30005.850747089658</v>
      </c>
      <c r="Q1961">
        <v>104000</v>
      </c>
      <c r="R1961">
        <v>1</v>
      </c>
      <c r="S1961">
        <v>38.700000762939453</v>
      </c>
      <c r="T1961">
        <v>0</v>
      </c>
      <c r="U1961">
        <f t="shared" si="121"/>
        <v>11.661345470088502</v>
      </c>
      <c r="V1961">
        <f t="shared" si="122"/>
        <v>8.2576449582082283</v>
      </c>
      <c r="W1961">
        <v>0</v>
      </c>
      <c r="X1961">
        <v>1</v>
      </c>
      <c r="Y1961">
        <v>0</v>
      </c>
      <c r="Z1961">
        <f>'Résultat (Ln)'!F$30+'Résultat (Ln)'!F$31*Données!S1961+'Résultat (Ln)'!F$32*Données!T1961+'Résultat (Ln)'!F$33*Données!U1961+'Résultat (Ln)'!F$34*Données!V1961+'Résultat (Ln)'!F$35*Données!W1961+'Résultat (Ln)'!F$36*Données!X1961+'Résultat (Ln)'!F$37*Données!Y1961</f>
        <v>98922.154133630553</v>
      </c>
      <c r="AA1961">
        <f t="shared" si="123"/>
        <v>5077.8458663694473</v>
      </c>
    </row>
    <row r="1962" spans="1:27" x14ac:dyDescent="0.25">
      <c r="A1962">
        <v>187000</v>
      </c>
      <c r="B1962">
        <v>1</v>
      </c>
      <c r="C1962">
        <v>29</v>
      </c>
      <c r="D1962">
        <v>0</v>
      </c>
      <c r="E1962">
        <v>325000</v>
      </c>
      <c r="F1962">
        <v>7583</v>
      </c>
      <c r="G1962">
        <v>1</v>
      </c>
      <c r="H1962">
        <v>0</v>
      </c>
      <c r="I1962">
        <v>0</v>
      </c>
      <c r="J1962">
        <v>28</v>
      </c>
      <c r="K1962">
        <v>1</v>
      </c>
      <c r="L1962">
        <f>Résultats!G$32+Résultats!G$33*Données!C1962+Résultats!G$34*Données!D1962+Résultats!G$35*Données!E1962+Résultats!G$36*Données!F1962+Résultats!G$37*Données!G1962+Résultats!G$38*Données!H1962+Résultats!G$39*Données!I1962</f>
        <v>203343.71938447608</v>
      </c>
      <c r="M1962">
        <f t="shared" si="120"/>
        <v>-16343.719384476077</v>
      </c>
      <c r="Q1962">
        <v>253000</v>
      </c>
      <c r="R1962">
        <v>1</v>
      </c>
      <c r="S1962">
        <v>40.299999237060547</v>
      </c>
      <c r="T1962">
        <v>0</v>
      </c>
      <c r="U1962">
        <f t="shared" si="121"/>
        <v>12.66349749256905</v>
      </c>
      <c r="V1962">
        <f t="shared" si="122"/>
        <v>8.9961565620334447</v>
      </c>
      <c r="W1962">
        <v>1</v>
      </c>
      <c r="X1962">
        <v>0</v>
      </c>
      <c r="Y1962">
        <v>1</v>
      </c>
      <c r="Z1962">
        <f>'Résultat (Ln)'!F$30+'Résultat (Ln)'!F$31*Données!S1962+'Résultat (Ln)'!F$32*Données!T1962+'Résultat (Ln)'!F$33*Données!U1962+'Résultat (Ln)'!F$34*Données!V1962+'Résultat (Ln)'!F$35*Données!W1962+'Résultat (Ln)'!F$36*Données!X1962+'Résultat (Ln)'!F$37*Données!Y1962</f>
        <v>247794.31581591803</v>
      </c>
      <c r="AA1962">
        <f t="shared" si="123"/>
        <v>5205.6841840819689</v>
      </c>
    </row>
    <row r="1963" spans="1:27" x14ac:dyDescent="0.25">
      <c r="A1963">
        <v>120000</v>
      </c>
      <c r="B1963">
        <v>1</v>
      </c>
      <c r="C1963">
        <v>28.79999923706055</v>
      </c>
      <c r="D1963">
        <v>0</v>
      </c>
      <c r="E1963">
        <v>160000</v>
      </c>
      <c r="F1963">
        <v>2340</v>
      </c>
      <c r="G1963">
        <v>0</v>
      </c>
      <c r="H1963">
        <v>1</v>
      </c>
      <c r="I1963">
        <v>0</v>
      </c>
      <c r="J1963">
        <v>28.79999923706055</v>
      </c>
      <c r="K1963">
        <v>1</v>
      </c>
      <c r="L1963">
        <f>Résultats!G$32+Résultats!G$33*Données!C1963+Résultats!G$34*Données!D1963+Résultats!G$35*Données!E1963+Résultats!G$36*Données!F1963+Résultats!G$37*Données!G1963+Résultats!G$38*Données!H1963+Résultats!G$39*Données!I1963</f>
        <v>107264.98098242047</v>
      </c>
      <c r="M1963">
        <f t="shared" si="120"/>
        <v>12735.019017579529</v>
      </c>
      <c r="Q1963">
        <v>187000</v>
      </c>
      <c r="R1963">
        <v>1</v>
      </c>
      <c r="S1963">
        <v>29</v>
      </c>
      <c r="T1963">
        <v>0</v>
      </c>
      <c r="U1963">
        <f t="shared" si="121"/>
        <v>12.691580461311874</v>
      </c>
      <c r="V1963">
        <f t="shared" si="122"/>
        <v>8.9336641787009352</v>
      </c>
      <c r="W1963">
        <v>1</v>
      </c>
      <c r="X1963">
        <v>0</v>
      </c>
      <c r="Y1963">
        <v>0</v>
      </c>
      <c r="Z1963">
        <f>'Résultat (Ln)'!F$30+'Résultat (Ln)'!F$31*Données!S1963+'Résultat (Ln)'!F$32*Données!T1963+'Résultat (Ln)'!F$33*Données!U1963+'Résultat (Ln)'!F$34*Données!V1963+'Résultat (Ln)'!F$35*Données!W1963+'Résultat (Ln)'!F$36*Données!X1963+'Résultat (Ln)'!F$37*Données!Y1963</f>
        <v>221156.0441732562</v>
      </c>
      <c r="AA1963">
        <f t="shared" si="123"/>
        <v>-34156.044173256203</v>
      </c>
    </row>
    <row r="1964" spans="1:27" x14ac:dyDescent="0.25">
      <c r="A1964">
        <v>158000</v>
      </c>
      <c r="B1964">
        <v>1</v>
      </c>
      <c r="C1964">
        <v>29.29999923706055</v>
      </c>
      <c r="D1964">
        <v>0</v>
      </c>
      <c r="E1964">
        <v>176000</v>
      </c>
      <c r="F1964">
        <v>5000</v>
      </c>
      <c r="G1964">
        <v>1</v>
      </c>
      <c r="H1964">
        <v>0</v>
      </c>
      <c r="I1964">
        <v>1</v>
      </c>
      <c r="J1964">
        <v>20.29999923706055</v>
      </c>
      <c r="K1964">
        <v>1</v>
      </c>
      <c r="L1964">
        <f>Résultats!G$32+Résultats!G$33*Données!C1964+Résultats!G$34*Données!D1964+Résultats!G$35*Données!E1964+Résultats!G$36*Données!F1964+Résultats!G$37*Données!G1964+Résultats!G$38*Données!H1964+Résultats!G$39*Données!I1964</f>
        <v>139032.43468084658</v>
      </c>
      <c r="M1964">
        <f t="shared" si="120"/>
        <v>18967.565319153422</v>
      </c>
      <c r="Q1964">
        <v>120000</v>
      </c>
      <c r="R1964">
        <v>1</v>
      </c>
      <c r="S1964">
        <v>28.79999923706055</v>
      </c>
      <c r="T1964">
        <v>0</v>
      </c>
      <c r="U1964">
        <f t="shared" si="121"/>
        <v>11.982929094215963</v>
      </c>
      <c r="V1964">
        <f t="shared" si="122"/>
        <v>7.7579062083517467</v>
      </c>
      <c r="W1964">
        <v>0</v>
      </c>
      <c r="X1964">
        <v>1</v>
      </c>
      <c r="Y1964">
        <v>0</v>
      </c>
      <c r="Z1964">
        <f>'Résultat (Ln)'!F$30+'Résultat (Ln)'!F$31*Données!S1964+'Résultat (Ln)'!F$32*Données!T1964+'Résultat (Ln)'!F$33*Données!U1964+'Résultat (Ln)'!F$34*Données!V1964+'Résultat (Ln)'!F$35*Données!W1964+'Résultat (Ln)'!F$36*Données!X1964+'Résultat (Ln)'!F$37*Données!Y1964</f>
        <v>107280.71592666804</v>
      </c>
      <c r="AA1964">
        <f t="shared" si="123"/>
        <v>12719.284073331961</v>
      </c>
    </row>
    <row r="1965" spans="1:27" x14ac:dyDescent="0.25">
      <c r="A1965">
        <v>35000</v>
      </c>
      <c r="B1965">
        <v>1</v>
      </c>
      <c r="C1965">
        <v>20</v>
      </c>
      <c r="D1965">
        <v>0</v>
      </c>
      <c r="E1965">
        <v>315000</v>
      </c>
      <c r="F1965">
        <v>9583</v>
      </c>
      <c r="G1965">
        <v>1</v>
      </c>
      <c r="H1965">
        <v>0</v>
      </c>
      <c r="I1965">
        <v>0</v>
      </c>
      <c r="J1965">
        <v>8</v>
      </c>
      <c r="K1965">
        <v>1</v>
      </c>
      <c r="L1965">
        <f>Résultats!G$32+Résultats!G$33*Données!C1965+Résultats!G$34*Données!D1965+Résultats!G$35*Données!E1965+Résultats!G$36*Données!F1965+Résultats!G$37*Données!G1965+Résultats!G$38*Données!H1965+Résultats!G$39*Données!I1965</f>
        <v>192211.72801720191</v>
      </c>
      <c r="M1965">
        <f t="shared" si="120"/>
        <v>-157211.72801720191</v>
      </c>
      <c r="Q1965">
        <v>158000</v>
      </c>
      <c r="R1965">
        <v>1</v>
      </c>
      <c r="S1965">
        <v>29.29999923706055</v>
      </c>
      <c r="T1965">
        <v>0</v>
      </c>
      <c r="U1965">
        <f t="shared" si="121"/>
        <v>12.078239274020289</v>
      </c>
      <c r="V1965">
        <f t="shared" si="122"/>
        <v>8.5171931914162382</v>
      </c>
      <c r="W1965">
        <v>1</v>
      </c>
      <c r="X1965">
        <v>0</v>
      </c>
      <c r="Y1965">
        <v>1</v>
      </c>
      <c r="Z1965">
        <f>'Résultat (Ln)'!F$30+'Résultat (Ln)'!F$31*Données!S1965+'Résultat (Ln)'!F$32*Données!T1965+'Résultat (Ln)'!F$33*Données!U1965+'Résultat (Ln)'!F$34*Données!V1965+'Résultat (Ln)'!F$35*Données!W1965+'Résultat (Ln)'!F$36*Données!X1965+'Résultat (Ln)'!F$37*Données!Y1965</f>
        <v>158181.87144008547</v>
      </c>
      <c r="AA1965">
        <f t="shared" si="123"/>
        <v>-181.87144008546602</v>
      </c>
    </row>
    <row r="1966" spans="1:27" x14ac:dyDescent="0.25">
      <c r="A1966">
        <v>225000</v>
      </c>
      <c r="B1966">
        <v>1</v>
      </c>
      <c r="C1966">
        <v>60.5</v>
      </c>
      <c r="D1966">
        <v>0</v>
      </c>
      <c r="E1966">
        <v>225000</v>
      </c>
      <c r="F1966">
        <v>4159</v>
      </c>
      <c r="G1966">
        <v>1</v>
      </c>
      <c r="H1966">
        <v>0</v>
      </c>
      <c r="I1966">
        <v>1</v>
      </c>
      <c r="J1966">
        <v>56.099998474121087</v>
      </c>
      <c r="K1966">
        <v>1</v>
      </c>
      <c r="L1966">
        <f>Résultats!G$32+Résultats!G$33*Données!C1966+Résultats!G$34*Données!D1966+Résultats!G$35*Données!E1966+Résultats!G$36*Données!F1966+Résultats!G$37*Données!G1966+Résultats!G$38*Données!H1966+Résultats!G$39*Données!I1966</f>
        <v>196121.98237604351</v>
      </c>
      <c r="M1966">
        <f t="shared" si="120"/>
        <v>28878.01762395649</v>
      </c>
      <c r="Q1966">
        <v>35000</v>
      </c>
      <c r="R1966">
        <v>1</v>
      </c>
      <c r="S1966">
        <v>20</v>
      </c>
      <c r="T1966">
        <v>0</v>
      </c>
      <c r="U1966">
        <f t="shared" si="121"/>
        <v>12.66032791780777</v>
      </c>
      <c r="V1966">
        <f t="shared" si="122"/>
        <v>9.167745974343763</v>
      </c>
      <c r="W1966">
        <v>1</v>
      </c>
      <c r="X1966">
        <v>0</v>
      </c>
      <c r="Y1966">
        <v>0</v>
      </c>
      <c r="Z1966">
        <f>'Résultat (Ln)'!F$30+'Résultat (Ln)'!F$31*Données!S1966+'Résultat (Ln)'!F$32*Données!T1966+'Résultat (Ln)'!F$33*Données!U1966+'Résultat (Ln)'!F$34*Données!V1966+'Résultat (Ln)'!F$35*Données!W1966+'Résultat (Ln)'!F$36*Données!X1966+'Résultat (Ln)'!F$37*Données!Y1966</f>
        <v>213372.55090403528</v>
      </c>
      <c r="AA1966">
        <f t="shared" si="123"/>
        <v>-178372.55090403528</v>
      </c>
    </row>
    <row r="1967" spans="1:27" x14ac:dyDescent="0.25">
      <c r="A1967">
        <v>98000</v>
      </c>
      <c r="B1967">
        <v>1</v>
      </c>
      <c r="C1967">
        <v>17</v>
      </c>
      <c r="D1967">
        <v>0</v>
      </c>
      <c r="E1967">
        <v>215000</v>
      </c>
      <c r="F1967">
        <v>9200</v>
      </c>
      <c r="G1967">
        <v>0</v>
      </c>
      <c r="H1967">
        <v>0</v>
      </c>
      <c r="I1967">
        <v>0</v>
      </c>
      <c r="J1967">
        <v>16</v>
      </c>
      <c r="K1967">
        <v>1</v>
      </c>
      <c r="L1967">
        <f>Résultats!G$32+Résultats!G$33*Données!C1967+Résultats!G$34*Données!D1967+Résultats!G$35*Données!E1967+Résultats!G$36*Données!F1967+Résultats!G$37*Données!G1967+Résultats!G$38*Données!H1967+Résultats!G$39*Données!I1967</f>
        <v>134311.59897045358</v>
      </c>
      <c r="M1967">
        <f t="shared" si="120"/>
        <v>-36311.598970453575</v>
      </c>
      <c r="Q1967">
        <v>225000</v>
      </c>
      <c r="R1967">
        <v>1</v>
      </c>
      <c r="S1967">
        <v>60.5</v>
      </c>
      <c r="T1967">
        <v>0</v>
      </c>
      <c r="U1967">
        <f t="shared" si="121"/>
        <v>12.323855681186558</v>
      </c>
      <c r="V1967">
        <f t="shared" si="122"/>
        <v>8.3330299397429108</v>
      </c>
      <c r="W1967">
        <v>1</v>
      </c>
      <c r="X1967">
        <v>0</v>
      </c>
      <c r="Y1967">
        <v>1</v>
      </c>
      <c r="Z1967">
        <f>'Résultat (Ln)'!F$30+'Résultat (Ln)'!F$31*Données!S1967+'Résultat (Ln)'!F$32*Données!T1967+'Résultat (Ln)'!F$33*Données!U1967+'Résultat (Ln)'!F$34*Données!V1967+'Résultat (Ln)'!F$35*Données!W1967+'Résultat (Ln)'!F$36*Données!X1967+'Résultat (Ln)'!F$37*Données!Y1967</f>
        <v>217473.53608794985</v>
      </c>
      <c r="AA1967">
        <f t="shared" si="123"/>
        <v>7526.4639120501524</v>
      </c>
    </row>
    <row r="1968" spans="1:27" x14ac:dyDescent="0.25">
      <c r="A1968">
        <v>133000</v>
      </c>
      <c r="B1968">
        <v>1</v>
      </c>
      <c r="C1968">
        <v>47</v>
      </c>
      <c r="D1968">
        <v>0</v>
      </c>
      <c r="E1968">
        <v>148000</v>
      </c>
      <c r="F1968">
        <v>4583</v>
      </c>
      <c r="G1968">
        <v>0</v>
      </c>
      <c r="H1968">
        <v>0</v>
      </c>
      <c r="I1968">
        <v>0</v>
      </c>
      <c r="J1968">
        <v>31</v>
      </c>
      <c r="K1968">
        <v>0</v>
      </c>
      <c r="L1968">
        <f>Résultats!G$32+Résultats!G$33*Données!C1968+Résultats!G$34*Données!D1968+Résultats!G$35*Données!E1968+Résultats!G$36*Données!F1968+Résultats!G$37*Données!G1968+Résultats!G$38*Données!H1968+Résultats!G$39*Données!I1968</f>
        <v>128539.07707522539</v>
      </c>
      <c r="M1968">
        <f t="shared" si="120"/>
        <v>4460.9229247746116</v>
      </c>
      <c r="Q1968">
        <v>98000</v>
      </c>
      <c r="R1968">
        <v>1</v>
      </c>
      <c r="S1968">
        <v>17</v>
      </c>
      <c r="T1968">
        <v>0</v>
      </c>
      <c r="U1968">
        <f t="shared" si="121"/>
        <v>12.2783933071098</v>
      </c>
      <c r="V1968">
        <f t="shared" si="122"/>
        <v>9.1269587630371323</v>
      </c>
      <c r="W1968">
        <v>0</v>
      </c>
      <c r="X1968">
        <v>0</v>
      </c>
      <c r="Y1968">
        <v>0</v>
      </c>
      <c r="Z1968">
        <f>'Résultat (Ln)'!F$30+'Résultat (Ln)'!F$31*Données!S1968+'Résultat (Ln)'!F$32*Données!T1968+'Résultat (Ln)'!F$33*Données!U1968+'Résultat (Ln)'!F$34*Données!V1968+'Résultat (Ln)'!F$35*Données!W1968+'Résultat (Ln)'!F$36*Données!X1968+'Résultat (Ln)'!F$37*Données!Y1968</f>
        <v>163106.79053435227</v>
      </c>
      <c r="AA1968">
        <f t="shared" si="123"/>
        <v>-65106.790534352273</v>
      </c>
    </row>
    <row r="1969" spans="17:27" x14ac:dyDescent="0.25">
      <c r="Q1969">
        <v>133000</v>
      </c>
      <c r="R1969">
        <v>1</v>
      </c>
      <c r="S1969">
        <v>47</v>
      </c>
      <c r="T1969">
        <v>0</v>
      </c>
      <c r="U1969">
        <f t="shared" si="121"/>
        <v>11.904967552746252</v>
      </c>
      <c r="V1969">
        <f t="shared" si="122"/>
        <v>8.4301090845091249</v>
      </c>
      <c r="W1969">
        <v>0</v>
      </c>
      <c r="X1969">
        <v>0</v>
      </c>
      <c r="Y1969">
        <v>0</v>
      </c>
      <c r="Z1969">
        <f>'Résultat (Ln)'!F$30+'Résultat (Ln)'!F$31*Données!S1969+'Résultat (Ln)'!F$32*Données!T1969+'Résultat (Ln)'!F$33*Données!U1969+'Résultat (Ln)'!F$34*Données!V1969+'Résultat (Ln)'!F$35*Données!W1969+'Résultat (Ln)'!F$36*Données!X1969+'Résultat (Ln)'!F$37*Données!Y1969</f>
        <v>140194.73262175091</v>
      </c>
      <c r="AA1969">
        <f t="shared" si="123"/>
        <v>-7194.7326217509108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2692-1508-40AF-9249-5EF8E389F934}">
  <dimension ref="A1:W99"/>
  <sheetViews>
    <sheetView tabSelected="1" topLeftCell="A15" zoomScale="70" zoomScaleNormal="70" workbookViewId="0">
      <selection activeCell="G108" sqref="G108"/>
    </sheetView>
  </sheetViews>
  <sheetFormatPr baseColWidth="10" defaultRowHeight="15" x14ac:dyDescent="0.25"/>
  <cols>
    <col min="2" max="2" width="11.7109375" bestFit="1" customWidth="1"/>
    <col min="3" max="3" width="13" customWidth="1"/>
    <col min="4" max="4" width="15.140625" customWidth="1"/>
    <col min="5" max="6" width="13.7109375" bestFit="1" customWidth="1"/>
    <col min="7" max="7" width="14.42578125" customWidth="1"/>
    <col min="8" max="8" width="14" bestFit="1" customWidth="1"/>
    <col min="9" max="9" width="12.28515625" bestFit="1" customWidth="1"/>
    <col min="10" max="10" width="16.140625" customWidth="1"/>
    <col min="11" max="11" width="12.7109375" bestFit="1" customWidth="1"/>
    <col min="12" max="12" width="14" bestFit="1" customWidth="1"/>
    <col min="13" max="15" width="14.7109375" bestFit="1" customWidth="1"/>
    <col min="16" max="16" width="12.28515625" bestFit="1" customWidth="1"/>
    <col min="17" max="17" width="11.7109375" bestFit="1" customWidth="1"/>
    <col min="18" max="18" width="12" bestFit="1" customWidth="1"/>
    <col min="19" max="19" width="13.5703125" customWidth="1"/>
    <col min="21" max="21" width="8.5703125" customWidth="1"/>
    <col min="22" max="22" width="12.85546875" customWidth="1"/>
  </cols>
  <sheetData>
    <row r="1" spans="1:23" ht="28.9" customHeight="1" x14ac:dyDescent="0.25">
      <c r="A1" s="30" t="s">
        <v>22</v>
      </c>
      <c r="B1" s="31"/>
      <c r="C1" s="31"/>
      <c r="D1" s="31"/>
      <c r="E1" s="31"/>
      <c r="F1" s="31"/>
      <c r="G1" s="31"/>
      <c r="H1" s="31"/>
      <c r="I1" s="31"/>
      <c r="J1" s="31"/>
    </row>
    <row r="3" spans="1:23" x14ac:dyDescent="0.25">
      <c r="A3" s="11"/>
    </row>
    <row r="4" spans="1:23" x14ac:dyDescent="0.25">
      <c r="A4" s="29" t="s">
        <v>23</v>
      </c>
      <c r="B4" s="28">
        <v>7</v>
      </c>
    </row>
    <row r="5" spans="1:23" x14ac:dyDescent="0.25">
      <c r="A5" s="29" t="s">
        <v>24</v>
      </c>
      <c r="B5" s="28">
        <v>1967</v>
      </c>
      <c r="D5" s="13" t="s">
        <v>31</v>
      </c>
      <c r="E5" s="14">
        <f>MIN(Données!C2:C1968)</f>
        <v>0</v>
      </c>
      <c r="G5" s="13" t="s">
        <v>41</v>
      </c>
      <c r="H5" s="14">
        <f>MIN(Données!D2:D1968)</f>
        <v>0</v>
      </c>
      <c r="J5" s="13" t="s">
        <v>46</v>
      </c>
      <c r="K5" s="14">
        <f>MIN(Données!E2:E1968)</f>
        <v>25000</v>
      </c>
      <c r="M5" s="13" t="s">
        <v>51</v>
      </c>
      <c r="N5" s="14">
        <f>MIN(Données!F2:F1968)</f>
        <v>150</v>
      </c>
      <c r="P5" s="13" t="s">
        <v>82</v>
      </c>
      <c r="Q5" s="14">
        <f>MIN(Données!G2:G1968)</f>
        <v>0</v>
      </c>
      <c r="S5" s="13" t="s">
        <v>129</v>
      </c>
      <c r="T5" s="14">
        <f>MIN(Données!H2:H1968)</f>
        <v>0</v>
      </c>
      <c r="V5" s="13" t="s">
        <v>135</v>
      </c>
      <c r="W5" s="14">
        <f>MIN(Données!I2:I1968)</f>
        <v>0</v>
      </c>
    </row>
    <row r="6" spans="1:23" x14ac:dyDescent="0.25">
      <c r="A6" s="29" t="s">
        <v>25</v>
      </c>
      <c r="B6" s="28">
        <f>MIN(Données!A2:A1968)</f>
        <v>2000</v>
      </c>
      <c r="D6" s="11" t="s">
        <v>37</v>
      </c>
      <c r="E6" s="14">
        <f>MAX(Données!C2:C1968)</f>
        <v>95</v>
      </c>
      <c r="G6" s="11" t="s">
        <v>42</v>
      </c>
      <c r="H6" s="14">
        <f>MAX(Données!D2:D1968)</f>
        <v>1</v>
      </c>
      <c r="J6" s="11" t="s">
        <v>47</v>
      </c>
      <c r="K6" s="14">
        <f>MAX(Données!E2:E1968)</f>
        <v>1535000</v>
      </c>
      <c r="M6" s="11" t="s">
        <v>52</v>
      </c>
      <c r="N6" s="14">
        <f>MAX(Données!F2:F1968)</f>
        <v>81000</v>
      </c>
      <c r="P6" s="11" t="s">
        <v>83</v>
      </c>
      <c r="Q6" s="14">
        <f>MAX(Données!G2:G1968)</f>
        <v>1</v>
      </c>
      <c r="S6" s="11" t="s">
        <v>130</v>
      </c>
      <c r="T6" s="14">
        <f>MAX(Données!H3:H1969)</f>
        <v>9</v>
      </c>
      <c r="V6" s="11" t="s">
        <v>134</v>
      </c>
      <c r="W6" s="14">
        <f>MAX(Données!I3:I1969)</f>
        <v>1</v>
      </c>
    </row>
    <row r="7" spans="1:23" x14ac:dyDescent="0.25">
      <c r="A7" s="29" t="s">
        <v>26</v>
      </c>
      <c r="B7" s="28">
        <f>MAX(Données!A2:A1968)</f>
        <v>980000</v>
      </c>
      <c r="D7" s="11" t="s">
        <v>38</v>
      </c>
      <c r="E7" s="14">
        <f>_xlfn.STDEV.S(Données!C2:C1968)</f>
        <v>8.2746545192275622</v>
      </c>
      <c r="G7" s="11" t="s">
        <v>43</v>
      </c>
      <c r="H7" s="14">
        <f>_xlfn.STDEV.S(Données!D2:D1968)</f>
        <v>0.25202272029028777</v>
      </c>
      <c r="J7" s="11" t="s">
        <v>48</v>
      </c>
      <c r="K7" s="14">
        <f>_xlfn.STDEV.S(Données!E2:E1968)</f>
        <v>128691.94151327676</v>
      </c>
      <c r="M7" s="11" t="s">
        <v>53</v>
      </c>
      <c r="N7" s="14">
        <f>_xlfn.STDEV.S(Données!F2:F1968)</f>
        <v>5289.1043555183351</v>
      </c>
      <c r="P7" s="11" t="s">
        <v>84</v>
      </c>
      <c r="Q7" s="14">
        <f>_xlfn.STDEV.S(Données!G2:G1968)</f>
        <v>0.47369507572838943</v>
      </c>
      <c r="S7" s="11" t="s">
        <v>131</v>
      </c>
      <c r="T7" s="14">
        <f>_xlfn.STDEV.S(Données!H2:H1968)</f>
        <v>0.97221746394496089</v>
      </c>
      <c r="V7" s="11" t="s">
        <v>136</v>
      </c>
      <c r="W7" s="14">
        <f>_xlfn.STDEV.S(Données!I2:I1968)</f>
        <v>0.46265888261371346</v>
      </c>
    </row>
    <row r="8" spans="1:23" x14ac:dyDescent="0.25">
      <c r="A8" s="29" t="s">
        <v>27</v>
      </c>
      <c r="B8" s="28">
        <f>SUM(Données!A2:A1968)</f>
        <v>282106000</v>
      </c>
      <c r="D8" s="11" t="s">
        <v>39</v>
      </c>
      <c r="E8" s="14">
        <f>AVERAGE(Données!C2:C1968)</f>
        <v>32.391250638714524</v>
      </c>
      <c r="G8" s="11" t="s">
        <v>44</v>
      </c>
      <c r="H8" s="14">
        <f>AVERAGE(Données!D2:D1968)</f>
        <v>6.8124046771733601E-2</v>
      </c>
      <c r="J8" s="11" t="s">
        <v>49</v>
      </c>
      <c r="K8" s="14">
        <f>AVERAGE(Données!E2:E1968)</f>
        <v>196669.0020112744</v>
      </c>
      <c r="M8" s="11" t="s">
        <v>54</v>
      </c>
      <c r="N8" s="14">
        <f>AVERAGE(Données!F2:F1968)</f>
        <v>5212.558210472801</v>
      </c>
      <c r="P8" s="11" t="s">
        <v>85</v>
      </c>
      <c r="Q8" s="14">
        <f>AVERAGE(Données!G2:G1968)</f>
        <v>0.66039654295882055</v>
      </c>
      <c r="S8" s="11" t="s">
        <v>132</v>
      </c>
      <c r="T8" s="14">
        <f>AVERAGE(Données!H2:H1968)</f>
        <v>0.20132180986273512</v>
      </c>
      <c r="V8" s="11" t="s">
        <v>137</v>
      </c>
      <c r="W8" s="14">
        <f>AVERAGE(Données!I2:I1968)</f>
        <v>0.31011692933401119</v>
      </c>
    </row>
    <row r="9" spans="1:23" x14ac:dyDescent="0.25">
      <c r="A9" s="29" t="s">
        <v>28</v>
      </c>
      <c r="B9" s="28">
        <f>AVERAGE(Données!A2:A1968)</f>
        <v>143419.42043721402</v>
      </c>
      <c r="D9" s="11" t="s">
        <v>40</v>
      </c>
      <c r="E9" s="14">
        <f>_xlfn.VAR.S(Données!C2:C1968)</f>
        <v>68.469907412573122</v>
      </c>
      <c r="G9" s="11" t="s">
        <v>45</v>
      </c>
      <c r="H9" s="14">
        <f>_xlfn.VAR.S(Données!D2:D1968)</f>
        <v>6.3515451542516629E-2</v>
      </c>
      <c r="J9" s="11" t="s">
        <v>50</v>
      </c>
      <c r="K9" s="14">
        <f>_xlfn.VAR.S(Données!E2:E1968)</f>
        <v>16561615810.456646</v>
      </c>
      <c r="M9" s="11" t="s">
        <v>87</v>
      </c>
      <c r="N9" s="14">
        <f>_xlfn.VAR.S(Données!F2:F1968)</f>
        <v>27974624.883563023</v>
      </c>
      <c r="P9" s="11" t="s">
        <v>86</v>
      </c>
      <c r="Q9" s="14">
        <f>_xlfn.VAR.S(Données!G2:G1968)</f>
        <v>0.22438702476932457</v>
      </c>
      <c r="S9" s="11" t="s">
        <v>133</v>
      </c>
      <c r="T9" s="14">
        <f>_xlfn.VAR.S(Données!H2:H1968)</f>
        <v>0.94520679719957124</v>
      </c>
      <c r="V9" s="11" t="s">
        <v>138</v>
      </c>
      <c r="W9" s="14">
        <f>_xlfn.VAR.S(Données!K2:K1968)</f>
        <v>0.15152508764916128</v>
      </c>
    </row>
    <row r="10" spans="1:23" x14ac:dyDescent="0.25">
      <c r="A10" s="29" t="s">
        <v>29</v>
      </c>
      <c r="B10" s="28">
        <f>_xlfn.VAR.S(Données!A2:A1968)</f>
        <v>6538514230.9965906</v>
      </c>
    </row>
    <row r="11" spans="1:23" x14ac:dyDescent="0.25">
      <c r="A11" s="29" t="s">
        <v>30</v>
      </c>
      <c r="B11" s="28">
        <f>_xlfn.STDEV.S(Données!A2:A1968)</f>
        <v>80861.079828286922</v>
      </c>
    </row>
    <row r="15" spans="1:23" x14ac:dyDescent="0.25">
      <c r="D15" s="11" t="s">
        <v>55</v>
      </c>
      <c r="E15" s="11" t="s">
        <v>2</v>
      </c>
      <c r="F15" s="11" t="s">
        <v>57</v>
      </c>
      <c r="G15" s="11" t="s">
        <v>5</v>
      </c>
      <c r="H15" s="11" t="s">
        <v>9</v>
      </c>
      <c r="I15" s="11" t="s">
        <v>7</v>
      </c>
      <c r="J15" s="11" t="s">
        <v>139</v>
      </c>
      <c r="K15" s="11" t="s">
        <v>140</v>
      </c>
    </row>
    <row r="16" spans="1:23" x14ac:dyDescent="0.25">
      <c r="D16" s="14" t="s">
        <v>56</v>
      </c>
      <c r="E16" s="14">
        <f>CORREL(Données!A2:A1968,Données!C2:C1968)</f>
        <v>7.5501861580656471E-2</v>
      </c>
      <c r="F16" s="14">
        <f>CORREL(Données!A2:A1968,Données!D2:D1968)</f>
        <v>2.5403801088296037E-2</v>
      </c>
      <c r="G16" s="14">
        <f>CORREL(Données!A2:A1968,Données!E2:E1968)</f>
        <v>0.83454675640996001</v>
      </c>
      <c r="H16" s="14">
        <f>CORREL(Données!A2:A1968,Données!F2:F1968)</f>
        <v>0.57513904466874199</v>
      </c>
      <c r="I16" s="14">
        <f>CORREL(Données!A2:A1968,Données!G2:G1968)</f>
        <v>0.18279307934838485</v>
      </c>
      <c r="J16" s="14">
        <f>CORREL(Données!C2:C1968,Données!H2:H1968)</f>
        <v>-9.1137757810864389E-2</v>
      </c>
      <c r="K16" s="14">
        <f>CORREL(Données!C2:C1968,Données!I2:I1968)</f>
        <v>3.5810317116207829E-2</v>
      </c>
    </row>
    <row r="18" spans="4:23" x14ac:dyDescent="0.25">
      <c r="D18" s="11" t="s">
        <v>58</v>
      </c>
      <c r="E18" s="11"/>
      <c r="F18" s="11"/>
      <c r="G18" s="11"/>
      <c r="H18" s="11"/>
      <c r="M18" s="11" t="s">
        <v>60</v>
      </c>
      <c r="N18" s="11"/>
      <c r="O18" s="11"/>
      <c r="P18" s="11"/>
      <c r="Q18" s="11"/>
      <c r="W18" s="11" t="s">
        <v>61</v>
      </c>
    </row>
    <row r="19" spans="4:23" x14ac:dyDescent="0.25">
      <c r="D19" s="14" cm="1">
        <f t="array" ref="D19:K26">MMULT(TRANSPOSE(Données!B2:I1968),Données!B2:I1968)</f>
        <v>1967</v>
      </c>
      <c r="E19" s="14">
        <v>63713.590006351471</v>
      </c>
      <c r="F19" s="14">
        <v>134</v>
      </c>
      <c r="G19" s="14">
        <v>386847926.95617676</v>
      </c>
      <c r="H19" s="14">
        <v>10253102</v>
      </c>
      <c r="I19" s="14">
        <v>1299</v>
      </c>
      <c r="J19" s="14">
        <v>396</v>
      </c>
      <c r="K19" s="14">
        <v>610</v>
      </c>
      <c r="M19" s="14" cm="1">
        <f t="array" ref="M19:T26">MINVERSE(_xlfn.ANCHORARRAY(D19))</f>
        <v>1.1497369997243871E-2</v>
      </c>
      <c r="N19" s="14">
        <v>-2.7195786154619184E-4</v>
      </c>
      <c r="O19" s="14">
        <v>2.32285769414272E-4</v>
      </c>
      <c r="P19" s="14">
        <v>-1.2475439728335859E-9</v>
      </c>
      <c r="Q19" s="14">
        <v>-1.6206942288469917E-7</v>
      </c>
      <c r="R19" s="14">
        <v>-1.4648179011051818E-3</v>
      </c>
      <c r="S19" s="14">
        <v>-3.4993965488726091E-4</v>
      </c>
      <c r="T19" s="14">
        <v>-2.1859460271432933E-4</v>
      </c>
      <c r="W19" s="14" cm="1">
        <f t="array" ref="W19:W26">MMULT(TRANSPOSE(Données!B2:I1968),Données!A2:A1968)</f>
        <v>282106000</v>
      </c>
    </row>
    <row r="20" spans="4:23" x14ac:dyDescent="0.25">
      <c r="D20" s="14">
        <v>63713.590006351471</v>
      </c>
      <c r="E20" s="14">
        <v>2198374.700961146</v>
      </c>
      <c r="F20" s="14">
        <v>4673.8999977111816</v>
      </c>
      <c r="G20" s="14">
        <v>12485832851.489033</v>
      </c>
      <c r="H20" s="14">
        <v>311741231.39924669</v>
      </c>
      <c r="I20" s="14">
        <v>41845.799986362457</v>
      </c>
      <c r="J20" s="14">
        <v>11385.499992370605</v>
      </c>
      <c r="K20" s="14">
        <v>20028.19000005722</v>
      </c>
      <c r="M20" s="14">
        <v>-2.7195786154619178E-4</v>
      </c>
      <c r="N20" s="14">
        <v>8.2744104409996476E-6</v>
      </c>
      <c r="O20" s="14">
        <v>-2.2855317791354772E-5</v>
      </c>
      <c r="P20" s="14">
        <v>-1.1215764910744674E-10</v>
      </c>
      <c r="Q20" s="14">
        <v>4.8388978241140677E-9</v>
      </c>
      <c r="R20" s="14">
        <v>5.9896793709013268E-6</v>
      </c>
      <c r="S20" s="14">
        <v>6.1013267880931699E-6</v>
      </c>
      <c r="T20" s="14">
        <v>-9.1985999284199073E-6</v>
      </c>
      <c r="W20" s="14">
        <v>9237084750.6561279</v>
      </c>
    </row>
    <row r="21" spans="4:23" x14ac:dyDescent="0.25">
      <c r="D21" s="14">
        <v>134</v>
      </c>
      <c r="E21" s="14">
        <v>4673.8999977111816</v>
      </c>
      <c r="F21" s="14">
        <v>134</v>
      </c>
      <c r="G21" s="14">
        <v>26013399.978637695</v>
      </c>
      <c r="H21" s="14">
        <v>736284</v>
      </c>
      <c r="I21" s="14">
        <v>88</v>
      </c>
      <c r="J21" s="14">
        <v>24</v>
      </c>
      <c r="K21" s="14">
        <v>53</v>
      </c>
      <c r="M21" s="14">
        <v>2.3228576941426856E-4</v>
      </c>
      <c r="N21" s="14">
        <v>-2.2855317791354677E-5</v>
      </c>
      <c r="O21" s="14">
        <v>8.0960016243664442E-3</v>
      </c>
      <c r="P21" s="14">
        <v>7.3238902927678721E-10</v>
      </c>
      <c r="Q21" s="14">
        <v>-2.2731079938344339E-8</v>
      </c>
      <c r="R21" s="14">
        <v>-1.4109538534112695E-5</v>
      </c>
      <c r="S21" s="14">
        <v>2.9975334254288241E-6</v>
      </c>
      <c r="T21" s="14">
        <v>-1.9458001325177557E-4</v>
      </c>
      <c r="W21" s="14">
        <v>20236000</v>
      </c>
    </row>
    <row r="22" spans="4:23" x14ac:dyDescent="0.25">
      <c r="D22" s="14">
        <v>386847926.95617676</v>
      </c>
      <c r="E22" s="14">
        <v>12485832851.489033</v>
      </c>
      <c r="F22" s="14">
        <v>26013399.978637695</v>
      </c>
      <c r="G22" s="14">
        <v>108641132407959.42</v>
      </c>
      <c r="H22" s="14">
        <v>2853611276293.2061</v>
      </c>
      <c r="I22" s="14">
        <v>276853546.95129395</v>
      </c>
      <c r="J22" s="14">
        <v>72205979.972839355</v>
      </c>
      <c r="K22" s="14">
        <v>134177144.98901367</v>
      </c>
      <c r="M22" s="14">
        <v>-1.2475439728336446E-9</v>
      </c>
      <c r="N22" s="14">
        <v>-1.1215764910744518E-10</v>
      </c>
      <c r="O22" s="14">
        <v>7.3238902927680231E-10</v>
      </c>
      <c r="P22" s="14">
        <v>5.3507878119090539E-14</v>
      </c>
      <c r="Q22" s="14">
        <v>-8.3759151715799159E-13</v>
      </c>
      <c r="R22" s="14">
        <v>-1.8381509641165934E-9</v>
      </c>
      <c r="S22" s="14">
        <v>8.9045138158776378E-11</v>
      </c>
      <c r="T22" s="14">
        <v>-4.2173590625090217E-10</v>
      </c>
      <c r="W22" s="14">
        <v>72555104460723.875</v>
      </c>
    </row>
    <row r="23" spans="4:23" x14ac:dyDescent="0.25">
      <c r="D23" s="14">
        <v>10253102</v>
      </c>
      <c r="E23" s="14">
        <v>311741231.39924669</v>
      </c>
      <c r="F23" s="14">
        <v>736284</v>
      </c>
      <c r="G23" s="14">
        <v>2853611276293.2061</v>
      </c>
      <c r="H23" s="14">
        <v>108443003534</v>
      </c>
      <c r="I23" s="14">
        <v>7190875</v>
      </c>
      <c r="J23" s="14">
        <v>2188004</v>
      </c>
      <c r="K23" s="14">
        <v>3842568</v>
      </c>
      <c r="M23" s="14">
        <v>-1.6206942288469851E-7</v>
      </c>
      <c r="N23" s="14">
        <v>4.838897824114047E-9</v>
      </c>
      <c r="O23" s="14">
        <v>-2.2731079938342966E-8</v>
      </c>
      <c r="P23" s="14">
        <v>-8.3759151715799209E-13</v>
      </c>
      <c r="Q23" s="14">
        <v>3.2964488675264791E-11</v>
      </c>
      <c r="R23" s="14">
        <v>1.2026451056566507E-8</v>
      </c>
      <c r="S23" s="14">
        <v>-8.8322224656833483E-11</v>
      </c>
      <c r="T23" s="14">
        <v>-2.6265802558182197E-8</v>
      </c>
      <c r="W23" s="14">
        <v>1954084755000</v>
      </c>
    </row>
    <row r="24" spans="4:23" x14ac:dyDescent="0.25">
      <c r="D24" s="14">
        <v>1299</v>
      </c>
      <c r="E24" s="14">
        <v>41845.799986362457</v>
      </c>
      <c r="F24" s="14">
        <v>88</v>
      </c>
      <c r="G24" s="14">
        <v>276853546.95129395</v>
      </c>
      <c r="H24" s="14">
        <v>7190875</v>
      </c>
      <c r="I24" s="14">
        <v>1299</v>
      </c>
      <c r="J24" s="14">
        <v>207</v>
      </c>
      <c r="K24" s="14">
        <v>408</v>
      </c>
      <c r="M24" s="14">
        <v>-1.4648179011051809E-3</v>
      </c>
      <c r="N24" s="14">
        <v>5.9896793709012972E-6</v>
      </c>
      <c r="O24" s="14">
        <v>-1.4109538534109764E-5</v>
      </c>
      <c r="P24" s="14">
        <v>-1.8381509641165917E-9</v>
      </c>
      <c r="Q24" s="14">
        <v>1.2026451056566473E-8</v>
      </c>
      <c r="R24" s="14">
        <v>2.355847262254115E-3</v>
      </c>
      <c r="S24" s="14">
        <v>6.7231093527635351E-5</v>
      </c>
      <c r="T24" s="14">
        <v>4.0506028612032929E-6</v>
      </c>
      <c r="W24" s="14">
        <v>200067000</v>
      </c>
    </row>
    <row r="25" spans="4:23" x14ac:dyDescent="0.25">
      <c r="D25" s="14">
        <v>396</v>
      </c>
      <c r="E25" s="14">
        <v>11385.499992370605</v>
      </c>
      <c r="F25" s="14">
        <v>24</v>
      </c>
      <c r="G25" s="14">
        <v>72205979.972839355</v>
      </c>
      <c r="H25" s="14">
        <v>2188004</v>
      </c>
      <c r="I25" s="14">
        <v>207</v>
      </c>
      <c r="J25" s="14">
        <v>1938</v>
      </c>
      <c r="K25" s="14">
        <v>165</v>
      </c>
      <c r="M25" s="14">
        <v>-3.4993965488726102E-4</v>
      </c>
      <c r="N25" s="14">
        <v>6.1013267880931759E-6</v>
      </c>
      <c r="O25" s="14">
        <v>2.9975334254287136E-6</v>
      </c>
      <c r="P25" s="14">
        <v>8.9045138158775551E-11</v>
      </c>
      <c r="Q25" s="14">
        <v>-8.8322224656811369E-11</v>
      </c>
      <c r="R25" s="14">
        <v>6.7231093527635324E-5</v>
      </c>
      <c r="S25" s="14">
        <v>5.4653936696808523E-4</v>
      </c>
      <c r="T25" s="14">
        <v>-6.2478576922685969E-5</v>
      </c>
      <c r="W25" s="14">
        <v>49730000</v>
      </c>
    </row>
    <row r="26" spans="4:23" x14ac:dyDescent="0.25">
      <c r="D26" s="14">
        <v>610</v>
      </c>
      <c r="E26" s="14">
        <v>20028.19000005722</v>
      </c>
      <c r="F26" s="14">
        <v>53</v>
      </c>
      <c r="G26" s="14">
        <v>134177144.98901367</v>
      </c>
      <c r="H26" s="14">
        <v>3842568</v>
      </c>
      <c r="I26" s="14">
        <v>408</v>
      </c>
      <c r="J26" s="14">
        <v>165</v>
      </c>
      <c r="K26" s="14">
        <v>610</v>
      </c>
      <c r="M26" s="14">
        <v>-2.1859460271432939E-4</v>
      </c>
      <c r="N26" s="14">
        <v>-9.198599928419887E-6</v>
      </c>
      <c r="O26" s="14">
        <v>-1.9458001325177508E-4</v>
      </c>
      <c r="P26" s="14">
        <v>-4.2173590625090413E-10</v>
      </c>
      <c r="Q26" s="14">
        <v>-2.6265802558182174E-8</v>
      </c>
      <c r="R26" s="14">
        <v>4.0506028612029634E-6</v>
      </c>
      <c r="S26" s="14">
        <v>-6.2478576922685996E-5</v>
      </c>
      <c r="T26" s="14">
        <v>2.449276273653038E-3</v>
      </c>
      <c r="W26" s="14">
        <v>99915000</v>
      </c>
    </row>
    <row r="31" spans="4:23" x14ac:dyDescent="0.25">
      <c r="D31" s="11" t="s">
        <v>62</v>
      </c>
      <c r="F31" s="11" t="s">
        <v>63</v>
      </c>
    </row>
    <row r="32" spans="4:23" x14ac:dyDescent="0.25">
      <c r="D32" s="14" cm="1">
        <f t="array" ref="D32:D39">MMULT(_xlfn.ANCHORARRAY(M19),_xlfn.ANCHORARRAY(W19))</f>
        <v>-3438.3940041147434</v>
      </c>
      <c r="F32" s="11" t="s">
        <v>64</v>
      </c>
      <c r="G32" s="14">
        <f t="shared" ref="G32:G39" si="0">D32</f>
        <v>-3438.3940041147434</v>
      </c>
    </row>
    <row r="33" spans="4:7" x14ac:dyDescent="0.25">
      <c r="D33" s="14">
        <v>1148.6703791177329</v>
      </c>
      <c r="F33" s="11" t="s">
        <v>65</v>
      </c>
      <c r="G33" s="14">
        <f t="shared" si="0"/>
        <v>1148.6703791177329</v>
      </c>
    </row>
    <row r="34" spans="4:7" x14ac:dyDescent="0.25">
      <c r="D34" s="14">
        <v>4848.2487152905451</v>
      </c>
      <c r="F34" s="11" t="s">
        <v>66</v>
      </c>
      <c r="G34" s="14">
        <f t="shared" si="0"/>
        <v>4848.2487152905451</v>
      </c>
    </row>
    <row r="35" spans="4:7" x14ac:dyDescent="0.25">
      <c r="D35" s="14">
        <v>0.46695326867262005</v>
      </c>
      <c r="F35" s="11" t="s">
        <v>67</v>
      </c>
      <c r="G35" s="14">
        <f t="shared" si="0"/>
        <v>0.46695326867262005</v>
      </c>
    </row>
    <row r="36" spans="4:7" x14ac:dyDescent="0.25">
      <c r="D36" s="14">
        <v>1.93778736575582</v>
      </c>
      <c r="F36" s="11" t="s">
        <v>68</v>
      </c>
      <c r="G36" s="14">
        <f t="shared" si="0"/>
        <v>1.93778736575582</v>
      </c>
    </row>
    <row r="37" spans="4:7" x14ac:dyDescent="0.25">
      <c r="D37" s="14">
        <v>7016.6184810486411</v>
      </c>
      <c r="F37" s="11" t="s">
        <v>88</v>
      </c>
      <c r="G37" s="14">
        <f t="shared" si="0"/>
        <v>7016.6184810486411</v>
      </c>
    </row>
    <row r="38" spans="4:7" x14ac:dyDescent="0.25">
      <c r="D38" s="14">
        <v>-1625.2764791773679</v>
      </c>
      <c r="F38" s="11" t="s">
        <v>141</v>
      </c>
      <c r="G38" s="14">
        <f t="shared" si="0"/>
        <v>-1625.2764791773679</v>
      </c>
    </row>
    <row r="39" spans="4:7" x14ac:dyDescent="0.25">
      <c r="D39" s="14">
        <v>9925.4568569688126</v>
      </c>
      <c r="F39" s="11" t="s">
        <v>142</v>
      </c>
      <c r="G39" s="14">
        <f t="shared" si="0"/>
        <v>9925.4568569688126</v>
      </c>
    </row>
    <row r="49" spans="3:13" x14ac:dyDescent="0.25">
      <c r="C49" s="11" t="s">
        <v>69</v>
      </c>
      <c r="D49" s="14">
        <f>DEVSQ(Données!A2:A1968)</f>
        <v>12854718978139.264</v>
      </c>
      <c r="F49" s="11" t="s">
        <v>74</v>
      </c>
      <c r="G49" s="14">
        <f>1-(D51/D49)</f>
        <v>0.72036728203234257</v>
      </c>
      <c r="I49" s="11" t="s">
        <v>75</v>
      </c>
      <c r="J49" s="14">
        <f>6</f>
        <v>6</v>
      </c>
    </row>
    <row r="50" spans="3:13" x14ac:dyDescent="0.25">
      <c r="C50" s="11" t="s">
        <v>70</v>
      </c>
      <c r="D50" s="14">
        <f>DEVSQ(Données!L2:L1968)</f>
        <v>9260118971571.6816</v>
      </c>
      <c r="I50" s="11" t="s">
        <v>76</v>
      </c>
      <c r="J50" s="14">
        <f>1960</f>
        <v>1960</v>
      </c>
    </row>
    <row r="51" spans="3:13" x14ac:dyDescent="0.25">
      <c r="C51" s="11" t="s">
        <v>71</v>
      </c>
      <c r="D51" s="14">
        <f>SUMSQ(Données!M2:M1968)</f>
        <v>3594600006567.5112</v>
      </c>
    </row>
    <row r="54" spans="3:13" x14ac:dyDescent="0.25">
      <c r="C54" s="11" t="s">
        <v>77</v>
      </c>
      <c r="D54" s="14">
        <f>(D50/B4)/(D51/(B5-B4-1))</f>
        <v>720.94542735393577</v>
      </c>
      <c r="F54" s="11" t="s">
        <v>79</v>
      </c>
      <c r="G54" s="14">
        <f>_xlfn.F.DIST.RT(D54,J49,J50)</f>
        <v>0</v>
      </c>
    </row>
    <row r="55" spans="3:13" x14ac:dyDescent="0.25">
      <c r="C55" s="11" t="s">
        <v>78</v>
      </c>
      <c r="D55" s="14">
        <f>_xlfn.F.INV.RT(0.05,J49,J50)</f>
        <v>2.1032021791694255</v>
      </c>
    </row>
    <row r="56" spans="3:13" x14ac:dyDescent="0.25">
      <c r="F56" s="11" t="s">
        <v>80</v>
      </c>
      <c r="G56" s="14">
        <f>_xlfn.T.INV.2T(0.05,J50)</f>
        <v>1.9611750620636317</v>
      </c>
    </row>
    <row r="61" spans="3:13" x14ac:dyDescent="0.25">
      <c r="C61" s="11"/>
      <c r="D61" s="12">
        <f>D51/J50</f>
        <v>1833979595.1875057</v>
      </c>
      <c r="F61" s="11"/>
      <c r="G61" s="11"/>
      <c r="H61" s="11"/>
      <c r="I61" s="11"/>
      <c r="J61" s="11"/>
      <c r="K61" s="11"/>
    </row>
    <row r="62" spans="3:13" x14ac:dyDescent="0.25">
      <c r="F62" s="28" cm="1">
        <f t="array" ref="F62:M69">D61*_xlfn.ANCHORARRAY(M19)</f>
        <v>21085941.973266289</v>
      </c>
      <c r="G62" s="28">
        <v>-498765.16882654466</v>
      </c>
      <c r="H62" s="28">
        <v>426007.36135820486</v>
      </c>
      <c r="I62" s="28">
        <v>-2.2879701902759524</v>
      </c>
      <c r="J62" s="28">
        <v>-297.23201457435323</v>
      </c>
      <c r="K62" s="28">
        <v>-2686446.1412922931</v>
      </c>
      <c r="L62" s="14">
        <v>-641782.18661019427</v>
      </c>
      <c r="M62" s="14">
        <v>-400898.04099619936</v>
      </c>
    </row>
    <row r="63" spans="3:13" x14ac:dyDescent="0.25">
      <c r="F63" s="28">
        <v>-498765.16882654454</v>
      </c>
      <c r="G63" s="28">
        <v>15175.099910999805</v>
      </c>
      <c r="H63" s="28">
        <v>-41916.18647087062</v>
      </c>
      <c r="I63" s="28">
        <v>-0.20569483990725748</v>
      </c>
      <c r="J63" s="28">
        <v>8.8744398726224194</v>
      </c>
      <c r="K63" s="28">
        <v>10984.949747948569</v>
      </c>
      <c r="L63" s="14">
        <v>11189.708832933797</v>
      </c>
      <c r="M63" s="14">
        <v>-16870.044573015362</v>
      </c>
    </row>
    <row r="64" spans="3:13" x14ac:dyDescent="0.25">
      <c r="F64" s="28">
        <v>426007.36135819857</v>
      </c>
      <c r="G64" s="28">
        <v>-41916.186470870445</v>
      </c>
      <c r="H64" s="28">
        <v>14847901.781692959</v>
      </c>
      <c r="I64" s="28">
        <v>1.3431865354328125</v>
      </c>
      <c r="J64" s="28">
        <v>-41.688336783499579</v>
      </c>
      <c r="K64" s="28">
        <v>-25876.605769074511</v>
      </c>
      <c r="L64" s="14">
        <v>5497.4151381289721</v>
      </c>
      <c r="M64" s="14">
        <v>-356855.77393507084</v>
      </c>
    </row>
    <row r="65" spans="3:13" x14ac:dyDescent="0.25">
      <c r="F65" s="28">
        <v>-2.2879701902760603</v>
      </c>
      <c r="G65" s="28">
        <v>-0.20569483990725462</v>
      </c>
      <c r="H65" s="28">
        <v>1.3431865354328403</v>
      </c>
      <c r="I65" s="28">
        <v>9.8132356652192061E-5</v>
      </c>
      <c r="J65" s="28">
        <v>-1.5361257515699022E-3</v>
      </c>
      <c r="K65" s="28">
        <v>-3.3711313610640734</v>
      </c>
      <c r="L65" s="14">
        <v>0.16330696643384823</v>
      </c>
      <c r="M65" s="14">
        <v>-0.77345504662206543</v>
      </c>
    </row>
    <row r="66" spans="3:13" x14ac:dyDescent="0.25">
      <c r="F66" s="28">
        <v>-297.23201457435204</v>
      </c>
      <c r="G66" s="28">
        <v>8.8744398726223821</v>
      </c>
      <c r="H66" s="28">
        <v>-41.688336783497064</v>
      </c>
      <c r="I66" s="28">
        <v>-1.536125751569903E-3</v>
      </c>
      <c r="J66" s="28">
        <v>6.0456199596225238E-2</v>
      </c>
      <c r="K66" s="28">
        <v>22.056265840264192</v>
      </c>
      <c r="L66" s="14">
        <v>-0.16198115782219941</v>
      </c>
      <c r="M66" s="14">
        <v>-48.17094594292994</v>
      </c>
    </row>
    <row r="67" spans="3:13" x14ac:dyDescent="0.25">
      <c r="F67" s="28">
        <v>-2686446.1412922917</v>
      </c>
      <c r="G67" s="28">
        <v>10984.949747948514</v>
      </c>
      <c r="H67" s="28">
        <v>-25876.605769069138</v>
      </c>
      <c r="I67" s="28">
        <v>-3.3711313610640703</v>
      </c>
      <c r="J67" s="28">
        <v>22.056265840264128</v>
      </c>
      <c r="K67" s="28">
        <v>4320575.8083523959</v>
      </c>
      <c r="L67" s="14">
        <v>123300.45369182601</v>
      </c>
      <c r="M67" s="14">
        <v>7428.7229956549672</v>
      </c>
    </row>
    <row r="68" spans="3:13" x14ac:dyDescent="0.25">
      <c r="F68" s="14">
        <v>-641782.18661019439</v>
      </c>
      <c r="G68" s="14">
        <v>11189.708832933808</v>
      </c>
      <c r="H68" s="14">
        <v>5497.4151381287693</v>
      </c>
      <c r="I68" s="14">
        <v>0.16330696643384671</v>
      </c>
      <c r="J68" s="14">
        <v>-0.16198115782215886</v>
      </c>
      <c r="K68" s="14">
        <v>123300.45369182597</v>
      </c>
      <c r="L68" s="14">
        <v>1002342.0469861645</v>
      </c>
      <c r="M68" s="14">
        <v>-114584.43521255905</v>
      </c>
    </row>
    <row r="69" spans="3:13" x14ac:dyDescent="0.25">
      <c r="F69" s="14">
        <v>-400898.04099619947</v>
      </c>
      <c r="G69" s="14">
        <v>-16870.044573015322</v>
      </c>
      <c r="H69" s="14">
        <v>-356855.77393506997</v>
      </c>
      <c r="I69" s="14">
        <v>-0.77345504662206899</v>
      </c>
      <c r="J69" s="14">
        <v>-48.170945942929897</v>
      </c>
      <c r="K69" s="14">
        <v>7428.7229956543633</v>
      </c>
      <c r="L69" s="14">
        <v>-114584.4352125591</v>
      </c>
      <c r="M69" s="14">
        <v>4491922.7088565612</v>
      </c>
    </row>
    <row r="73" spans="3:13" x14ac:dyDescent="0.25">
      <c r="C73" t="s">
        <v>92</v>
      </c>
      <c r="F73" t="s">
        <v>99</v>
      </c>
      <c r="I73" t="s">
        <v>120</v>
      </c>
    </row>
    <row r="74" spans="3:13" x14ac:dyDescent="0.25">
      <c r="C74" s="5" t="s">
        <v>93</v>
      </c>
      <c r="D74" s="6">
        <f>SQRT(F62)</f>
        <v>4591.9431587582058</v>
      </c>
      <c r="F74" s="5" t="s">
        <v>100</v>
      </c>
      <c r="G74" s="6">
        <f>G32/D74</f>
        <v>-0.74878845082319889</v>
      </c>
      <c r="I74" s="5" t="s">
        <v>121</v>
      </c>
      <c r="J74" s="6">
        <f>_xlfn.T.DIST.2T(ABS(G74),$J$50)</f>
        <v>0.45407456867087004</v>
      </c>
    </row>
    <row r="75" spans="3:13" x14ac:dyDescent="0.25">
      <c r="C75" s="7" t="s">
        <v>94</v>
      </c>
      <c r="D75" s="8">
        <f>SQRT(G63)</f>
        <v>123.18725547312029</v>
      </c>
      <c r="F75" s="7" t="s">
        <v>101</v>
      </c>
      <c r="G75" s="6">
        <f t="shared" ref="G75:G81" si="1">G33/D75</f>
        <v>9.3245877968957203</v>
      </c>
      <c r="I75" s="7" t="s">
        <v>122</v>
      </c>
      <c r="J75" s="6">
        <f t="shared" ref="J75:J81" si="2">_xlfn.T.DIST.2T(ABS(G75),$J$50)</f>
        <v>2.9047933162312718E-20</v>
      </c>
    </row>
    <row r="76" spans="3:13" x14ac:dyDescent="0.25">
      <c r="C76" s="7" t="s">
        <v>95</v>
      </c>
      <c r="D76" s="8">
        <f>SQRT(H64)</f>
        <v>3853.2975205261478</v>
      </c>
      <c r="F76" s="7" t="s">
        <v>102</v>
      </c>
      <c r="G76" s="6">
        <f t="shared" si="1"/>
        <v>1.2582077271387395</v>
      </c>
      <c r="I76" s="7" t="s">
        <v>123</v>
      </c>
      <c r="J76" s="6">
        <f t="shared" si="2"/>
        <v>0.20846650375781381</v>
      </c>
    </row>
    <row r="77" spans="3:13" x14ac:dyDescent="0.25">
      <c r="C77" s="7" t="s">
        <v>96</v>
      </c>
      <c r="D77" s="8">
        <f>SQRT(I65)</f>
        <v>9.9061777014240997E-3</v>
      </c>
      <c r="F77" s="7" t="s">
        <v>103</v>
      </c>
      <c r="G77" s="6">
        <f t="shared" si="1"/>
        <v>47.137582501219562</v>
      </c>
      <c r="I77" s="7" t="s">
        <v>124</v>
      </c>
      <c r="J77" s="6">
        <f t="shared" si="2"/>
        <v>0</v>
      </c>
    </row>
    <row r="78" spans="3:13" x14ac:dyDescent="0.25">
      <c r="C78" s="9" t="s">
        <v>97</v>
      </c>
      <c r="D78" s="10">
        <f>SQRT(J66)</f>
        <v>0.24587842442195948</v>
      </c>
      <c r="F78" s="9" t="s">
        <v>104</v>
      </c>
      <c r="G78" s="6">
        <f t="shared" si="1"/>
        <v>7.8810793192261714</v>
      </c>
      <c r="I78" s="9" t="s">
        <v>125</v>
      </c>
      <c r="J78" s="6">
        <f t="shared" si="2"/>
        <v>5.3372859241668985E-15</v>
      </c>
    </row>
    <row r="79" spans="3:13" x14ac:dyDescent="0.25">
      <c r="C79" s="9" t="s">
        <v>98</v>
      </c>
      <c r="D79" s="10">
        <f>SQRT(K67)</f>
        <v>2078.5994824285885</v>
      </c>
      <c r="F79" s="9" t="s">
        <v>105</v>
      </c>
      <c r="G79" s="6">
        <f t="shared" si="1"/>
        <v>3.3756471799226002</v>
      </c>
      <c r="I79" s="9" t="s">
        <v>126</v>
      </c>
      <c r="J79" s="6">
        <f t="shared" si="2"/>
        <v>7.5079154451762316E-4</v>
      </c>
    </row>
    <row r="80" spans="3:13" x14ac:dyDescent="0.25">
      <c r="C80" s="9" t="s">
        <v>147</v>
      </c>
      <c r="D80" s="10">
        <f>SQRT(L68)</f>
        <v>1001.1703386468082</v>
      </c>
      <c r="F80" s="9" t="s">
        <v>145</v>
      </c>
      <c r="G80" s="6">
        <f t="shared" si="1"/>
        <v>-1.6233765788288412</v>
      </c>
      <c r="I80" s="9" t="s">
        <v>149</v>
      </c>
      <c r="J80" s="6">
        <f t="shared" si="2"/>
        <v>0.10466973541309578</v>
      </c>
    </row>
    <row r="81" spans="3:10" x14ac:dyDescent="0.25">
      <c r="C81" s="9" t="s">
        <v>148</v>
      </c>
      <c r="D81" s="10">
        <f>SQRT(M69)</f>
        <v>2119.4156526874481</v>
      </c>
      <c r="F81" s="9" t="s">
        <v>146</v>
      </c>
      <c r="G81" s="6">
        <f t="shared" si="1"/>
        <v>4.6831101036661673</v>
      </c>
      <c r="I81" s="9" t="s">
        <v>150</v>
      </c>
      <c r="J81" s="6">
        <f t="shared" si="2"/>
        <v>3.01943467485589E-6</v>
      </c>
    </row>
    <row r="86" spans="3:10" x14ac:dyDescent="0.25">
      <c r="E86" s="21" t="s">
        <v>106</v>
      </c>
      <c r="F86" s="22" t="s">
        <v>107</v>
      </c>
      <c r="G86" s="22" t="s">
        <v>89</v>
      </c>
      <c r="H86" s="22" t="s">
        <v>108</v>
      </c>
      <c r="I86" s="22" t="s">
        <v>109</v>
      </c>
      <c r="J86" s="22" t="s">
        <v>110</v>
      </c>
    </row>
    <row r="87" spans="3:10" x14ac:dyDescent="0.25">
      <c r="E87" s="23" t="s">
        <v>90</v>
      </c>
      <c r="F87" s="14">
        <f t="shared" ref="F87:F94" si="3">G32</f>
        <v>-3438.3940041147434</v>
      </c>
      <c r="G87" s="24">
        <f t="shared" ref="G87:G94" si="4">D74</f>
        <v>4591.9431587582058</v>
      </c>
      <c r="H87" s="26">
        <f t="shared" ref="H87:H94" si="5">G74</f>
        <v>-0.74878845082319889</v>
      </c>
      <c r="I87" s="20">
        <f t="shared" ref="I87:I94" si="6">J74</f>
        <v>0.45407456867087004</v>
      </c>
      <c r="J87" s="27" t="str">
        <f t="shared" ref="J87:J90" si="7">IF(ISBLANK(I87),"",IF(I87&lt;0.001,"***",IF(I87&lt;0.01,"**",IF(I87&lt;0.05,"*",IF(I87&lt;0.1,"+","")))))</f>
        <v/>
      </c>
    </row>
    <row r="88" spans="3:10" x14ac:dyDescent="0.25">
      <c r="E88" s="23" t="s">
        <v>113</v>
      </c>
      <c r="F88" s="24">
        <f t="shared" si="3"/>
        <v>1148.6703791177329</v>
      </c>
      <c r="G88" s="24">
        <f t="shared" si="4"/>
        <v>123.18725547312029</v>
      </c>
      <c r="H88" s="26">
        <f t="shared" si="5"/>
        <v>9.3245877968957203</v>
      </c>
      <c r="I88" s="20">
        <f t="shared" si="6"/>
        <v>2.9047933162312718E-20</v>
      </c>
      <c r="J88" s="27" t="str">
        <f t="shared" si="7"/>
        <v>***</v>
      </c>
    </row>
    <row r="89" spans="3:10" x14ac:dyDescent="0.25">
      <c r="E89" s="19" t="s">
        <v>114</v>
      </c>
      <c r="F89" s="24">
        <f t="shared" si="3"/>
        <v>4848.2487152905451</v>
      </c>
      <c r="G89" s="24">
        <f t="shared" si="4"/>
        <v>3853.2975205261478</v>
      </c>
      <c r="H89" s="26">
        <f t="shared" si="5"/>
        <v>1.2582077271387395</v>
      </c>
      <c r="I89" s="20">
        <f t="shared" si="6"/>
        <v>0.20846650375781381</v>
      </c>
      <c r="J89" s="27" t="str">
        <f t="shared" si="7"/>
        <v/>
      </c>
    </row>
    <row r="90" spans="3:10" x14ac:dyDescent="0.25">
      <c r="E90" s="23" t="s">
        <v>117</v>
      </c>
      <c r="F90" s="24">
        <f t="shared" si="3"/>
        <v>0.46695326867262005</v>
      </c>
      <c r="G90" s="24">
        <f t="shared" si="4"/>
        <v>9.9061777014240997E-3</v>
      </c>
      <c r="H90" s="26">
        <f t="shared" si="5"/>
        <v>47.137582501219562</v>
      </c>
      <c r="I90" s="20">
        <f t="shared" si="6"/>
        <v>0</v>
      </c>
      <c r="J90" s="27" t="str">
        <f t="shared" si="7"/>
        <v>***</v>
      </c>
    </row>
    <row r="91" spans="3:10" x14ac:dyDescent="0.25">
      <c r="E91" s="23" t="s">
        <v>116</v>
      </c>
      <c r="F91" s="24">
        <f t="shared" si="3"/>
        <v>1.93778736575582</v>
      </c>
      <c r="G91" s="24">
        <f t="shared" si="4"/>
        <v>0.24587842442195948</v>
      </c>
      <c r="H91" s="26">
        <f t="shared" si="5"/>
        <v>7.8810793192261714</v>
      </c>
      <c r="I91" s="20">
        <f t="shared" si="6"/>
        <v>5.3372859241668985E-15</v>
      </c>
      <c r="J91" s="27" t="str">
        <f>IF(ISBLANK(I91),"",IF(I91&lt;0.001,"***",IF(I91&lt;0.01,"**",IF(I91&lt;0.05,"*",IF(I91&lt;0.1,"+","")))))</f>
        <v>***</v>
      </c>
    </row>
    <row r="92" spans="3:10" x14ac:dyDescent="0.25">
      <c r="E92" s="19" t="s">
        <v>115</v>
      </c>
      <c r="F92" s="24">
        <f t="shared" si="3"/>
        <v>7016.6184810486411</v>
      </c>
      <c r="G92" s="24">
        <f t="shared" si="4"/>
        <v>2078.5994824285885</v>
      </c>
      <c r="H92" s="26">
        <f t="shared" si="5"/>
        <v>3.3756471799226002</v>
      </c>
      <c r="I92" s="20">
        <f t="shared" si="6"/>
        <v>7.5079154451762316E-4</v>
      </c>
      <c r="J92" s="27" t="str">
        <f>IF(ISBLANK(I92),"",IF(I92&lt;0.001,"***",IF(I92&lt;0.01,"**",IF(I92&lt;0.05,"*",IF(I92&lt;0.1,"+","")))))</f>
        <v>***</v>
      </c>
    </row>
    <row r="93" spans="3:10" x14ac:dyDescent="0.25">
      <c r="E93" s="23" t="s">
        <v>143</v>
      </c>
      <c r="F93" s="24">
        <f t="shared" si="3"/>
        <v>-1625.2764791773679</v>
      </c>
      <c r="G93" s="24">
        <f t="shared" si="4"/>
        <v>1001.1703386468082</v>
      </c>
      <c r="H93" s="26">
        <f t="shared" si="5"/>
        <v>-1.6233765788288412</v>
      </c>
      <c r="I93" s="20">
        <f t="shared" si="6"/>
        <v>0.10466973541309578</v>
      </c>
      <c r="J93" s="27" t="str">
        <f>IF(ISBLANK(I93),"",IF(I93&lt;0.001,"***",IF(I93&lt;0.01,"**",IF(I93&lt;0.05,"*",IF(I93&lt;0.1,"+","")))))</f>
        <v/>
      </c>
    </row>
    <row r="94" spans="3:10" x14ac:dyDescent="0.25">
      <c r="E94" s="19" t="s">
        <v>144</v>
      </c>
      <c r="F94" s="24">
        <f t="shared" si="3"/>
        <v>9925.4568569688126</v>
      </c>
      <c r="G94" s="24">
        <f t="shared" si="4"/>
        <v>2119.4156526874481</v>
      </c>
      <c r="H94" s="26">
        <f t="shared" si="5"/>
        <v>4.6831101036661673</v>
      </c>
      <c r="I94" s="20">
        <f t="shared" si="6"/>
        <v>3.01943467485589E-6</v>
      </c>
      <c r="J94" s="27" t="str">
        <f>IF(ISBLANK(I94),"",IF(I94&lt;0.001,"***",IF(I94&lt;0.01,"**",IF(I94&lt;0.05,"*",IF(I94&lt;0.1,"+","")))))</f>
        <v>***</v>
      </c>
    </row>
    <row r="95" spans="3:10" x14ac:dyDescent="0.25">
      <c r="E95" s="19" t="s">
        <v>91</v>
      </c>
      <c r="F95" s="25">
        <v>1967</v>
      </c>
      <c r="G95" s="15"/>
      <c r="H95" s="15"/>
      <c r="I95" s="15"/>
      <c r="J95" s="15"/>
    </row>
    <row r="96" spans="3:10" x14ac:dyDescent="0.25">
      <c r="E96" s="19" t="s">
        <v>118</v>
      </c>
      <c r="F96" s="24">
        <v>1960</v>
      </c>
      <c r="G96" s="15"/>
      <c r="H96" s="15"/>
      <c r="J96" s="15"/>
    </row>
    <row r="97" spans="5:10" x14ac:dyDescent="0.25">
      <c r="E97" s="19" t="s">
        <v>119</v>
      </c>
      <c r="F97" s="26">
        <f>G49</f>
        <v>0.72036728203234257</v>
      </c>
      <c r="G97" s="15"/>
      <c r="H97" s="15"/>
      <c r="I97" s="15"/>
      <c r="J97" s="15"/>
    </row>
    <row r="98" spans="5:10" x14ac:dyDescent="0.25">
      <c r="E98" s="19" t="s">
        <v>111</v>
      </c>
      <c r="F98" s="20">
        <f>D54</f>
        <v>720.94542735393577</v>
      </c>
      <c r="G98" s="18"/>
      <c r="H98" s="18"/>
      <c r="I98" s="18"/>
      <c r="J98" s="18"/>
    </row>
    <row r="99" spans="5:10" x14ac:dyDescent="0.25">
      <c r="E99" s="16" t="s">
        <v>112</v>
      </c>
      <c r="F99" s="17" t="s">
        <v>151</v>
      </c>
      <c r="G99" s="18"/>
      <c r="H99" s="18"/>
      <c r="I99" s="18"/>
      <c r="J99" s="18"/>
    </row>
  </sheetData>
  <mergeCells count="1">
    <mergeCell ref="A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3FE2-9C72-4163-B608-6E69150FE48E}">
  <dimension ref="A3:W97"/>
  <sheetViews>
    <sheetView topLeftCell="A70" zoomScale="85" zoomScaleNormal="85" workbookViewId="0">
      <selection activeCell="I98" sqref="I98"/>
    </sheetView>
  </sheetViews>
  <sheetFormatPr baseColWidth="10" defaultRowHeight="15" x14ac:dyDescent="0.25"/>
  <cols>
    <col min="3" max="3" width="15.85546875" bestFit="1" customWidth="1"/>
    <col min="4" max="4" width="12.28515625" bestFit="1" customWidth="1"/>
  </cols>
  <sheetData>
    <row r="3" spans="1:23" x14ac:dyDescent="0.25">
      <c r="A3" s="11"/>
    </row>
    <row r="4" spans="1:23" x14ac:dyDescent="0.25">
      <c r="A4" s="29" t="s">
        <v>23</v>
      </c>
      <c r="B4" s="28">
        <v>7</v>
      </c>
    </row>
    <row r="5" spans="1:23" x14ac:dyDescent="0.25">
      <c r="A5" s="29" t="s">
        <v>24</v>
      </c>
      <c r="B5" s="28">
        <v>1967</v>
      </c>
      <c r="D5" s="13" t="s">
        <v>31</v>
      </c>
      <c r="E5" s="14">
        <f>MIN(Données!C2:C1968)</f>
        <v>0</v>
      </c>
      <c r="G5" s="13" t="s">
        <v>41</v>
      </c>
      <c r="H5" s="14">
        <f>MIN(Données!D2:D1968)</f>
        <v>0</v>
      </c>
      <c r="J5" s="13" t="s">
        <v>46</v>
      </c>
      <c r="K5" s="14">
        <f>MIN(Données!U2:U1968)</f>
        <v>10.126631103850338</v>
      </c>
      <c r="M5" s="13" t="s">
        <v>51</v>
      </c>
      <c r="N5" s="14">
        <f>MIN(Données!V2:V1968)</f>
        <v>5.0106352940962555</v>
      </c>
      <c r="P5" s="13" t="s">
        <v>82</v>
      </c>
      <c r="Q5" s="14">
        <f>MIN(Données!G2:G1968)</f>
        <v>0</v>
      </c>
      <c r="S5" s="13" t="s">
        <v>129</v>
      </c>
      <c r="T5" s="14">
        <f>MIN(Données!H2:H1968)</f>
        <v>0</v>
      </c>
      <c r="V5" s="13" t="s">
        <v>135</v>
      </c>
      <c r="W5" s="14">
        <f>MIN(Données!I2:I1968)</f>
        <v>0</v>
      </c>
    </row>
    <row r="6" spans="1:23" x14ac:dyDescent="0.25">
      <c r="A6" s="29" t="s">
        <v>25</v>
      </c>
      <c r="B6" s="28">
        <f>MIN(Données!A2:A1968)</f>
        <v>2000</v>
      </c>
      <c r="D6" s="11" t="s">
        <v>37</v>
      </c>
      <c r="E6" s="14">
        <f>MAX(Données!C2:C1968)</f>
        <v>95</v>
      </c>
      <c r="G6" s="11" t="s">
        <v>42</v>
      </c>
      <c r="H6" s="14">
        <f>MAX(Données!D2:D1968)</f>
        <v>1</v>
      </c>
      <c r="J6" s="11" t="s">
        <v>47</v>
      </c>
      <c r="K6" s="14">
        <f>MAX(Données!U2:U1968)</f>
        <v>14.244040939003435</v>
      </c>
      <c r="M6" s="11" t="s">
        <v>52</v>
      </c>
      <c r="N6" s="14">
        <f>MAX(Données!V2:V1968)</f>
        <v>11.302204433654575</v>
      </c>
      <c r="P6" s="11" t="s">
        <v>83</v>
      </c>
      <c r="Q6" s="14">
        <f>MAX(Données!G2:G1968)</f>
        <v>1</v>
      </c>
      <c r="S6" s="11" t="s">
        <v>130</v>
      </c>
      <c r="T6" s="14">
        <f>MAX(Données!H3:H1969)</f>
        <v>9</v>
      </c>
      <c r="V6" s="11" t="s">
        <v>134</v>
      </c>
      <c r="W6" s="14">
        <f>MAX(Données!I3:I1969)</f>
        <v>1</v>
      </c>
    </row>
    <row r="7" spans="1:23" x14ac:dyDescent="0.25">
      <c r="A7" s="29" t="s">
        <v>26</v>
      </c>
      <c r="B7" s="28">
        <f>MAX(Données!A2:A1968)</f>
        <v>980000</v>
      </c>
      <c r="D7" s="11" t="s">
        <v>38</v>
      </c>
      <c r="E7" s="14">
        <f>_xlfn.STDEV.S(Données!C2:C1968)</f>
        <v>8.2746545192275622</v>
      </c>
      <c r="G7" s="11" t="s">
        <v>43</v>
      </c>
      <c r="H7" s="14">
        <f>_xlfn.STDEV.S(Données!D2:D1968)</f>
        <v>0.25202272029028777</v>
      </c>
      <c r="J7" s="11" t="s">
        <v>48</v>
      </c>
      <c r="K7" s="14">
        <f>_xlfn.STDEV.S(Données!U2:U1968)</f>
        <v>0.4938213438837355</v>
      </c>
      <c r="M7" s="11" t="s">
        <v>53</v>
      </c>
      <c r="N7" s="14">
        <f>_xlfn.STDEV.S(Données!V2:V1968)</f>
        <v>0.59888316445870293</v>
      </c>
      <c r="P7" s="11" t="s">
        <v>84</v>
      </c>
      <c r="Q7" s="14">
        <f>_xlfn.STDEV.S(Données!G2:G1968)</f>
        <v>0.47369507572838943</v>
      </c>
      <c r="S7" s="11" t="s">
        <v>131</v>
      </c>
      <c r="T7" s="14">
        <f>_xlfn.STDEV.S(Données!H2:H1968)</f>
        <v>0.97221746394496089</v>
      </c>
      <c r="V7" s="11" t="s">
        <v>136</v>
      </c>
      <c r="W7" s="14">
        <f>_xlfn.STDEV.S(Données!I2:I1968)</f>
        <v>0.46265888261371346</v>
      </c>
    </row>
    <row r="8" spans="1:23" x14ac:dyDescent="0.25">
      <c r="A8" s="29" t="s">
        <v>27</v>
      </c>
      <c r="B8" s="28">
        <f>SUM(Données!A2:A1968)</f>
        <v>282106000</v>
      </c>
      <c r="D8" s="11" t="s">
        <v>39</v>
      </c>
      <c r="E8" s="14">
        <f>AVERAGE(Données!C2:C1968)</f>
        <v>32.391250638714524</v>
      </c>
      <c r="G8" s="11" t="s">
        <v>44</v>
      </c>
      <c r="H8" s="14">
        <f>AVERAGE(Données!D2:D1968)</f>
        <v>6.8124046771733601E-2</v>
      </c>
      <c r="J8" s="11" t="s">
        <v>49</v>
      </c>
      <c r="K8" s="14">
        <f>AVERAGE(Données!E2:E1968)</f>
        <v>196669.0020112744</v>
      </c>
      <c r="M8" s="11" t="s">
        <v>54</v>
      </c>
      <c r="N8" s="14">
        <f>AVERAGE(Données!V2:V1968)</f>
        <v>8.3379986767402574</v>
      </c>
      <c r="P8" s="11" t="s">
        <v>85</v>
      </c>
      <c r="Q8" s="14">
        <f>AVERAGE(Données!G2:G1968)</f>
        <v>0.66039654295882055</v>
      </c>
      <c r="S8" s="11" t="s">
        <v>132</v>
      </c>
      <c r="T8" s="14">
        <f>AVERAGE(Données!H2:H1968)</f>
        <v>0.20132180986273512</v>
      </c>
      <c r="V8" s="11" t="s">
        <v>137</v>
      </c>
      <c r="W8" s="14">
        <f>AVERAGE(Données!I2:I1968)</f>
        <v>0.31011692933401119</v>
      </c>
    </row>
    <row r="9" spans="1:23" x14ac:dyDescent="0.25">
      <c r="A9" s="29" t="s">
        <v>28</v>
      </c>
      <c r="B9" s="28">
        <f>AVERAGE(Données!A2:A1968)</f>
        <v>143419.42043721402</v>
      </c>
      <c r="D9" s="11" t="s">
        <v>40</v>
      </c>
      <c r="E9" s="14">
        <f>_xlfn.VAR.S(Données!C2:C1968)</f>
        <v>68.469907412573122</v>
      </c>
      <c r="G9" s="11" t="s">
        <v>45</v>
      </c>
      <c r="H9" s="14">
        <f>_xlfn.VAR.S(Données!D2:D1968)</f>
        <v>6.3515451542516629E-2</v>
      </c>
      <c r="J9" s="11" t="s">
        <v>50</v>
      </c>
      <c r="K9" s="14">
        <f>_xlfn.VAR.S(Données!U2:U1968)</f>
        <v>0.24385951967513855</v>
      </c>
      <c r="M9" s="11" t="s">
        <v>87</v>
      </c>
      <c r="N9" s="14">
        <f>_xlfn.VAR.S(Données!V2:V1968)</f>
        <v>0.35866104467206988</v>
      </c>
      <c r="P9" s="11" t="s">
        <v>86</v>
      </c>
      <c r="Q9" s="14">
        <f>_xlfn.VAR.S(Données!G2:G1968)</f>
        <v>0.22438702476932457</v>
      </c>
      <c r="S9" s="11" t="s">
        <v>133</v>
      </c>
      <c r="T9" s="14">
        <f>_xlfn.VAR.S(Données!H2:H1968)</f>
        <v>0.94520679719957124</v>
      </c>
      <c r="V9" s="11" t="s">
        <v>138</v>
      </c>
      <c r="W9" s="14">
        <f>_xlfn.VAR.S(Données!K2:K1968)</f>
        <v>0.15152508764916128</v>
      </c>
    </row>
    <row r="10" spans="1:23" x14ac:dyDescent="0.25">
      <c r="A10" s="29" t="s">
        <v>29</v>
      </c>
      <c r="B10" s="28">
        <f>_xlfn.VAR.S(Données!A2:A1968)</f>
        <v>6538514230.9965906</v>
      </c>
    </row>
    <row r="11" spans="1:23" x14ac:dyDescent="0.25">
      <c r="A11" s="29" t="s">
        <v>30</v>
      </c>
      <c r="B11" s="28">
        <f>_xlfn.STDEV.S(Données!A2:A1968)</f>
        <v>80861.079828286922</v>
      </c>
    </row>
    <row r="18" spans="3:21" x14ac:dyDescent="0.25">
      <c r="C18" s="11" t="s">
        <v>58</v>
      </c>
      <c r="D18" s="11"/>
      <c r="E18" s="11"/>
      <c r="F18" s="11"/>
      <c r="G18" s="11"/>
      <c r="L18" s="11" t="s">
        <v>60</v>
      </c>
      <c r="M18" s="11"/>
      <c r="N18" s="11"/>
      <c r="O18" s="11"/>
      <c r="P18" s="11"/>
    </row>
    <row r="19" spans="3:21" x14ac:dyDescent="0.25">
      <c r="C19" s="14" cm="1">
        <f t="array" ref="C19:J26">MMULT(TRANSPOSE(Données!R3:Y1969),Données!R3:Y1969)</f>
        <v>1967</v>
      </c>
      <c r="D19" s="14">
        <v>63713.590006351471</v>
      </c>
      <c r="E19" s="14">
        <v>134</v>
      </c>
      <c r="F19" s="14">
        <v>23711.564757590724</v>
      </c>
      <c r="G19" s="14">
        <v>16400.935507555852</v>
      </c>
      <c r="H19" s="14">
        <v>1299</v>
      </c>
      <c r="I19" s="14">
        <v>396</v>
      </c>
      <c r="J19" s="14">
        <v>610</v>
      </c>
      <c r="L19" s="14" cm="1">
        <f t="array" ref="L19:S26">MINVERSE(_xlfn.ANCHORARRAY(C19))</f>
        <v>0.32256900876836292</v>
      </c>
      <c r="M19" s="14">
        <v>-2.6879269209032202E-4</v>
      </c>
      <c r="N19" s="14">
        <v>-2.4009379844116353E-4</v>
      </c>
      <c r="O19" s="14">
        <v>-2.5793485240883068E-2</v>
      </c>
      <c r="P19" s="14">
        <v>-6.6654779021129297E-4</v>
      </c>
      <c r="Q19" s="14">
        <v>4.1347186042207228E-3</v>
      </c>
      <c r="R19" s="14">
        <v>-8.1853785515470772E-4</v>
      </c>
      <c r="S19" s="14">
        <v>1.8913510804018261E-3</v>
      </c>
      <c r="U19" s="11" t="s">
        <v>61</v>
      </c>
    </row>
    <row r="20" spans="3:21" x14ac:dyDescent="0.25">
      <c r="C20" s="14">
        <v>63713.590006351471</v>
      </c>
      <c r="D20" s="14">
        <v>2198374.700961146</v>
      </c>
      <c r="E20" s="14">
        <v>4673.8999977111816</v>
      </c>
      <c r="F20" s="14">
        <v>767983.59491250722</v>
      </c>
      <c r="G20" s="14">
        <v>529006.79178579373</v>
      </c>
      <c r="H20" s="14">
        <v>41845.799986362457</v>
      </c>
      <c r="I20" s="14">
        <v>11385.499992370605</v>
      </c>
      <c r="J20" s="14">
        <v>20028.19000005722</v>
      </c>
      <c r="L20" s="14">
        <v>-2.6879269209033687E-4</v>
      </c>
      <c r="M20" s="14">
        <v>8.257714299095132E-6</v>
      </c>
      <c r="N20" s="14">
        <v>-2.1582014784846413E-5</v>
      </c>
      <c r="O20" s="14">
        <v>-2.8365407897044961E-5</v>
      </c>
      <c r="P20" s="14">
        <v>4.0970025896152697E-5</v>
      </c>
      <c r="Q20" s="14">
        <v>7.3848106772724224E-6</v>
      </c>
      <c r="R20" s="14">
        <v>6.9193207173548048E-6</v>
      </c>
      <c r="S20" s="14">
        <v>-1.0185039725504414E-5</v>
      </c>
      <c r="U20" s="14" cm="1">
        <f t="array" ref="U20:U27">MMULT(TRANSPOSE(Données!R3:Y1969),Données!Q3:Q1969)</f>
        <v>282106000</v>
      </c>
    </row>
    <row r="21" spans="3:21" x14ac:dyDescent="0.25">
      <c r="C21" s="14">
        <v>134</v>
      </c>
      <c r="D21" s="14">
        <v>4673.8999977111816</v>
      </c>
      <c r="E21" s="14">
        <v>134</v>
      </c>
      <c r="F21" s="14">
        <v>1614.1552594555599</v>
      </c>
      <c r="G21" s="14">
        <v>1118.4892195586824</v>
      </c>
      <c r="H21" s="14">
        <v>88</v>
      </c>
      <c r="I21" s="14">
        <v>24</v>
      </c>
      <c r="J21" s="14">
        <v>53</v>
      </c>
      <c r="L21" s="14">
        <v>-2.4009379844118484E-4</v>
      </c>
      <c r="M21" s="14">
        <v>-2.1582014784846535E-5</v>
      </c>
      <c r="N21" s="14">
        <v>8.086039019254157E-3</v>
      </c>
      <c r="O21" s="14">
        <v>1.204430494856998E-4</v>
      </c>
      <c r="P21" s="14">
        <v>-1.1914361827135007E-4</v>
      </c>
      <c r="Q21" s="14">
        <v>-1.4592471899591767E-5</v>
      </c>
      <c r="R21" s="14">
        <v>7.7205832413771909E-7</v>
      </c>
      <c r="S21" s="14">
        <v>-1.9569437329330696E-4</v>
      </c>
      <c r="U21" s="14">
        <v>9237084750.6561279</v>
      </c>
    </row>
    <row r="22" spans="3:21" x14ac:dyDescent="0.25">
      <c r="C22" s="14">
        <v>23711.564757590724</v>
      </c>
      <c r="D22" s="14">
        <v>767983.59491250722</v>
      </c>
      <c r="E22" s="14">
        <v>1614.1552594555599</v>
      </c>
      <c r="F22" s="14">
        <v>286314.64270886855</v>
      </c>
      <c r="G22" s="14">
        <v>198050.37248755986</v>
      </c>
      <c r="H22" s="14">
        <v>15758.676302202186</v>
      </c>
      <c r="I22" s="14">
        <v>4732.7427335012935</v>
      </c>
      <c r="J22" s="14">
        <v>7390.8925004487</v>
      </c>
      <c r="L22" s="14">
        <v>-2.5793485240882943E-2</v>
      </c>
      <c r="M22" s="14">
        <v>-2.836540789704592E-5</v>
      </c>
      <c r="N22" s="14">
        <v>1.2044304948569308E-4</v>
      </c>
      <c r="O22" s="14">
        <v>3.4395758450083283E-3</v>
      </c>
      <c r="P22" s="14">
        <v>-1.7225081958274163E-3</v>
      </c>
      <c r="Q22" s="14">
        <v>-6.1099151103890712E-4</v>
      </c>
      <c r="R22" s="14">
        <v>5.0746084513833577E-6</v>
      </c>
      <c r="S22" s="14">
        <v>1.901137809144038E-5</v>
      </c>
      <c r="U22" s="14">
        <v>20236000</v>
      </c>
    </row>
    <row r="23" spans="3:21" x14ac:dyDescent="0.25">
      <c r="C23" s="14">
        <v>16400.935507555852</v>
      </c>
      <c r="D23" s="14">
        <v>529006.79178579373</v>
      </c>
      <c r="E23" s="14">
        <v>1118.4892195586824</v>
      </c>
      <c r="F23" s="14">
        <v>198050.37248755986</v>
      </c>
      <c r="G23" s="14">
        <v>137456.52401286844</v>
      </c>
      <c r="H23" s="14">
        <v>10877.266065946016</v>
      </c>
      <c r="I23" s="14">
        <v>3268.9771535550581</v>
      </c>
      <c r="J23" s="14">
        <v>5160.4600544417608</v>
      </c>
      <c r="L23" s="14">
        <v>-6.6654779021142643E-4</v>
      </c>
      <c r="M23" s="14">
        <v>4.0970025896152324E-5</v>
      </c>
      <c r="N23" s="14">
        <v>-1.1914361827134349E-4</v>
      </c>
      <c r="O23" s="14">
        <v>-1.7225081958274053E-3</v>
      </c>
      <c r="P23" s="14">
        <v>2.408814815775543E-3</v>
      </c>
      <c r="Q23" s="14">
        <v>1.6782221831953173E-4</v>
      </c>
      <c r="R23" s="14">
        <v>4.806205562807724E-5</v>
      </c>
      <c r="S23" s="14">
        <v>-3.0125923322302651E-4</v>
      </c>
      <c r="U23" s="14">
        <v>3462569735.8903155</v>
      </c>
    </row>
    <row r="24" spans="3:21" x14ac:dyDescent="0.25">
      <c r="C24" s="14">
        <v>1299</v>
      </c>
      <c r="D24" s="14">
        <v>41845.799986362457</v>
      </c>
      <c r="E24" s="14">
        <v>88</v>
      </c>
      <c r="F24" s="14">
        <v>15758.676302202186</v>
      </c>
      <c r="G24" s="14">
        <v>10877.266065946016</v>
      </c>
      <c r="H24" s="14">
        <v>1299</v>
      </c>
      <c r="I24" s="14">
        <v>207</v>
      </c>
      <c r="J24" s="14">
        <v>408</v>
      </c>
      <c r="L24" s="14">
        <v>4.1347186042205693E-3</v>
      </c>
      <c r="M24" s="14">
        <v>7.38481067727243E-6</v>
      </c>
      <c r="N24" s="14">
        <v>-1.4592471899589834E-5</v>
      </c>
      <c r="O24" s="14">
        <v>-6.1099151103888804E-4</v>
      </c>
      <c r="P24" s="14">
        <v>1.6782221831952254E-4</v>
      </c>
      <c r="Q24" s="14">
        <v>2.3994527674175061E-3</v>
      </c>
      <c r="R24" s="14">
        <v>6.596839036397189E-5</v>
      </c>
      <c r="S24" s="14">
        <v>-1.5472343524087222E-5</v>
      </c>
      <c r="U24" s="14">
        <v>2407196072.4571791</v>
      </c>
    </row>
    <row r="25" spans="3:21" x14ac:dyDescent="0.25">
      <c r="C25" s="14">
        <v>396</v>
      </c>
      <c r="D25" s="14">
        <v>11385.499992370605</v>
      </c>
      <c r="E25" s="14">
        <v>24</v>
      </c>
      <c r="F25" s="14">
        <v>4732.7427335012935</v>
      </c>
      <c r="G25" s="14">
        <v>3268.9771535550581</v>
      </c>
      <c r="H25" s="14">
        <v>207</v>
      </c>
      <c r="I25" s="14">
        <v>1938</v>
      </c>
      <c r="J25" s="14">
        <v>165</v>
      </c>
      <c r="L25" s="14">
        <v>-8.1853785515476258E-4</v>
      </c>
      <c r="M25" s="14">
        <v>6.9193207173548014E-6</v>
      </c>
      <c r="N25" s="14">
        <v>7.7205832413788437E-7</v>
      </c>
      <c r="O25" s="14">
        <v>5.0746084513881121E-6</v>
      </c>
      <c r="P25" s="14">
        <v>4.8062055628076962E-5</v>
      </c>
      <c r="Q25" s="14">
        <v>6.5968390363971172E-5</v>
      </c>
      <c r="R25" s="14">
        <v>5.4796894248893447E-4</v>
      </c>
      <c r="S25" s="14">
        <v>-6.9135213071458949E-5</v>
      </c>
      <c r="U25" s="14">
        <v>200067000</v>
      </c>
    </row>
    <row r="26" spans="3:21" x14ac:dyDescent="0.25">
      <c r="C26" s="14">
        <v>610</v>
      </c>
      <c r="D26" s="14">
        <v>20028.19000005722</v>
      </c>
      <c r="E26" s="14">
        <v>53</v>
      </c>
      <c r="F26" s="14">
        <v>7390.8925004487</v>
      </c>
      <c r="G26" s="14">
        <v>5160.4600544417608</v>
      </c>
      <c r="H26" s="14">
        <v>408</v>
      </c>
      <c r="I26" s="14">
        <v>165</v>
      </c>
      <c r="J26" s="14">
        <v>610</v>
      </c>
      <c r="L26" s="14">
        <v>1.8913510804018415E-3</v>
      </c>
      <c r="M26" s="14">
        <v>-1.0185039725504316E-5</v>
      </c>
      <c r="N26" s="14">
        <v>-1.9569437329330756E-4</v>
      </c>
      <c r="O26" s="14">
        <v>1.9011378091438757E-5</v>
      </c>
      <c r="P26" s="14">
        <v>-3.0125923322302619E-4</v>
      </c>
      <c r="Q26" s="14">
        <v>-1.5472343524087784E-5</v>
      </c>
      <c r="R26" s="14">
        <v>-6.913521307145861E-5</v>
      </c>
      <c r="S26" s="14">
        <v>2.4466897822205628E-3</v>
      </c>
      <c r="U26" s="14">
        <v>49730000</v>
      </c>
    </row>
    <row r="27" spans="3:21" x14ac:dyDescent="0.25">
      <c r="U27" s="14">
        <v>99915000</v>
      </c>
    </row>
    <row r="29" spans="3:21" x14ac:dyDescent="0.25">
      <c r="C29" s="11" t="s">
        <v>62</v>
      </c>
      <c r="E29" s="11" t="s">
        <v>63</v>
      </c>
    </row>
    <row r="30" spans="3:21" x14ac:dyDescent="0.25">
      <c r="C30" s="14" cm="1">
        <f t="array" ref="C30:C37">MMULT(_xlfn.ANCHORARRAY(L19),_xlfn.ANCHORARRAY(U20))</f>
        <v>-1429830.0259575311</v>
      </c>
      <c r="E30" s="11" t="s">
        <v>64</v>
      </c>
      <c r="F30" s="14">
        <f t="shared" ref="F30:F37" si="0">C30</f>
        <v>-1429830.0259575311</v>
      </c>
    </row>
    <row r="31" spans="3:21" x14ac:dyDescent="0.25">
      <c r="C31" s="14">
        <v>1222.0409694897751</v>
      </c>
      <c r="E31" s="11" t="s">
        <v>65</v>
      </c>
      <c r="F31" s="14">
        <f t="shared" si="0"/>
        <v>1222.0409694897751</v>
      </c>
    </row>
    <row r="32" spans="3:21" x14ac:dyDescent="0.25">
      <c r="C32" s="14">
        <v>4348.8119967526582</v>
      </c>
      <c r="E32" s="11" t="s">
        <v>66</v>
      </c>
      <c r="F32" s="14">
        <f t="shared" si="0"/>
        <v>4348.8119967526582</v>
      </c>
    </row>
    <row r="33" spans="3:10" x14ac:dyDescent="0.25">
      <c r="C33" s="14">
        <v>107195.56638833626</v>
      </c>
      <c r="E33" s="11" t="s">
        <v>67</v>
      </c>
      <c r="F33" s="14">
        <f t="shared" si="0"/>
        <v>107195.56638833626</v>
      </c>
    </row>
    <row r="34" spans="3:10" x14ac:dyDescent="0.25">
      <c r="C34" s="14">
        <v>28045.792882599402</v>
      </c>
      <c r="E34" s="11" t="s">
        <v>68</v>
      </c>
      <c r="F34" s="14">
        <f t="shared" si="0"/>
        <v>28045.792882599402</v>
      </c>
    </row>
    <row r="35" spans="3:10" x14ac:dyDescent="0.25">
      <c r="C35" s="14">
        <v>4514.0308635715837</v>
      </c>
      <c r="E35" s="11" t="s">
        <v>88</v>
      </c>
      <c r="F35" s="14">
        <f t="shared" si="0"/>
        <v>4514.0308635715837</v>
      </c>
    </row>
    <row r="36" spans="3:10" x14ac:dyDescent="0.25">
      <c r="C36" s="14">
        <v>-177.53907258158779</v>
      </c>
      <c r="E36" s="11" t="s">
        <v>141</v>
      </c>
      <c r="F36" s="14">
        <f t="shared" si="0"/>
        <v>-177.53907258158779</v>
      </c>
    </row>
    <row r="37" spans="3:10" x14ac:dyDescent="0.25">
      <c r="C37" s="14">
        <v>14086.930920340004</v>
      </c>
      <c r="E37" s="11" t="s">
        <v>142</v>
      </c>
      <c r="F37" s="14">
        <f t="shared" si="0"/>
        <v>14086.930920340004</v>
      </c>
    </row>
    <row r="44" spans="3:10" x14ac:dyDescent="0.25">
      <c r="C44" s="11" t="s">
        <v>69</v>
      </c>
      <c r="D44" s="14">
        <f>DEVSQ(Données!Q3:Q1969)</f>
        <v>12854718978139.264</v>
      </c>
      <c r="F44" s="11" t="s">
        <v>74</v>
      </c>
      <c r="G44" s="14">
        <f>1-(D46/D44)</f>
        <v>0.66423949250162972</v>
      </c>
      <c r="I44" s="11" t="s">
        <v>75</v>
      </c>
      <c r="J44" s="14">
        <f>6</f>
        <v>6</v>
      </c>
    </row>
    <row r="45" spans="3:10" x14ac:dyDescent="0.25">
      <c r="C45" s="11" t="s">
        <v>70</v>
      </c>
      <c r="D45" s="14">
        <f>DEVSQ(Données!Z3:Z1969)</f>
        <v>8538612010316.2266</v>
      </c>
      <c r="I45" s="11" t="s">
        <v>76</v>
      </c>
      <c r="J45" s="14">
        <f>1960</f>
        <v>1960</v>
      </c>
    </row>
    <row r="46" spans="3:10" x14ac:dyDescent="0.25">
      <c r="C46" s="11" t="s">
        <v>71</v>
      </c>
      <c r="D46" s="14">
        <f>SUMSQ(Données!AA3:AA1969)</f>
        <v>4316106967848.9712</v>
      </c>
    </row>
    <row r="49" spans="3:14" x14ac:dyDescent="0.25">
      <c r="C49" s="11" t="s">
        <v>77</v>
      </c>
      <c r="D49" s="14">
        <f>(D45/B4)/(D46/(B5-B4-1))</f>
        <v>553.64512023752991</v>
      </c>
      <c r="F49" s="11" t="s">
        <v>79</v>
      </c>
      <c r="G49" s="14">
        <f>_xlfn.F.DIST.RT(D49,J44,J45)</f>
        <v>0</v>
      </c>
    </row>
    <row r="50" spans="3:14" x14ac:dyDescent="0.25">
      <c r="C50" s="11" t="s">
        <v>78</v>
      </c>
      <c r="D50" s="14">
        <f>_xlfn.F.INV.RT(0.05,J44,J45)</f>
        <v>2.1032021791694255</v>
      </c>
    </row>
    <row r="51" spans="3:14" x14ac:dyDescent="0.25">
      <c r="F51" s="11" t="s">
        <v>80</v>
      </c>
      <c r="G51" s="14">
        <f>_xlfn.T.INV.2T(0.05,J45)</f>
        <v>1.9611750620636317</v>
      </c>
    </row>
    <row r="57" spans="3:14" x14ac:dyDescent="0.25">
      <c r="D57" s="11"/>
      <c r="E57" s="12">
        <f>D46/J45</f>
        <v>2202095391.7596793</v>
      </c>
      <c r="G57" s="11"/>
      <c r="H57" s="11"/>
      <c r="I57" s="11"/>
      <c r="J57" s="11"/>
      <c r="K57" s="11"/>
      <c r="L57" s="11"/>
    </row>
    <row r="58" spans="3:14" x14ac:dyDescent="0.25">
      <c r="G58" s="28" cm="1">
        <f t="array" ref="G58:N65">E57*_xlfn.ANCHORARRAY(L19)</f>
        <v>710327727.73329961</v>
      </c>
      <c r="H58" s="28">
        <v>-591907.14859077649</v>
      </c>
      <c r="I58" s="28">
        <v>-528709.44713736349</v>
      </c>
      <c r="J58" s="28">
        <v>-56799714.986369908</v>
      </c>
      <c r="K58" s="28">
        <v>-1467801.8172118857</v>
      </c>
      <c r="L58" s="28">
        <v>9105044.7845774665</v>
      </c>
      <c r="M58" s="28">
        <v>-1802498.4388170338</v>
      </c>
      <c r="N58" s="28">
        <v>4164935.4983525523</v>
      </c>
    </row>
    <row r="59" spans="3:14" x14ac:dyDescent="0.25">
      <c r="G59" s="28">
        <v>-591907.1485908092</v>
      </c>
      <c r="H59" s="28">
        <v>18184.274604505401</v>
      </c>
      <c r="I59" s="28">
        <v>-47525.655302599553</v>
      </c>
      <c r="J59" s="28">
        <v>-62463.334015466324</v>
      </c>
      <c r="K59" s="28">
        <v>90219.905226192583</v>
      </c>
      <c r="L59" s="28">
        <v>16262.057561439278</v>
      </c>
      <c r="M59" s="28">
        <v>15237.004265794294</v>
      </c>
      <c r="N59" s="28">
        <v>-22428.429044422541</v>
      </c>
    </row>
    <row r="60" spans="3:14" x14ac:dyDescent="0.25">
      <c r="G60" s="28">
        <v>-528709.4471374104</v>
      </c>
      <c r="H60" s="28">
        <v>-47525.655302599822</v>
      </c>
      <c r="I60" s="28">
        <v>17806229.261888538</v>
      </c>
      <c r="J60" s="28">
        <v>265227.08424194256</v>
      </c>
      <c r="K60" s="28">
        <v>-262365.61275291431</v>
      </c>
      <c r="L60" s="28">
        <v>-32134.015124473644</v>
      </c>
      <c r="M60" s="28">
        <v>1700.1460777533721</v>
      </c>
      <c r="N60" s="28">
        <v>-430937.67762248975</v>
      </c>
    </row>
    <row r="61" spans="3:14" x14ac:dyDescent="0.25">
      <c r="G61" s="28">
        <v>-56799714.986369632</v>
      </c>
      <c r="H61" s="28">
        <v>-62463.334015468434</v>
      </c>
      <c r="I61" s="28">
        <v>265227.08424192772</v>
      </c>
      <c r="J61" s="28">
        <v>7574274.117900745</v>
      </c>
      <c r="K61" s="28">
        <v>-3793127.3602998327</v>
      </c>
      <c r="L61" s="28">
        <v>-1345461.5908630607</v>
      </c>
      <c r="M61" s="28">
        <v>11174.771885776016</v>
      </c>
      <c r="N61" s="28">
        <v>41864.86808616179</v>
      </c>
    </row>
    <row r="62" spans="3:14" x14ac:dyDescent="0.25">
      <c r="G62" s="28">
        <v>-1467801.8172121795</v>
      </c>
      <c r="H62" s="28">
        <v>90219.905226191753</v>
      </c>
      <c r="I62" s="28">
        <v>-262365.61275289982</v>
      </c>
      <c r="J62" s="28">
        <v>-3793127.3602998084</v>
      </c>
      <c r="K62" s="28">
        <v>5304440.0054217642</v>
      </c>
      <c r="L62" s="28">
        <v>369560.53359632764</v>
      </c>
      <c r="M62" s="28">
        <v>105837.23121708624</v>
      </c>
      <c r="N62" s="28">
        <v>-663401.56920548121</v>
      </c>
    </row>
    <row r="63" spans="3:14" x14ac:dyDescent="0.25">
      <c r="G63" s="28">
        <v>9105044.7845771294</v>
      </c>
      <c r="H63" s="28">
        <v>16262.057561439295</v>
      </c>
      <c r="I63" s="28">
        <v>-32134.015124469388</v>
      </c>
      <c r="J63" s="28">
        <v>-1345461.5908630185</v>
      </c>
      <c r="K63" s="28">
        <v>369560.53359630745</v>
      </c>
      <c r="L63" s="28">
        <v>5283823.8818750996</v>
      </c>
      <c r="M63" s="28">
        <v>145268.68842230612</v>
      </c>
      <c r="N63" s="28">
        <v>-34071.57637411519</v>
      </c>
    </row>
    <row r="64" spans="3:14" x14ac:dyDescent="0.25">
      <c r="G64" s="28">
        <v>-1802498.4388171546</v>
      </c>
      <c r="H64" s="28">
        <v>15237.004265794287</v>
      </c>
      <c r="I64" s="28">
        <v>1700.1460777537359</v>
      </c>
      <c r="J64" s="28">
        <v>11174.771885786484</v>
      </c>
      <c r="K64" s="28">
        <v>105837.23121708563</v>
      </c>
      <c r="L64" s="28">
        <v>145268.68842230455</v>
      </c>
      <c r="M64" s="28">
        <v>1206679.8830823074</v>
      </c>
      <c r="N64" s="28">
        <v>-152242.33411298328</v>
      </c>
    </row>
    <row r="65" spans="5:14" x14ac:dyDescent="0.25">
      <c r="G65" s="28">
        <v>4164935.4983525858</v>
      </c>
      <c r="H65" s="28">
        <v>-22428.429044422322</v>
      </c>
      <c r="I65" s="28">
        <v>-430937.67762249103</v>
      </c>
      <c r="J65" s="28">
        <v>41864.868086158218</v>
      </c>
      <c r="K65" s="28">
        <v>-663401.56920548039</v>
      </c>
      <c r="L65" s="28">
        <v>-34071.576374116426</v>
      </c>
      <c r="M65" s="28">
        <v>-152242.33411298256</v>
      </c>
      <c r="N65" s="28">
        <v>5387844.2944933949</v>
      </c>
    </row>
    <row r="69" spans="5:14" x14ac:dyDescent="0.25">
      <c r="E69" t="s">
        <v>92</v>
      </c>
      <c r="H69" t="s">
        <v>99</v>
      </c>
      <c r="K69" t="s">
        <v>120</v>
      </c>
    </row>
    <row r="70" spans="5:14" x14ac:dyDescent="0.25">
      <c r="E70" s="5" t="s">
        <v>93</v>
      </c>
      <c r="F70" s="6">
        <f>SQRT(G58)</f>
        <v>26651.974180786299</v>
      </c>
      <c r="H70" s="5" t="s">
        <v>100</v>
      </c>
      <c r="I70" s="6">
        <f>F30/F70</f>
        <v>-53.648184418110056</v>
      </c>
      <c r="K70" s="5" t="s">
        <v>121</v>
      </c>
      <c r="L70" s="6">
        <f>_xlfn.T.DIST.2T(ABS(I70),$J$45)</f>
        <v>0</v>
      </c>
    </row>
    <row r="71" spans="5:14" x14ac:dyDescent="0.25">
      <c r="E71" s="7" t="s">
        <v>94</v>
      </c>
      <c r="F71" s="8">
        <f>SQRT(H59)</f>
        <v>134.84908084412515</v>
      </c>
      <c r="H71" s="7" t="s">
        <v>101</v>
      </c>
      <c r="I71" s="6">
        <f t="shared" ref="I71:I77" si="1">F31/F71</f>
        <v>9.062286237622617</v>
      </c>
      <c r="K71" s="7" t="s">
        <v>122</v>
      </c>
      <c r="L71" s="6">
        <f t="shared" ref="L71:L77" si="2">_xlfn.T.DIST.2T(ABS(I71),$J$45)</f>
        <v>3.0109010061832205E-19</v>
      </c>
    </row>
    <row r="72" spans="5:14" x14ac:dyDescent="0.25">
      <c r="E72" s="7" t="s">
        <v>95</v>
      </c>
      <c r="F72" s="8">
        <f>SQRT(I60)</f>
        <v>4219.7427957031387</v>
      </c>
      <c r="H72" s="7" t="s">
        <v>102</v>
      </c>
      <c r="I72" s="6">
        <f t="shared" si="1"/>
        <v>1.030586982974637</v>
      </c>
      <c r="K72" s="7" t="s">
        <v>123</v>
      </c>
      <c r="L72" s="6">
        <f t="shared" si="2"/>
        <v>0.30286169682449071</v>
      </c>
    </row>
    <row r="73" spans="5:14" x14ac:dyDescent="0.25">
      <c r="E73" s="7" t="s">
        <v>96</v>
      </c>
      <c r="F73" s="8">
        <f>SQRT(J61)</f>
        <v>2752.1399161199533</v>
      </c>
      <c r="H73" s="7" t="s">
        <v>103</v>
      </c>
      <c r="I73" s="6">
        <f t="shared" si="1"/>
        <v>38.949897045737295</v>
      </c>
      <c r="K73" s="7" t="s">
        <v>124</v>
      </c>
      <c r="L73" s="6">
        <f t="shared" si="2"/>
        <v>2.8468284012335613E-246</v>
      </c>
    </row>
    <row r="74" spans="5:14" x14ac:dyDescent="0.25">
      <c r="E74" s="9" t="s">
        <v>97</v>
      </c>
      <c r="F74" s="10">
        <f>SQRT(K62)</f>
        <v>2303.1369923262846</v>
      </c>
      <c r="H74" s="9" t="s">
        <v>104</v>
      </c>
      <c r="I74" s="6">
        <f t="shared" si="1"/>
        <v>12.17721437154797</v>
      </c>
      <c r="K74" s="9" t="s">
        <v>125</v>
      </c>
      <c r="L74" s="6">
        <f t="shared" si="2"/>
        <v>6.160322802372773E-33</v>
      </c>
    </row>
    <row r="75" spans="5:14" x14ac:dyDescent="0.25">
      <c r="E75" s="9" t="s">
        <v>98</v>
      </c>
      <c r="F75" s="10">
        <f>SQRT(L63)</f>
        <v>2298.656973511946</v>
      </c>
      <c r="H75" s="9" t="s">
        <v>105</v>
      </c>
      <c r="I75" s="6">
        <f t="shared" si="1"/>
        <v>1.9637688074332089</v>
      </c>
      <c r="K75" s="9" t="s">
        <v>126</v>
      </c>
      <c r="L75" s="6">
        <f t="shared" si="2"/>
        <v>4.9698068563727361E-2</v>
      </c>
    </row>
    <row r="76" spans="5:14" x14ac:dyDescent="0.25">
      <c r="E76" s="9" t="s">
        <v>147</v>
      </c>
      <c r="F76" s="10">
        <f>SQRT(M64)</f>
        <v>1098.4898192893311</v>
      </c>
      <c r="H76" s="9" t="s">
        <v>145</v>
      </c>
      <c r="I76" s="6">
        <f t="shared" si="1"/>
        <v>-0.16162104506025085</v>
      </c>
      <c r="K76" s="9" t="s">
        <v>149</v>
      </c>
      <c r="L76" s="6">
        <f t="shared" si="2"/>
        <v>0.87162094153765857</v>
      </c>
    </row>
    <row r="77" spans="5:14" x14ac:dyDescent="0.25">
      <c r="E77" s="9" t="s">
        <v>148</v>
      </c>
      <c r="F77" s="10">
        <f>SQRT(N65)</f>
        <v>2321.1730427724242</v>
      </c>
      <c r="H77" s="9" t="s">
        <v>146</v>
      </c>
      <c r="I77" s="6">
        <f t="shared" si="1"/>
        <v>6.0688844221258416</v>
      </c>
      <c r="K77" s="9" t="s">
        <v>150</v>
      </c>
      <c r="L77" s="6">
        <f t="shared" si="2"/>
        <v>1.5421848092397944E-9</v>
      </c>
    </row>
    <row r="84" spans="8:13" x14ac:dyDescent="0.25">
      <c r="H84" s="21" t="s">
        <v>106</v>
      </c>
      <c r="I84" s="22" t="s">
        <v>107</v>
      </c>
      <c r="J84" s="22" t="s">
        <v>89</v>
      </c>
      <c r="K84" s="22" t="s">
        <v>108</v>
      </c>
      <c r="L84" s="22" t="s">
        <v>109</v>
      </c>
      <c r="M84" s="22" t="s">
        <v>110</v>
      </c>
    </row>
    <row r="85" spans="8:13" x14ac:dyDescent="0.25">
      <c r="H85" s="23" t="s">
        <v>90</v>
      </c>
      <c r="I85" s="14">
        <f>F30</f>
        <v>-1429830.0259575311</v>
      </c>
      <c r="J85" s="24">
        <f>F70</f>
        <v>26651.974180786299</v>
      </c>
      <c r="K85" s="26">
        <f>I70</f>
        <v>-53.648184418110056</v>
      </c>
      <c r="L85" s="20">
        <f>L70</f>
        <v>0</v>
      </c>
      <c r="M85" s="27" t="str">
        <f t="shared" ref="M85:M88" si="3">IF(ISBLANK(L85),"",IF(L85&lt;0.001,"***",IF(L85&lt;0.01,"**",IF(L85&lt;0.05,"*",IF(L85&lt;0.1,"+","")))))</f>
        <v>***</v>
      </c>
    </row>
    <row r="86" spans="8:13" x14ac:dyDescent="0.25">
      <c r="H86" s="23" t="s">
        <v>113</v>
      </c>
      <c r="I86" s="14">
        <f t="shared" ref="I86:I92" si="4">F31</f>
        <v>1222.0409694897751</v>
      </c>
      <c r="J86" s="24">
        <f t="shared" ref="J86:J92" si="5">F71</f>
        <v>134.84908084412515</v>
      </c>
      <c r="K86" s="26">
        <f t="shared" ref="K86:K92" si="6">I71</f>
        <v>9.062286237622617</v>
      </c>
      <c r="L86" s="20">
        <f t="shared" ref="L86:L92" si="7">L71</f>
        <v>3.0109010061832205E-19</v>
      </c>
      <c r="M86" s="27" t="str">
        <f t="shared" si="3"/>
        <v>***</v>
      </c>
    </row>
    <row r="87" spans="8:13" x14ac:dyDescent="0.25">
      <c r="H87" s="19" t="s">
        <v>114</v>
      </c>
      <c r="I87" s="14">
        <f t="shared" si="4"/>
        <v>4348.8119967526582</v>
      </c>
      <c r="J87" s="24">
        <f t="shared" si="5"/>
        <v>4219.7427957031387</v>
      </c>
      <c r="K87" s="26">
        <f t="shared" si="6"/>
        <v>1.030586982974637</v>
      </c>
      <c r="L87" s="20">
        <f t="shared" si="7"/>
        <v>0.30286169682449071</v>
      </c>
      <c r="M87" s="27" t="str">
        <f t="shared" si="3"/>
        <v/>
      </c>
    </row>
    <row r="88" spans="8:13" x14ac:dyDescent="0.25">
      <c r="H88" s="23" t="s">
        <v>157</v>
      </c>
      <c r="I88" s="14">
        <f t="shared" si="4"/>
        <v>107195.56638833626</v>
      </c>
      <c r="J88" s="24">
        <f t="shared" si="5"/>
        <v>2752.1399161199533</v>
      </c>
      <c r="K88" s="26">
        <f t="shared" si="6"/>
        <v>38.949897045737295</v>
      </c>
      <c r="L88" s="20">
        <f t="shared" si="7"/>
        <v>2.8468284012335613E-246</v>
      </c>
      <c r="M88" s="27" t="str">
        <f t="shared" si="3"/>
        <v>***</v>
      </c>
    </row>
    <row r="89" spans="8:13" x14ac:dyDescent="0.25">
      <c r="H89" s="23" t="s">
        <v>158</v>
      </c>
      <c r="I89" s="14">
        <f t="shared" si="4"/>
        <v>28045.792882599402</v>
      </c>
      <c r="J89" s="24">
        <f t="shared" si="5"/>
        <v>2303.1369923262846</v>
      </c>
      <c r="K89" s="26">
        <f t="shared" si="6"/>
        <v>12.17721437154797</v>
      </c>
      <c r="L89" s="20">
        <f t="shared" si="7"/>
        <v>6.160322802372773E-33</v>
      </c>
      <c r="M89" s="27" t="str">
        <f>IF(ISBLANK(L89),"",IF(L89&lt;0.001,"***",IF(L89&lt;0.01,"**",IF(L89&lt;0.05,"*",IF(L89&lt;0.1,"+","")))))</f>
        <v>***</v>
      </c>
    </row>
    <row r="90" spans="8:13" x14ac:dyDescent="0.25">
      <c r="H90" s="19" t="s">
        <v>115</v>
      </c>
      <c r="I90" s="14">
        <f t="shared" si="4"/>
        <v>4514.0308635715837</v>
      </c>
      <c r="J90" s="24">
        <f t="shared" si="5"/>
        <v>2298.656973511946</v>
      </c>
      <c r="K90" s="26">
        <f t="shared" si="6"/>
        <v>1.9637688074332089</v>
      </c>
      <c r="L90" s="20">
        <f t="shared" si="7"/>
        <v>4.9698068563727361E-2</v>
      </c>
      <c r="M90" s="27" t="str">
        <f>IF(ISBLANK(L90),"",IF(L90&lt;0.001,"***",IF(L90&lt;0.01,"**",IF(L90&lt;0.05,"*",IF(L90&lt;0.1,"+","")))))</f>
        <v>*</v>
      </c>
    </row>
    <row r="91" spans="8:13" x14ac:dyDescent="0.25">
      <c r="H91" s="23" t="s">
        <v>143</v>
      </c>
      <c r="I91" s="14">
        <f t="shared" si="4"/>
        <v>-177.53907258158779</v>
      </c>
      <c r="J91" s="24">
        <f t="shared" si="5"/>
        <v>1098.4898192893311</v>
      </c>
      <c r="K91" s="26">
        <f t="shared" si="6"/>
        <v>-0.16162104506025085</v>
      </c>
      <c r="L91" s="20">
        <f t="shared" si="7"/>
        <v>0.87162094153765857</v>
      </c>
      <c r="M91" s="27" t="str">
        <f>IF(ISBLANK(L91),"",IF(L91&lt;0.001,"***",IF(L91&lt;0.01,"**",IF(L91&lt;0.05,"*",IF(L91&lt;0.1,"+","")))))</f>
        <v/>
      </c>
    </row>
    <row r="92" spans="8:13" x14ac:dyDescent="0.25">
      <c r="H92" s="19" t="s">
        <v>144</v>
      </c>
      <c r="I92" s="14">
        <f t="shared" si="4"/>
        <v>14086.930920340004</v>
      </c>
      <c r="J92" s="24">
        <f t="shared" si="5"/>
        <v>2321.1730427724242</v>
      </c>
      <c r="K92" s="26">
        <f t="shared" si="6"/>
        <v>6.0688844221258416</v>
      </c>
      <c r="L92" s="20">
        <f t="shared" si="7"/>
        <v>1.5421848092397944E-9</v>
      </c>
      <c r="M92" s="27" t="str">
        <f>IF(ISBLANK(L92),"",IF(L92&lt;0.001,"***",IF(L92&lt;0.01,"**",IF(L92&lt;0.05,"*",IF(L92&lt;0.1,"+","")))))</f>
        <v>***</v>
      </c>
    </row>
    <row r="93" spans="8:13" x14ac:dyDescent="0.25">
      <c r="H93" s="19" t="s">
        <v>91</v>
      </c>
      <c r="I93" s="25">
        <v>1967</v>
      </c>
      <c r="J93" s="15"/>
      <c r="K93" s="15"/>
      <c r="L93" s="15"/>
      <c r="M93" s="15"/>
    </row>
    <row r="94" spans="8:13" x14ac:dyDescent="0.25">
      <c r="H94" s="19" t="s">
        <v>118</v>
      </c>
      <c r="I94" s="24">
        <v>1960</v>
      </c>
      <c r="J94" s="15"/>
      <c r="K94" s="15"/>
      <c r="M94" s="15"/>
    </row>
    <row r="95" spans="8:13" x14ac:dyDescent="0.25">
      <c r="H95" s="19" t="s">
        <v>119</v>
      </c>
      <c r="I95" s="26">
        <f>G44</f>
        <v>0.66423949250162972</v>
      </c>
      <c r="J95" s="15"/>
      <c r="K95" s="15"/>
      <c r="L95" s="15"/>
      <c r="M95" s="15"/>
    </row>
    <row r="96" spans="8:13" x14ac:dyDescent="0.25">
      <c r="H96" s="19" t="s">
        <v>111</v>
      </c>
      <c r="I96" s="20">
        <f>D49</f>
        <v>553.64512023752991</v>
      </c>
      <c r="J96" s="18"/>
      <c r="K96" s="18"/>
      <c r="L96" s="18"/>
      <c r="M96" s="18"/>
    </row>
    <row r="97" spans="8:13" x14ac:dyDescent="0.25">
      <c r="H97" s="16" t="s">
        <v>112</v>
      </c>
      <c r="I97" s="17">
        <f>G49</f>
        <v>0</v>
      </c>
      <c r="J97" s="18"/>
      <c r="K97" s="18"/>
      <c r="L97" s="18"/>
      <c r="M97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4084-19C9-4403-AC0B-6D0E8428FE9F}">
  <dimension ref="A1:B11"/>
  <sheetViews>
    <sheetView workbookViewId="0">
      <selection activeCell="B16" sqref="B16"/>
    </sheetView>
  </sheetViews>
  <sheetFormatPr baseColWidth="10" defaultRowHeight="15" x14ac:dyDescent="0.25"/>
  <cols>
    <col min="2" max="2" width="78" customWidth="1"/>
  </cols>
  <sheetData>
    <row r="1" spans="1:2" x14ac:dyDescent="0.25">
      <c r="A1" s="1" t="s">
        <v>20</v>
      </c>
      <c r="B1" s="1" t="s">
        <v>21</v>
      </c>
    </row>
    <row r="2" spans="1:2" x14ac:dyDescent="0.25">
      <c r="A2" t="s">
        <v>0</v>
      </c>
      <c r="B2" t="s">
        <v>10</v>
      </c>
    </row>
    <row r="3" spans="1:2" x14ac:dyDescent="0.25">
      <c r="A3" t="s">
        <v>1</v>
      </c>
      <c r="B3" t="s">
        <v>11</v>
      </c>
    </row>
    <row r="4" spans="1:2" x14ac:dyDescent="0.25">
      <c r="A4" t="s">
        <v>2</v>
      </c>
      <c r="B4" t="s">
        <v>12</v>
      </c>
    </row>
    <row r="5" spans="1:2" x14ac:dyDescent="0.25">
      <c r="A5" t="s">
        <v>3</v>
      </c>
      <c r="B5" t="s">
        <v>13</v>
      </c>
    </row>
    <row r="6" spans="1:2" x14ac:dyDescent="0.25">
      <c r="A6" t="s">
        <v>4</v>
      </c>
      <c r="B6" t="s">
        <v>14</v>
      </c>
    </row>
    <row r="7" spans="1:2" x14ac:dyDescent="0.25">
      <c r="A7" t="s">
        <v>5</v>
      </c>
      <c r="B7" t="s">
        <v>15</v>
      </c>
    </row>
    <row r="8" spans="1:2" x14ac:dyDescent="0.25">
      <c r="A8" t="s">
        <v>6</v>
      </c>
      <c r="B8" t="s">
        <v>16</v>
      </c>
    </row>
    <row r="9" spans="1:2" x14ac:dyDescent="0.25">
      <c r="A9" t="s">
        <v>7</v>
      </c>
      <c r="B9" t="s">
        <v>17</v>
      </c>
    </row>
    <row r="10" spans="1:2" x14ac:dyDescent="0.25">
      <c r="A10" t="s">
        <v>8</v>
      </c>
      <c r="B10" t="s">
        <v>19</v>
      </c>
    </row>
    <row r="11" spans="1:2" x14ac:dyDescent="0.25">
      <c r="A11" t="s">
        <v>9</v>
      </c>
      <c r="B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Données</vt:lpstr>
      <vt:lpstr>Résultats</vt:lpstr>
      <vt:lpstr>Résultat (Ln)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Lebg</dc:creator>
  <cp:lastModifiedBy>tom lachique</cp:lastModifiedBy>
  <dcterms:created xsi:type="dcterms:W3CDTF">2024-12-17T18:22:17Z</dcterms:created>
  <dcterms:modified xsi:type="dcterms:W3CDTF">2025-11-15T13:17:26Z</dcterms:modified>
</cp:coreProperties>
</file>